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0" yWindow="285" windowWidth="16515" windowHeight="5265" activeTab="2"/>
  </bookViews>
  <sheets>
    <sheet name="来店帰客表" sheetId="24" r:id="rId1"/>
    <sheet name="精算表" sheetId="16" r:id="rId2"/>
    <sheet name="足元帳" sheetId="12" r:id="rId3"/>
    <sheet name="MEMO" sheetId="13" state="hidden" r:id="rId4"/>
    <sheet name="MENU" sheetId="17" state="hidden" r:id="rId5"/>
    <sheet name="日報" sheetId="20" state="hidden" r:id="rId6"/>
    <sheet name="管理シート" sheetId="14" r:id="rId7"/>
    <sheet name="日報貼り付け用" sheetId="21" r:id="rId8"/>
    <sheet name="日報印刷用" sheetId="22" r:id="rId9"/>
    <sheet name="名前＆小計" sheetId="23" r:id="rId10"/>
    <sheet name="Sheet1" sheetId="25" state="hidden" r:id="rId11"/>
    <sheet name="Sheet2" sheetId="26" state="hidden" r:id="rId12"/>
    <sheet name="メルマガ読み込み用" sheetId="27" state="hidden" r:id="rId13"/>
    <sheet name="メルマガ印刷用" sheetId="28" r:id="rId14"/>
  </sheets>
  <definedNames>
    <definedName name="_xlnm.Print_Area" localSheetId="13">メルマガ印刷用!$B$1:INDEX(メルマガ印刷用!$K:$K,!$P$2)</definedName>
    <definedName name="_xlnm.Print_Area" localSheetId="1">精算表!$A$1:$BK$79</definedName>
    <definedName name="_xlnm.Print_Area" localSheetId="5">日報!$A$1:$AQ$322</definedName>
    <definedName name="_xlnm.Print_Area" localSheetId="8">日報印刷用!$A$1:INDEX(日報印刷用!$AR:$AR,!$AT$1)</definedName>
    <definedName name="_xlnm.Print_Area" localSheetId="7">日報貼り付け用!$A$1:$W$258</definedName>
  </definedNames>
  <calcPr calcId="125725"/>
</workbook>
</file>

<file path=xl/calcChain.xml><?xml version="1.0" encoding="utf-8"?>
<calcChain xmlns="http://schemas.openxmlformats.org/spreadsheetml/2006/main">
  <c r="BK76" i="12"/>
  <c r="BK75"/>
  <c r="BK74"/>
  <c r="BK73"/>
  <c r="BK72"/>
  <c r="BK71"/>
  <c r="BK70"/>
  <c r="BK69"/>
  <c r="BK68"/>
  <c r="BK67"/>
  <c r="BK66"/>
  <c r="BK65"/>
  <c r="BK64"/>
  <c r="BK63"/>
  <c r="BK62"/>
  <c r="BK61"/>
  <c r="BK60"/>
  <c r="BK59"/>
  <c r="BK58"/>
  <c r="BK57"/>
  <c r="BK56"/>
  <c r="BK55"/>
  <c r="BK54"/>
  <c r="BK53"/>
  <c r="BK52"/>
  <c r="BK51"/>
  <c r="BK50"/>
  <c r="BK49"/>
  <c r="BK48"/>
  <c r="BK47"/>
  <c r="BK46"/>
  <c r="BK45"/>
  <c r="BK44"/>
  <c r="BK43"/>
  <c r="BK42"/>
  <c r="BK41"/>
  <c r="BK40"/>
  <c r="BK39"/>
  <c r="BK38"/>
  <c r="BK37"/>
  <c r="BK36"/>
  <c r="BK35"/>
  <c r="BK34"/>
  <c r="BK33"/>
  <c r="BK32"/>
  <c r="BK31"/>
  <c r="BK30"/>
  <c r="BK29"/>
  <c r="BK28"/>
  <c r="BK27"/>
  <c r="BK26"/>
  <c r="BK25"/>
  <c r="BK24"/>
  <c r="BK23"/>
  <c r="BK22"/>
  <c r="BK21"/>
  <c r="BK20"/>
  <c r="BK19"/>
  <c r="BK18"/>
  <c r="BK17"/>
  <c r="BK16"/>
  <c r="BK15"/>
  <c r="BK14"/>
  <c r="BK13"/>
  <c r="BK12"/>
  <c r="BK11"/>
  <c r="BK10"/>
  <c r="BK9"/>
  <c r="BK8"/>
  <c r="BK7"/>
  <c r="BK6"/>
  <c r="BK5"/>
  <c r="BK4"/>
  <c r="BK3"/>
  <c r="CF1"/>
  <c r="Z64" i="16"/>
  <c r="Z63"/>
  <c r="AR273" i="22" l="1"/>
  <c r="AB273"/>
  <c r="Z273"/>
  <c r="W273"/>
  <c r="N273"/>
  <c r="K273"/>
  <c r="G273"/>
  <c r="E273"/>
  <c r="D273"/>
  <c r="C273"/>
  <c r="AR272"/>
  <c r="AB272"/>
  <c r="Z272"/>
  <c r="W272"/>
  <c r="N272"/>
  <c r="K272"/>
  <c r="G272"/>
  <c r="E272"/>
  <c r="D272"/>
  <c r="C272"/>
  <c r="AR271"/>
  <c r="AB271"/>
  <c r="Z271"/>
  <c r="W271"/>
  <c r="N271"/>
  <c r="K271"/>
  <c r="G271"/>
  <c r="E271"/>
  <c r="D271"/>
  <c r="C271"/>
  <c r="AR270"/>
  <c r="AB270"/>
  <c r="Z270"/>
  <c r="W270"/>
  <c r="N270"/>
  <c r="K270"/>
  <c r="G270"/>
  <c r="E270"/>
  <c r="D270"/>
  <c r="C270"/>
  <c r="AR269"/>
  <c r="AB269"/>
  <c r="Z269"/>
  <c r="W269"/>
  <c r="N269"/>
  <c r="K269"/>
  <c r="G269"/>
  <c r="E269"/>
  <c r="D269"/>
  <c r="C269"/>
  <c r="AR268"/>
  <c r="AB268"/>
  <c r="Z268"/>
  <c r="W268"/>
  <c r="N268"/>
  <c r="K268"/>
  <c r="G268"/>
  <c r="E268"/>
  <c r="D268"/>
  <c r="C268"/>
  <c r="AR267"/>
  <c r="AB267"/>
  <c r="Z267"/>
  <c r="W267"/>
  <c r="N267"/>
  <c r="K267"/>
  <c r="G267"/>
  <c r="E267"/>
  <c r="D267"/>
  <c r="C267"/>
  <c r="AR266"/>
  <c r="AB266"/>
  <c r="Z266"/>
  <c r="W266"/>
  <c r="N266"/>
  <c r="K266"/>
  <c r="G266"/>
  <c r="E266"/>
  <c r="D266"/>
  <c r="C266"/>
  <c r="AR265"/>
  <c r="AB265"/>
  <c r="Z265"/>
  <c r="W265"/>
  <c r="N265"/>
  <c r="K265"/>
  <c r="G265"/>
  <c r="E265"/>
  <c r="D265"/>
  <c r="C265"/>
  <c r="AR264"/>
  <c r="AB264"/>
  <c r="Z264"/>
  <c r="W264"/>
  <c r="N264"/>
  <c r="K264"/>
  <c r="G264"/>
  <c r="E264"/>
  <c r="D264"/>
  <c r="C264"/>
  <c r="AR263"/>
  <c r="AB263"/>
  <c r="Z263"/>
  <c r="W263"/>
  <c r="N263"/>
  <c r="K263"/>
  <c r="G263"/>
  <c r="E263"/>
  <c r="D263"/>
  <c r="C263"/>
  <c r="AR262"/>
  <c r="AB262"/>
  <c r="Z262"/>
  <c r="W262"/>
  <c r="N262"/>
  <c r="K262"/>
  <c r="G262"/>
  <c r="E262"/>
  <c r="D262"/>
  <c r="C262"/>
  <c r="AR261"/>
  <c r="AB261"/>
  <c r="Z261"/>
  <c r="W261"/>
  <c r="N261"/>
  <c r="K261"/>
  <c r="G261"/>
  <c r="E261"/>
  <c r="D261"/>
  <c r="C261"/>
  <c r="AR260"/>
  <c r="AB260"/>
  <c r="Z260"/>
  <c r="W260"/>
  <c r="N260"/>
  <c r="K260"/>
  <c r="G260"/>
  <c r="E260"/>
  <c r="D260"/>
  <c r="C260"/>
  <c r="AR259"/>
  <c r="AB259"/>
  <c r="Z259"/>
  <c r="W259"/>
  <c r="N259"/>
  <c r="K259"/>
  <c r="G259"/>
  <c r="E259"/>
  <c r="D259"/>
  <c r="C259"/>
  <c r="AR258"/>
  <c r="AB258"/>
  <c r="Z258"/>
  <c r="W258"/>
  <c r="N258"/>
  <c r="K258"/>
  <c r="G258"/>
  <c r="E258"/>
  <c r="D258"/>
  <c r="C258"/>
  <c r="AR257"/>
  <c r="AB257"/>
  <c r="Z257"/>
  <c r="W257"/>
  <c r="N257"/>
  <c r="K257"/>
  <c r="G257"/>
  <c r="E257"/>
  <c r="D257"/>
  <c r="C257"/>
  <c r="AR256"/>
  <c r="AB256"/>
  <c r="Z256"/>
  <c r="W256"/>
  <c r="N256"/>
  <c r="K256"/>
  <c r="G256"/>
  <c r="E256"/>
  <c r="D256"/>
  <c r="C256"/>
  <c r="AR255"/>
  <c r="AB255"/>
  <c r="Z255"/>
  <c r="W255"/>
  <c r="N255"/>
  <c r="K255"/>
  <c r="G255"/>
  <c r="E255"/>
  <c r="D255"/>
  <c r="C255"/>
  <c r="AR254"/>
  <c r="AB254"/>
  <c r="Z254"/>
  <c r="W254"/>
  <c r="N254"/>
  <c r="K254"/>
  <c r="G254"/>
  <c r="E254"/>
  <c r="D254"/>
  <c r="C254"/>
  <c r="AR253"/>
  <c r="AB253"/>
  <c r="Z253"/>
  <c r="W253"/>
  <c r="N253"/>
  <c r="K253"/>
  <c r="G253"/>
  <c r="E253"/>
  <c r="D253"/>
  <c r="C253"/>
  <c r="AR252"/>
  <c r="AB252"/>
  <c r="Z252"/>
  <c r="W252"/>
  <c r="N252"/>
  <c r="K252"/>
  <c r="G252"/>
  <c r="E252"/>
  <c r="D252"/>
  <c r="C252"/>
  <c r="AR251"/>
  <c r="AB251"/>
  <c r="Z251"/>
  <c r="W251"/>
  <c r="N251"/>
  <c r="K251"/>
  <c r="G251"/>
  <c r="E251"/>
  <c r="D251"/>
  <c r="C251"/>
  <c r="AR250"/>
  <c r="AB250"/>
  <c r="Z250"/>
  <c r="W250"/>
  <c r="N250"/>
  <c r="K250"/>
  <c r="G250"/>
  <c r="E250"/>
  <c r="D250"/>
  <c r="C250"/>
  <c r="AR249"/>
  <c r="AB249"/>
  <c r="Z249"/>
  <c r="W249"/>
  <c r="N249"/>
  <c r="K249"/>
  <c r="G249"/>
  <c r="E249"/>
  <c r="D249"/>
  <c r="C249"/>
  <c r="AR248"/>
  <c r="AB248"/>
  <c r="Z248"/>
  <c r="W248"/>
  <c r="N248"/>
  <c r="K248"/>
  <c r="G248"/>
  <c r="E248"/>
  <c r="D248"/>
  <c r="C248"/>
  <c r="AR247"/>
  <c r="AB247"/>
  <c r="Z247"/>
  <c r="W247"/>
  <c r="N247"/>
  <c r="K247"/>
  <c r="G247"/>
  <c r="E247"/>
  <c r="D247"/>
  <c r="C247"/>
  <c r="AR246"/>
  <c r="AB246"/>
  <c r="Z246"/>
  <c r="W246"/>
  <c r="N246"/>
  <c r="K246"/>
  <c r="G246"/>
  <c r="E246"/>
  <c r="D246"/>
  <c r="C246"/>
  <c r="AR245"/>
  <c r="AB245"/>
  <c r="Z245"/>
  <c r="W245"/>
  <c r="N245"/>
  <c r="K245"/>
  <c r="G245"/>
  <c r="E245"/>
  <c r="D245"/>
  <c r="C245"/>
  <c r="AR244"/>
  <c r="AB244"/>
  <c r="Z244"/>
  <c r="W244"/>
  <c r="N244"/>
  <c r="K244"/>
  <c r="G244"/>
  <c r="E244"/>
  <c r="D244"/>
  <c r="C244"/>
  <c r="AR243"/>
  <c r="AB243"/>
  <c r="Z243"/>
  <c r="W243"/>
  <c r="N243"/>
  <c r="K243"/>
  <c r="G243"/>
  <c r="E243"/>
  <c r="D243"/>
  <c r="C243"/>
  <c r="AR242"/>
  <c r="AB242"/>
  <c r="Z242"/>
  <c r="W242"/>
  <c r="N242"/>
  <c r="K242"/>
  <c r="G242"/>
  <c r="E242"/>
  <c r="D242"/>
  <c r="C242"/>
  <c r="AR241"/>
  <c r="AB241"/>
  <c r="Z241"/>
  <c r="W241"/>
  <c r="N241"/>
  <c r="K241"/>
  <c r="G241"/>
  <c r="E241"/>
  <c r="D241"/>
  <c r="C241"/>
  <c r="AR240"/>
  <c r="AB240"/>
  <c r="Z240"/>
  <c r="W240"/>
  <c r="N240"/>
  <c r="K240"/>
  <c r="G240"/>
  <c r="E240"/>
  <c r="D240"/>
  <c r="C240"/>
  <c r="AR239"/>
  <c r="AB239"/>
  <c r="Z239"/>
  <c r="W239"/>
  <c r="N239"/>
  <c r="K239"/>
  <c r="G239"/>
  <c r="E239"/>
  <c r="D239"/>
  <c r="C239"/>
  <c r="AR238"/>
  <c r="AB238"/>
  <c r="Z238"/>
  <c r="W238"/>
  <c r="N238"/>
  <c r="K238"/>
  <c r="G238"/>
  <c r="E238"/>
  <c r="D238"/>
  <c r="C238"/>
  <c r="AR237"/>
  <c r="AB237"/>
  <c r="Z237"/>
  <c r="W237"/>
  <c r="N237"/>
  <c r="K237"/>
  <c r="G237"/>
  <c r="E237"/>
  <c r="D237"/>
  <c r="C237"/>
  <c r="AR236"/>
  <c r="AB236"/>
  <c r="Z236"/>
  <c r="W236"/>
  <c r="N236"/>
  <c r="K236"/>
  <c r="G236"/>
  <c r="E236"/>
  <c r="D236"/>
  <c r="C236"/>
  <c r="AR235"/>
  <c r="AB235"/>
  <c r="Z235"/>
  <c r="W235"/>
  <c r="N235"/>
  <c r="K235"/>
  <c r="G235"/>
  <c r="E235"/>
  <c r="D235"/>
  <c r="C235"/>
  <c r="AR234"/>
  <c r="AB234"/>
  <c r="Z234"/>
  <c r="W234"/>
  <c r="N234"/>
  <c r="K234"/>
  <c r="G234"/>
  <c r="E234"/>
  <c r="D234"/>
  <c r="C234"/>
  <c r="AR227"/>
  <c r="AB227"/>
  <c r="Z227"/>
  <c r="W227"/>
  <c r="N227"/>
  <c r="K227"/>
  <c r="G227"/>
  <c r="E227"/>
  <c r="D227"/>
  <c r="C227"/>
  <c r="AR226"/>
  <c r="AB226"/>
  <c r="Z226"/>
  <c r="W226"/>
  <c r="N226"/>
  <c r="K226"/>
  <c r="G226"/>
  <c r="E226"/>
  <c r="D226"/>
  <c r="C226"/>
  <c r="AR225"/>
  <c r="AB225"/>
  <c r="Z225"/>
  <c r="W225"/>
  <c r="N225"/>
  <c r="K225"/>
  <c r="G225"/>
  <c r="E225"/>
  <c r="D225"/>
  <c r="C225"/>
  <c r="AR224"/>
  <c r="AB224"/>
  <c r="Z224"/>
  <c r="W224"/>
  <c r="N224"/>
  <c r="K224"/>
  <c r="G224"/>
  <c r="E224"/>
  <c r="D224"/>
  <c r="C224"/>
  <c r="AR223"/>
  <c r="AB223"/>
  <c r="Z223"/>
  <c r="W223"/>
  <c r="N223"/>
  <c r="K223"/>
  <c r="G223"/>
  <c r="E223"/>
  <c r="D223"/>
  <c r="C223"/>
  <c r="AR222"/>
  <c r="AB222"/>
  <c r="Z222"/>
  <c r="W222"/>
  <c r="N222"/>
  <c r="K222"/>
  <c r="G222"/>
  <c r="E222"/>
  <c r="D222"/>
  <c r="C222"/>
  <c r="AR221"/>
  <c r="AB221"/>
  <c r="Z221"/>
  <c r="W221"/>
  <c r="N221"/>
  <c r="K221"/>
  <c r="G221"/>
  <c r="E221"/>
  <c r="D221"/>
  <c r="C221"/>
  <c r="AR220"/>
  <c r="AB220"/>
  <c r="Z220"/>
  <c r="W220"/>
  <c r="N220"/>
  <c r="K220"/>
  <c r="G220"/>
  <c r="E220"/>
  <c r="D220"/>
  <c r="C220"/>
  <c r="AR219"/>
  <c r="AB219"/>
  <c r="Z219"/>
  <c r="W219"/>
  <c r="N219"/>
  <c r="K219"/>
  <c r="G219"/>
  <c r="E219"/>
  <c r="D219"/>
  <c r="C219"/>
  <c r="AR218"/>
  <c r="AB218"/>
  <c r="Z218"/>
  <c r="W218"/>
  <c r="N218"/>
  <c r="K218"/>
  <c r="G218"/>
  <c r="E218"/>
  <c r="D218"/>
  <c r="C218"/>
  <c r="AR217"/>
  <c r="AB217"/>
  <c r="Z217"/>
  <c r="W217"/>
  <c r="N217"/>
  <c r="K217"/>
  <c r="G217"/>
  <c r="E217"/>
  <c r="D217"/>
  <c r="C217"/>
  <c r="AR216"/>
  <c r="AB216"/>
  <c r="Z216"/>
  <c r="W216"/>
  <c r="N216"/>
  <c r="K216"/>
  <c r="G216"/>
  <c r="E216"/>
  <c r="D216"/>
  <c r="C216"/>
  <c r="AR215"/>
  <c r="AB215"/>
  <c r="Z215"/>
  <c r="W215"/>
  <c r="N215"/>
  <c r="K215"/>
  <c r="G215"/>
  <c r="E215"/>
  <c r="D215"/>
  <c r="C215"/>
  <c r="AR214"/>
  <c r="AB214"/>
  <c r="Z214"/>
  <c r="W214"/>
  <c r="N214"/>
  <c r="K214"/>
  <c r="G214"/>
  <c r="E214"/>
  <c r="D214"/>
  <c r="C214"/>
  <c r="AR213"/>
  <c r="AB213"/>
  <c r="Z213"/>
  <c r="W213"/>
  <c r="N213"/>
  <c r="K213"/>
  <c r="G213"/>
  <c r="E213"/>
  <c r="D213"/>
  <c r="C213"/>
  <c r="AR212"/>
  <c r="AB212"/>
  <c r="Z212"/>
  <c r="W212"/>
  <c r="N212"/>
  <c r="K212"/>
  <c r="G212"/>
  <c r="E212"/>
  <c r="D212"/>
  <c r="C212"/>
  <c r="AR211"/>
  <c r="AB211"/>
  <c r="Z211"/>
  <c r="W211"/>
  <c r="N211"/>
  <c r="K211"/>
  <c r="G211"/>
  <c r="E211"/>
  <c r="D211"/>
  <c r="C211"/>
  <c r="AR210"/>
  <c r="AB210"/>
  <c r="Z210"/>
  <c r="W210"/>
  <c r="N210"/>
  <c r="K210"/>
  <c r="G210"/>
  <c r="E210"/>
  <c r="D210"/>
  <c r="C210"/>
  <c r="AR209"/>
  <c r="AB209"/>
  <c r="Z209"/>
  <c r="W209"/>
  <c r="N209"/>
  <c r="K209"/>
  <c r="G209"/>
  <c r="E209"/>
  <c r="D209"/>
  <c r="C209"/>
  <c r="AR208"/>
  <c r="AB208"/>
  <c r="Z208"/>
  <c r="W208"/>
  <c r="N208"/>
  <c r="K208"/>
  <c r="G208"/>
  <c r="E208"/>
  <c r="D208"/>
  <c r="C208"/>
  <c r="AR207"/>
  <c r="AB207"/>
  <c r="Z207"/>
  <c r="W207"/>
  <c r="N207"/>
  <c r="K207"/>
  <c r="G207"/>
  <c r="E207"/>
  <c r="D207"/>
  <c r="C207"/>
  <c r="AR206"/>
  <c r="AB206"/>
  <c r="Z206"/>
  <c r="W206"/>
  <c r="N206"/>
  <c r="K206"/>
  <c r="G206"/>
  <c r="E206"/>
  <c r="D206"/>
  <c r="C206"/>
  <c r="AR205"/>
  <c r="AB205"/>
  <c r="Z205"/>
  <c r="W205"/>
  <c r="N205"/>
  <c r="K205"/>
  <c r="G205"/>
  <c r="E205"/>
  <c r="D205"/>
  <c r="C205"/>
  <c r="AR204"/>
  <c r="AB204"/>
  <c r="Z204"/>
  <c r="W204"/>
  <c r="N204"/>
  <c r="K204"/>
  <c r="G204"/>
  <c r="E204"/>
  <c r="D204"/>
  <c r="C204"/>
  <c r="AR203"/>
  <c r="AB203"/>
  <c r="Z203"/>
  <c r="W203"/>
  <c r="N203"/>
  <c r="K203"/>
  <c r="G203"/>
  <c r="E203"/>
  <c r="D203"/>
  <c r="C203"/>
  <c r="AR202"/>
  <c r="AB202"/>
  <c r="Z202"/>
  <c r="W202"/>
  <c r="N202"/>
  <c r="K202"/>
  <c r="G202"/>
  <c r="E202"/>
  <c r="D202"/>
  <c r="C202"/>
  <c r="AR201"/>
  <c r="AB201"/>
  <c r="Z201"/>
  <c r="W201"/>
  <c r="N201"/>
  <c r="K201"/>
  <c r="G201"/>
  <c r="E201"/>
  <c r="D201"/>
  <c r="C201"/>
  <c r="AR200"/>
  <c r="AB200"/>
  <c r="Z200"/>
  <c r="W200"/>
  <c r="N200"/>
  <c r="K200"/>
  <c r="G200"/>
  <c r="E200"/>
  <c r="D200"/>
  <c r="C200"/>
  <c r="AR199"/>
  <c r="AB199"/>
  <c r="Z199"/>
  <c r="W199"/>
  <c r="N199"/>
  <c r="K199"/>
  <c r="G199"/>
  <c r="E199"/>
  <c r="D199"/>
  <c r="C199"/>
  <c r="AR198"/>
  <c r="AB198"/>
  <c r="Z198"/>
  <c r="W198"/>
  <c r="N198"/>
  <c r="K198"/>
  <c r="G198"/>
  <c r="E198"/>
  <c r="D198"/>
  <c r="C198"/>
  <c r="AR197"/>
  <c r="AB197"/>
  <c r="Z197"/>
  <c r="W197"/>
  <c r="N197"/>
  <c r="K197"/>
  <c r="G197"/>
  <c r="E197"/>
  <c r="D197"/>
  <c r="C197"/>
  <c r="AR196"/>
  <c r="AB196"/>
  <c r="Z196"/>
  <c r="W196"/>
  <c r="N196"/>
  <c r="K196"/>
  <c r="G196"/>
  <c r="E196"/>
  <c r="D196"/>
  <c r="C196"/>
  <c r="AR195"/>
  <c r="AB195"/>
  <c r="Z195"/>
  <c r="W195"/>
  <c r="N195"/>
  <c r="K195"/>
  <c r="G195"/>
  <c r="E195"/>
  <c r="D195"/>
  <c r="C195"/>
  <c r="AR194"/>
  <c r="AB194"/>
  <c r="Z194"/>
  <c r="W194"/>
  <c r="N194"/>
  <c r="K194"/>
  <c r="G194"/>
  <c r="E194"/>
  <c r="D194"/>
  <c r="C194"/>
  <c r="AR193"/>
  <c r="AB193"/>
  <c r="Z193"/>
  <c r="W193"/>
  <c r="N193"/>
  <c r="K193"/>
  <c r="G193"/>
  <c r="E193"/>
  <c r="D193"/>
  <c r="C193"/>
  <c r="AR192"/>
  <c r="AB192"/>
  <c r="Z192"/>
  <c r="W192"/>
  <c r="N192"/>
  <c r="K192"/>
  <c r="G192"/>
  <c r="E192"/>
  <c r="D192"/>
  <c r="C192"/>
  <c r="AR191"/>
  <c r="AB191"/>
  <c r="Z191"/>
  <c r="W191"/>
  <c r="N191"/>
  <c r="K191"/>
  <c r="G191"/>
  <c r="E191"/>
  <c r="D191"/>
  <c r="C191"/>
  <c r="AR190"/>
  <c r="AB190"/>
  <c r="Z190"/>
  <c r="W190"/>
  <c r="N190"/>
  <c r="K190"/>
  <c r="G190"/>
  <c r="E190"/>
  <c r="D190"/>
  <c r="C190"/>
  <c r="AR189"/>
  <c r="AB189"/>
  <c r="Z189"/>
  <c r="W189"/>
  <c r="N189"/>
  <c r="K189"/>
  <c r="G189"/>
  <c r="E189"/>
  <c r="D189"/>
  <c r="C189"/>
  <c r="AR188"/>
  <c r="AB188"/>
  <c r="Z188"/>
  <c r="W188"/>
  <c r="N188"/>
  <c r="K188"/>
  <c r="G188"/>
  <c r="E188"/>
  <c r="D188"/>
  <c r="C188"/>
  <c r="AR181"/>
  <c r="AB181"/>
  <c r="Z181"/>
  <c r="W181"/>
  <c r="N181"/>
  <c r="K181"/>
  <c r="G181"/>
  <c r="E181"/>
  <c r="D181"/>
  <c r="C181"/>
  <c r="AR180"/>
  <c r="AB180"/>
  <c r="Z180"/>
  <c r="W180"/>
  <c r="N180"/>
  <c r="K180"/>
  <c r="G180"/>
  <c r="E180"/>
  <c r="D180"/>
  <c r="C180"/>
  <c r="AR179"/>
  <c r="AB179"/>
  <c r="Z179"/>
  <c r="W179"/>
  <c r="N179"/>
  <c r="K179"/>
  <c r="G179"/>
  <c r="E179"/>
  <c r="D179"/>
  <c r="C179"/>
  <c r="AR178"/>
  <c r="AB178"/>
  <c r="Z178"/>
  <c r="W178"/>
  <c r="N178"/>
  <c r="K178"/>
  <c r="G178"/>
  <c r="E178"/>
  <c r="D178"/>
  <c r="C178"/>
  <c r="AR177"/>
  <c r="AB177"/>
  <c r="Z177"/>
  <c r="W177"/>
  <c r="N177"/>
  <c r="K177"/>
  <c r="G177"/>
  <c r="E177"/>
  <c r="D177"/>
  <c r="C177"/>
  <c r="AR176"/>
  <c r="AB176"/>
  <c r="Z176"/>
  <c r="W176"/>
  <c r="N176"/>
  <c r="K176"/>
  <c r="G176"/>
  <c r="E176"/>
  <c r="D176"/>
  <c r="C176"/>
  <c r="AR175"/>
  <c r="AB175"/>
  <c r="Z175"/>
  <c r="W175"/>
  <c r="N175"/>
  <c r="K175"/>
  <c r="G175"/>
  <c r="E175"/>
  <c r="D175"/>
  <c r="C175"/>
  <c r="AR174"/>
  <c r="AB174"/>
  <c r="Z174"/>
  <c r="W174"/>
  <c r="N174"/>
  <c r="K174"/>
  <c r="G174"/>
  <c r="E174"/>
  <c r="D174"/>
  <c r="C174"/>
  <c r="AR173"/>
  <c r="AB173"/>
  <c r="Z173"/>
  <c r="W173"/>
  <c r="N173"/>
  <c r="K173"/>
  <c r="G173"/>
  <c r="E173"/>
  <c r="D173"/>
  <c r="C173"/>
  <c r="AR172"/>
  <c r="AB172"/>
  <c r="Z172"/>
  <c r="W172"/>
  <c r="N172"/>
  <c r="K172"/>
  <c r="G172"/>
  <c r="E172"/>
  <c r="D172"/>
  <c r="C172"/>
  <c r="AR171"/>
  <c r="AB171"/>
  <c r="Z171"/>
  <c r="W171"/>
  <c r="N171"/>
  <c r="K171"/>
  <c r="G171"/>
  <c r="E171"/>
  <c r="D171"/>
  <c r="C171"/>
  <c r="AR170"/>
  <c r="AB170"/>
  <c r="Z170"/>
  <c r="W170"/>
  <c r="N170"/>
  <c r="K170"/>
  <c r="G170"/>
  <c r="E170"/>
  <c r="D170"/>
  <c r="C170"/>
  <c r="AR169"/>
  <c r="AB169"/>
  <c r="Z169"/>
  <c r="W169"/>
  <c r="N169"/>
  <c r="K169"/>
  <c r="G169"/>
  <c r="E169"/>
  <c r="D169"/>
  <c r="C169"/>
  <c r="AR168"/>
  <c r="AB168"/>
  <c r="Z168"/>
  <c r="W168"/>
  <c r="N168"/>
  <c r="K168"/>
  <c r="G168"/>
  <c r="E168"/>
  <c r="D168"/>
  <c r="C168"/>
  <c r="AR167"/>
  <c r="AB167"/>
  <c r="Z167"/>
  <c r="W167"/>
  <c r="N167"/>
  <c r="K167"/>
  <c r="G167"/>
  <c r="E167"/>
  <c r="D167"/>
  <c r="C167"/>
  <c r="AR166"/>
  <c r="AB166"/>
  <c r="Z166"/>
  <c r="W166"/>
  <c r="N166"/>
  <c r="K166"/>
  <c r="G166"/>
  <c r="E166"/>
  <c r="D166"/>
  <c r="C166"/>
  <c r="AR165"/>
  <c r="AB165"/>
  <c r="Z165"/>
  <c r="W165"/>
  <c r="N165"/>
  <c r="K165"/>
  <c r="G165"/>
  <c r="E165"/>
  <c r="D165"/>
  <c r="C165"/>
  <c r="AR164"/>
  <c r="AB164"/>
  <c r="Z164"/>
  <c r="W164"/>
  <c r="N164"/>
  <c r="K164"/>
  <c r="G164"/>
  <c r="E164"/>
  <c r="D164"/>
  <c r="C164"/>
  <c r="AR163"/>
  <c r="AB163"/>
  <c r="Z163"/>
  <c r="W163"/>
  <c r="N163"/>
  <c r="K163"/>
  <c r="G163"/>
  <c r="E163"/>
  <c r="D163"/>
  <c r="C163"/>
  <c r="AR162"/>
  <c r="AB162"/>
  <c r="Z162"/>
  <c r="W162"/>
  <c r="N162"/>
  <c r="K162"/>
  <c r="G162"/>
  <c r="E162"/>
  <c r="D162"/>
  <c r="C162"/>
  <c r="AR161"/>
  <c r="AB161"/>
  <c r="Z161"/>
  <c r="W161"/>
  <c r="N161"/>
  <c r="K161"/>
  <c r="G161"/>
  <c r="E161"/>
  <c r="D161"/>
  <c r="C161"/>
  <c r="AR160"/>
  <c r="AB160"/>
  <c r="Z160"/>
  <c r="W160"/>
  <c r="N160"/>
  <c r="K160"/>
  <c r="G160"/>
  <c r="E160"/>
  <c r="D160"/>
  <c r="C160"/>
  <c r="AR159"/>
  <c r="AB159"/>
  <c r="Z159"/>
  <c r="W159"/>
  <c r="N159"/>
  <c r="K159"/>
  <c r="G159"/>
  <c r="E159"/>
  <c r="D159"/>
  <c r="C159"/>
  <c r="AR158"/>
  <c r="AB158"/>
  <c r="Z158"/>
  <c r="W158"/>
  <c r="N158"/>
  <c r="K158"/>
  <c r="G158"/>
  <c r="E158"/>
  <c r="D158"/>
  <c r="C158"/>
  <c r="AR157"/>
  <c r="AB157"/>
  <c r="Z157"/>
  <c r="W157"/>
  <c r="N157"/>
  <c r="K157"/>
  <c r="G157"/>
  <c r="E157"/>
  <c r="D157"/>
  <c r="C157"/>
  <c r="AR156"/>
  <c r="AB156"/>
  <c r="Z156"/>
  <c r="W156"/>
  <c r="N156"/>
  <c r="K156"/>
  <c r="G156"/>
  <c r="E156"/>
  <c r="D156"/>
  <c r="C156"/>
  <c r="AR155"/>
  <c r="AB155"/>
  <c r="Z155"/>
  <c r="W155"/>
  <c r="N155"/>
  <c r="K155"/>
  <c r="G155"/>
  <c r="E155"/>
  <c r="D155"/>
  <c r="C155"/>
  <c r="AR154"/>
  <c r="AB154"/>
  <c r="Z154"/>
  <c r="W154"/>
  <c r="N154"/>
  <c r="K154"/>
  <c r="G154"/>
  <c r="E154"/>
  <c r="D154"/>
  <c r="C154"/>
  <c r="AR153"/>
  <c r="AB153"/>
  <c r="Z153"/>
  <c r="W153"/>
  <c r="N153"/>
  <c r="K153"/>
  <c r="G153"/>
  <c r="E153"/>
  <c r="D153"/>
  <c r="C153"/>
  <c r="AR152"/>
  <c r="AB152"/>
  <c r="Z152"/>
  <c r="W152"/>
  <c r="N152"/>
  <c r="K152"/>
  <c r="G152"/>
  <c r="E152"/>
  <c r="D152"/>
  <c r="C152"/>
  <c r="AR151"/>
  <c r="AB151"/>
  <c r="Z151"/>
  <c r="W151"/>
  <c r="N151"/>
  <c r="K151"/>
  <c r="G151"/>
  <c r="E151"/>
  <c r="D151"/>
  <c r="C151"/>
  <c r="AR150"/>
  <c r="AB150"/>
  <c r="Z150"/>
  <c r="W150"/>
  <c r="N150"/>
  <c r="K150"/>
  <c r="G150"/>
  <c r="E150"/>
  <c r="D150"/>
  <c r="C150"/>
  <c r="AR149"/>
  <c r="AB149"/>
  <c r="Z149"/>
  <c r="W149"/>
  <c r="N149"/>
  <c r="K149"/>
  <c r="G149"/>
  <c r="E149"/>
  <c r="D149"/>
  <c r="C149"/>
  <c r="AR148"/>
  <c r="AB148"/>
  <c r="Z148"/>
  <c r="W148"/>
  <c r="N148"/>
  <c r="K148"/>
  <c r="G148"/>
  <c r="E148"/>
  <c r="D148"/>
  <c r="C148"/>
  <c r="AR147"/>
  <c r="AB147"/>
  <c r="Z147"/>
  <c r="W147"/>
  <c r="N147"/>
  <c r="K147"/>
  <c r="G147"/>
  <c r="E147"/>
  <c r="D147"/>
  <c r="C147"/>
  <c r="AR146"/>
  <c r="AB146"/>
  <c r="Z146"/>
  <c r="W146"/>
  <c r="N146"/>
  <c r="K146"/>
  <c r="G146"/>
  <c r="E146"/>
  <c r="D146"/>
  <c r="C146"/>
  <c r="AR145"/>
  <c r="AB145"/>
  <c r="Z145"/>
  <c r="W145"/>
  <c r="N145"/>
  <c r="K145"/>
  <c r="G145"/>
  <c r="E145"/>
  <c r="D145"/>
  <c r="C145"/>
  <c r="AR144"/>
  <c r="AB144"/>
  <c r="Z144"/>
  <c r="W144"/>
  <c r="N144"/>
  <c r="K144"/>
  <c r="G144"/>
  <c r="E144"/>
  <c r="D144"/>
  <c r="C144"/>
  <c r="AR143"/>
  <c r="AB143"/>
  <c r="Z143"/>
  <c r="W143"/>
  <c r="N143"/>
  <c r="K143"/>
  <c r="G143"/>
  <c r="E143"/>
  <c r="D143"/>
  <c r="C143"/>
  <c r="AR142"/>
  <c r="AB142"/>
  <c r="Z142"/>
  <c r="W142"/>
  <c r="N142"/>
  <c r="K142"/>
  <c r="G142"/>
  <c r="E142"/>
  <c r="D142"/>
  <c r="C142"/>
  <c r="AB135"/>
  <c r="Z135"/>
  <c r="W135"/>
  <c r="N135"/>
  <c r="K135"/>
  <c r="G135"/>
  <c r="E135"/>
  <c r="D135"/>
  <c r="C135"/>
  <c r="AB134"/>
  <c r="Z134"/>
  <c r="W134"/>
  <c r="N134"/>
  <c r="K134"/>
  <c r="G134"/>
  <c r="E134"/>
  <c r="D134"/>
  <c r="C134"/>
  <c r="AB133"/>
  <c r="Z133"/>
  <c r="W133"/>
  <c r="N133"/>
  <c r="K133"/>
  <c r="G133"/>
  <c r="E133"/>
  <c r="D133"/>
  <c r="C133"/>
  <c r="AB132"/>
  <c r="Z132"/>
  <c r="W132"/>
  <c r="N132"/>
  <c r="K132"/>
  <c r="G132"/>
  <c r="E132"/>
  <c r="D132"/>
  <c r="C132"/>
  <c r="AB131"/>
  <c r="Z131"/>
  <c r="W131"/>
  <c r="N131"/>
  <c r="K131"/>
  <c r="G131"/>
  <c r="E131"/>
  <c r="D131"/>
  <c r="C131"/>
  <c r="AB130"/>
  <c r="Z130"/>
  <c r="W130"/>
  <c r="N130"/>
  <c r="K130"/>
  <c r="G130"/>
  <c r="E130"/>
  <c r="D130"/>
  <c r="C130"/>
  <c r="AB129"/>
  <c r="Z129"/>
  <c r="W129"/>
  <c r="N129"/>
  <c r="K129"/>
  <c r="G129"/>
  <c r="E129"/>
  <c r="D129"/>
  <c r="C129"/>
  <c r="AB128"/>
  <c r="Z128"/>
  <c r="W128"/>
  <c r="N128"/>
  <c r="K128"/>
  <c r="G128"/>
  <c r="E128"/>
  <c r="D128"/>
  <c r="C128"/>
  <c r="AB127"/>
  <c r="Z127"/>
  <c r="W127"/>
  <c r="N127"/>
  <c r="K127"/>
  <c r="G127"/>
  <c r="E127"/>
  <c r="D127"/>
  <c r="C127"/>
  <c r="AB126"/>
  <c r="Z126"/>
  <c r="W126"/>
  <c r="N126"/>
  <c r="K126"/>
  <c r="G126"/>
  <c r="E126"/>
  <c r="D126"/>
  <c r="C126"/>
  <c r="AB125"/>
  <c r="Z125"/>
  <c r="W125"/>
  <c r="N125"/>
  <c r="K125"/>
  <c r="G125"/>
  <c r="E125"/>
  <c r="D125"/>
  <c r="C125"/>
  <c r="AB124"/>
  <c r="Z124"/>
  <c r="W124"/>
  <c r="N124"/>
  <c r="K124"/>
  <c r="G124"/>
  <c r="E124"/>
  <c r="D124"/>
  <c r="C124"/>
  <c r="AB123"/>
  <c r="Z123"/>
  <c r="W123"/>
  <c r="N123"/>
  <c r="K123"/>
  <c r="G123"/>
  <c r="E123"/>
  <c r="D123"/>
  <c r="C123"/>
  <c r="AB122"/>
  <c r="Z122"/>
  <c r="W122"/>
  <c r="N122"/>
  <c r="K122"/>
  <c r="G122"/>
  <c r="E122"/>
  <c r="D122"/>
  <c r="C122"/>
  <c r="AB121"/>
  <c r="Z121"/>
  <c r="W121"/>
  <c r="N121"/>
  <c r="K121"/>
  <c r="G121"/>
  <c r="E121"/>
  <c r="D121"/>
  <c r="C121"/>
  <c r="AB120"/>
  <c r="Z120"/>
  <c r="W120"/>
  <c r="N120"/>
  <c r="K120"/>
  <c r="G120"/>
  <c r="E120"/>
  <c r="D120"/>
  <c r="C120"/>
  <c r="AB119"/>
  <c r="Z119"/>
  <c r="W119"/>
  <c r="N119"/>
  <c r="K119"/>
  <c r="G119"/>
  <c r="E119"/>
  <c r="D119"/>
  <c r="C119"/>
  <c r="AB118"/>
  <c r="Z118"/>
  <c r="W118"/>
  <c r="N118"/>
  <c r="K118"/>
  <c r="G118"/>
  <c r="E118"/>
  <c r="D118"/>
  <c r="C118"/>
  <c r="AB117"/>
  <c r="Z117"/>
  <c r="W117"/>
  <c r="N117"/>
  <c r="K117"/>
  <c r="G117"/>
  <c r="E117"/>
  <c r="D117"/>
  <c r="C117"/>
  <c r="AB116"/>
  <c r="Z116"/>
  <c r="W116"/>
  <c r="N116"/>
  <c r="K116"/>
  <c r="G116"/>
  <c r="E116"/>
  <c r="D116"/>
  <c r="C116"/>
  <c r="AB115"/>
  <c r="Z115"/>
  <c r="W115"/>
  <c r="N115"/>
  <c r="K115"/>
  <c r="G115"/>
  <c r="E115"/>
  <c r="D115"/>
  <c r="C115"/>
  <c r="AB114"/>
  <c r="Z114"/>
  <c r="W114"/>
  <c r="N114"/>
  <c r="K114"/>
  <c r="G114"/>
  <c r="E114"/>
  <c r="D114"/>
  <c r="C114"/>
  <c r="AB113"/>
  <c r="Z113"/>
  <c r="W113"/>
  <c r="N113"/>
  <c r="K113"/>
  <c r="G113"/>
  <c r="E113"/>
  <c r="D113"/>
  <c r="C113"/>
  <c r="AB112"/>
  <c r="Z112"/>
  <c r="W112"/>
  <c r="N112"/>
  <c r="K112"/>
  <c r="G112"/>
  <c r="E112"/>
  <c r="D112"/>
  <c r="C112"/>
  <c r="AB111"/>
  <c r="Z111"/>
  <c r="W111"/>
  <c r="N111"/>
  <c r="K111"/>
  <c r="G111"/>
  <c r="E111"/>
  <c r="D111"/>
  <c r="C111"/>
  <c r="AB110"/>
  <c r="Z110"/>
  <c r="W110"/>
  <c r="N110"/>
  <c r="K110"/>
  <c r="G110"/>
  <c r="E110"/>
  <c r="D110"/>
  <c r="C110"/>
  <c r="AB109"/>
  <c r="Z109"/>
  <c r="W109"/>
  <c r="N109"/>
  <c r="K109"/>
  <c r="G109"/>
  <c r="E109"/>
  <c r="D109"/>
  <c r="C109"/>
  <c r="AB108"/>
  <c r="Z108"/>
  <c r="W108"/>
  <c r="N108"/>
  <c r="K108"/>
  <c r="G108"/>
  <c r="E108"/>
  <c r="D108"/>
  <c r="C108"/>
  <c r="AB107"/>
  <c r="Z107"/>
  <c r="W107"/>
  <c r="N107"/>
  <c r="K107"/>
  <c r="G107"/>
  <c r="E107"/>
  <c r="D107"/>
  <c r="C107"/>
  <c r="AB106"/>
  <c r="Z106"/>
  <c r="W106"/>
  <c r="N106"/>
  <c r="K106"/>
  <c r="G106"/>
  <c r="E106"/>
  <c r="D106"/>
  <c r="C106"/>
  <c r="AB105"/>
  <c r="Z105"/>
  <c r="W105"/>
  <c r="N105"/>
  <c r="K105"/>
  <c r="G105"/>
  <c r="E105"/>
  <c r="D105"/>
  <c r="C105"/>
  <c r="AB104"/>
  <c r="Z104"/>
  <c r="W104"/>
  <c r="N104"/>
  <c r="K104"/>
  <c r="G104"/>
  <c r="E104"/>
  <c r="D104"/>
  <c r="C104"/>
  <c r="AB103"/>
  <c r="Z103"/>
  <c r="W103"/>
  <c r="N103"/>
  <c r="K103"/>
  <c r="G103"/>
  <c r="E103"/>
  <c r="D103"/>
  <c r="C103"/>
  <c r="AB102"/>
  <c r="Z102"/>
  <c r="W102"/>
  <c r="N102"/>
  <c r="K102"/>
  <c r="G102"/>
  <c r="E102"/>
  <c r="D102"/>
  <c r="C102"/>
  <c r="AB101"/>
  <c r="Z101"/>
  <c r="W101"/>
  <c r="N101"/>
  <c r="K101"/>
  <c r="G101"/>
  <c r="E101"/>
  <c r="D101"/>
  <c r="C101"/>
  <c r="AB100"/>
  <c r="Z100"/>
  <c r="W100"/>
  <c r="N100"/>
  <c r="K100"/>
  <c r="G100"/>
  <c r="E100"/>
  <c r="D100"/>
  <c r="C100"/>
  <c r="AB99"/>
  <c r="Z99"/>
  <c r="W99"/>
  <c r="N99"/>
  <c r="K99"/>
  <c r="G99"/>
  <c r="E99"/>
  <c r="D99"/>
  <c r="C99"/>
  <c r="AB98"/>
  <c r="Z98"/>
  <c r="W98"/>
  <c r="N98"/>
  <c r="K98"/>
  <c r="G98"/>
  <c r="E98"/>
  <c r="D98"/>
  <c r="C98"/>
  <c r="AB97"/>
  <c r="Z97"/>
  <c r="W97"/>
  <c r="N97"/>
  <c r="K97"/>
  <c r="G97"/>
  <c r="E97"/>
  <c r="D97"/>
  <c r="C97"/>
  <c r="AR135"/>
  <c r="AR134"/>
  <c r="AR133"/>
  <c r="AR132"/>
  <c r="AR131"/>
  <c r="AR130"/>
  <c r="AR129"/>
  <c r="AR128"/>
  <c r="AR127"/>
  <c r="AR126"/>
  <c r="AR125"/>
  <c r="AR124"/>
  <c r="AR123"/>
  <c r="AR122"/>
  <c r="AR121"/>
  <c r="AR120"/>
  <c r="AR119"/>
  <c r="AR118"/>
  <c r="AR117"/>
  <c r="AR116"/>
  <c r="AR115"/>
  <c r="AR114"/>
  <c r="AR113"/>
  <c r="AR112"/>
  <c r="AR111"/>
  <c r="AR110"/>
  <c r="AR109"/>
  <c r="AR108"/>
  <c r="AR107"/>
  <c r="AR106"/>
  <c r="AR105"/>
  <c r="AR104"/>
  <c r="AR103"/>
  <c r="AR102"/>
  <c r="AR101"/>
  <c r="AR100"/>
  <c r="AR99"/>
  <c r="AR98"/>
  <c r="AR97"/>
  <c r="AB96"/>
  <c r="Z96"/>
  <c r="W96"/>
  <c r="N96"/>
  <c r="K96"/>
  <c r="G96"/>
  <c r="E96"/>
  <c r="D96"/>
  <c r="C96"/>
  <c r="AB89"/>
  <c r="Z89"/>
  <c r="W89"/>
  <c r="N89"/>
  <c r="K89"/>
  <c r="G89"/>
  <c r="E89"/>
  <c r="D89"/>
  <c r="C89"/>
  <c r="AB88"/>
  <c r="Z88"/>
  <c r="W88"/>
  <c r="N88"/>
  <c r="K88"/>
  <c r="G88"/>
  <c r="E88"/>
  <c r="D88"/>
  <c r="C88"/>
  <c r="AB87"/>
  <c r="Z87"/>
  <c r="W87"/>
  <c r="N87"/>
  <c r="K87"/>
  <c r="G87"/>
  <c r="E87"/>
  <c r="D87"/>
  <c r="C87"/>
  <c r="AB86"/>
  <c r="Z86"/>
  <c r="W86"/>
  <c r="N86"/>
  <c r="K86"/>
  <c r="G86"/>
  <c r="E86"/>
  <c r="D86"/>
  <c r="C86"/>
  <c r="AB85"/>
  <c r="Z85"/>
  <c r="W85"/>
  <c r="N85"/>
  <c r="K85"/>
  <c r="G85"/>
  <c r="E85"/>
  <c r="D85"/>
  <c r="C85"/>
  <c r="AB84"/>
  <c r="Z84"/>
  <c r="W84"/>
  <c r="N84"/>
  <c r="K84"/>
  <c r="G84"/>
  <c r="E84"/>
  <c r="D84"/>
  <c r="C84"/>
  <c r="AB83"/>
  <c r="Z83"/>
  <c r="W83"/>
  <c r="N83"/>
  <c r="K83"/>
  <c r="G83"/>
  <c r="E83"/>
  <c r="D83"/>
  <c r="C83"/>
  <c r="AB82"/>
  <c r="Z82"/>
  <c r="W82"/>
  <c r="N82"/>
  <c r="K82"/>
  <c r="G82"/>
  <c r="E82"/>
  <c r="D82"/>
  <c r="C82"/>
  <c r="AB81"/>
  <c r="Z81"/>
  <c r="W81"/>
  <c r="N81"/>
  <c r="K81"/>
  <c r="G81"/>
  <c r="E81"/>
  <c r="D81"/>
  <c r="C81"/>
  <c r="AB80"/>
  <c r="Z80"/>
  <c r="W80"/>
  <c r="N80"/>
  <c r="K80"/>
  <c r="G80"/>
  <c r="E80"/>
  <c r="D80"/>
  <c r="C80"/>
  <c r="AB79"/>
  <c r="Z79"/>
  <c r="W79"/>
  <c r="N79"/>
  <c r="K79"/>
  <c r="G79"/>
  <c r="E79"/>
  <c r="D79"/>
  <c r="C79"/>
  <c r="AB78"/>
  <c r="Z78"/>
  <c r="W78"/>
  <c r="N78"/>
  <c r="K78"/>
  <c r="G78"/>
  <c r="E78"/>
  <c r="D78"/>
  <c r="C78"/>
  <c r="AB77"/>
  <c r="Z77"/>
  <c r="W77"/>
  <c r="N77"/>
  <c r="K77"/>
  <c r="G77"/>
  <c r="E77"/>
  <c r="D77"/>
  <c r="C77"/>
  <c r="AB76"/>
  <c r="Z76"/>
  <c r="W76"/>
  <c r="N76"/>
  <c r="K76"/>
  <c r="G76"/>
  <c r="E76"/>
  <c r="D76"/>
  <c r="C76"/>
  <c r="AB75"/>
  <c r="Z75"/>
  <c r="W75"/>
  <c r="N75"/>
  <c r="K75"/>
  <c r="G75"/>
  <c r="E75"/>
  <c r="D75"/>
  <c r="C75"/>
  <c r="AB74"/>
  <c r="Z74"/>
  <c r="W74"/>
  <c r="N74"/>
  <c r="K74"/>
  <c r="G74"/>
  <c r="E74"/>
  <c r="D74"/>
  <c r="C74"/>
  <c r="AB73"/>
  <c r="Z73"/>
  <c r="W73"/>
  <c r="N73"/>
  <c r="K73"/>
  <c r="G73"/>
  <c r="E73"/>
  <c r="D73"/>
  <c r="C73"/>
  <c r="AB72"/>
  <c r="Z72"/>
  <c r="W72"/>
  <c r="N72"/>
  <c r="K72"/>
  <c r="G72"/>
  <c r="E72"/>
  <c r="D72"/>
  <c r="C72"/>
  <c r="AB71"/>
  <c r="Z71"/>
  <c r="W71"/>
  <c r="N71"/>
  <c r="K71"/>
  <c r="G71"/>
  <c r="E71"/>
  <c r="D71"/>
  <c r="C71"/>
  <c r="AB70"/>
  <c r="Z70"/>
  <c r="W70"/>
  <c r="N70"/>
  <c r="K70"/>
  <c r="G70"/>
  <c r="E70"/>
  <c r="D70"/>
  <c r="C70"/>
  <c r="AB69"/>
  <c r="Z69"/>
  <c r="W69"/>
  <c r="N69"/>
  <c r="K69"/>
  <c r="G69"/>
  <c r="E69"/>
  <c r="D69"/>
  <c r="C69"/>
  <c r="AB68"/>
  <c r="Z68"/>
  <c r="W68"/>
  <c r="N68"/>
  <c r="K68"/>
  <c r="G68"/>
  <c r="E68"/>
  <c r="D68"/>
  <c r="C68"/>
  <c r="AB67"/>
  <c r="Z67"/>
  <c r="W67"/>
  <c r="N67"/>
  <c r="K67"/>
  <c r="G67"/>
  <c r="E67"/>
  <c r="D67"/>
  <c r="C67"/>
  <c r="AB66"/>
  <c r="Z66"/>
  <c r="W66"/>
  <c r="N66"/>
  <c r="K66"/>
  <c r="G66"/>
  <c r="E66"/>
  <c r="D66"/>
  <c r="C66"/>
  <c r="AB65"/>
  <c r="Z65"/>
  <c r="W65"/>
  <c r="N65"/>
  <c r="K65"/>
  <c r="G65"/>
  <c r="E65"/>
  <c r="D65"/>
  <c r="C65"/>
  <c r="AB64"/>
  <c r="Z64"/>
  <c r="W64"/>
  <c r="N64"/>
  <c r="K64"/>
  <c r="G64"/>
  <c r="E64"/>
  <c r="D64"/>
  <c r="C64"/>
  <c r="AB63"/>
  <c r="Z63"/>
  <c r="W63"/>
  <c r="N63"/>
  <c r="K63"/>
  <c r="G63"/>
  <c r="E63"/>
  <c r="D63"/>
  <c r="C63"/>
  <c r="AB62"/>
  <c r="Z62"/>
  <c r="W62"/>
  <c r="N62"/>
  <c r="K62"/>
  <c r="G62"/>
  <c r="E62"/>
  <c r="D62"/>
  <c r="C62"/>
  <c r="AB61"/>
  <c r="Z61"/>
  <c r="W61"/>
  <c r="N61"/>
  <c r="K61"/>
  <c r="G61"/>
  <c r="E61"/>
  <c r="D61"/>
  <c r="C61"/>
  <c r="AB60"/>
  <c r="Z60"/>
  <c r="W60"/>
  <c r="N60"/>
  <c r="K60"/>
  <c r="G60"/>
  <c r="E60"/>
  <c r="D60"/>
  <c r="C60"/>
  <c r="AB59"/>
  <c r="Z59"/>
  <c r="W59"/>
  <c r="N59"/>
  <c r="K59"/>
  <c r="G59"/>
  <c r="E59"/>
  <c r="D59"/>
  <c r="C59"/>
  <c r="AB58"/>
  <c r="Z58"/>
  <c r="W58"/>
  <c r="N58"/>
  <c r="K58"/>
  <c r="G58"/>
  <c r="E58"/>
  <c r="D58"/>
  <c r="C58"/>
  <c r="AB57"/>
  <c r="Z57"/>
  <c r="W57"/>
  <c r="N57"/>
  <c r="K57"/>
  <c r="G57"/>
  <c r="E57"/>
  <c r="D57"/>
  <c r="C57"/>
  <c r="AB56"/>
  <c r="Z56"/>
  <c r="W56"/>
  <c r="N56"/>
  <c r="K56"/>
  <c r="G56"/>
  <c r="E56"/>
  <c r="D56"/>
  <c r="C56"/>
  <c r="AB55"/>
  <c r="Z55"/>
  <c r="W55"/>
  <c r="N55"/>
  <c r="K55"/>
  <c r="G55"/>
  <c r="E55"/>
  <c r="D55"/>
  <c r="C55"/>
  <c r="AB54"/>
  <c r="Z54"/>
  <c r="W54"/>
  <c r="N54"/>
  <c r="K54"/>
  <c r="G54"/>
  <c r="E54"/>
  <c r="D54"/>
  <c r="C54"/>
  <c r="AB53"/>
  <c r="Z53"/>
  <c r="W53"/>
  <c r="N53"/>
  <c r="K53"/>
  <c r="G53"/>
  <c r="E53"/>
  <c r="D53"/>
  <c r="C53"/>
  <c r="AB52"/>
  <c r="Z52"/>
  <c r="W52"/>
  <c r="N52"/>
  <c r="K52"/>
  <c r="G52"/>
  <c r="E52"/>
  <c r="D52"/>
  <c r="C52"/>
  <c r="AB51"/>
  <c r="Z51"/>
  <c r="W51"/>
  <c r="N51"/>
  <c r="K51"/>
  <c r="G51"/>
  <c r="E51"/>
  <c r="D51"/>
  <c r="C51"/>
  <c r="AB50"/>
  <c r="Z50"/>
  <c r="W50"/>
  <c r="N50"/>
  <c r="K50"/>
  <c r="G50"/>
  <c r="E50"/>
  <c r="D50"/>
  <c r="C50"/>
  <c r="AB43"/>
  <c r="Z43"/>
  <c r="W43"/>
  <c r="N43" l="1"/>
  <c r="K43"/>
  <c r="G43"/>
  <c r="E43"/>
  <c r="D43"/>
  <c r="C43"/>
  <c r="AB42"/>
  <c r="Z42"/>
  <c r="W42"/>
  <c r="N42" l="1"/>
  <c r="K42"/>
  <c r="G42"/>
  <c r="E42"/>
  <c r="D42"/>
  <c r="C42"/>
  <c r="AB41"/>
  <c r="Z41"/>
  <c r="W41"/>
  <c r="N41" l="1"/>
  <c r="K41"/>
  <c r="G41"/>
  <c r="E41"/>
  <c r="D41"/>
  <c r="C41"/>
  <c r="AB40"/>
  <c r="Z40"/>
  <c r="W40"/>
  <c r="N40" l="1"/>
  <c r="K40"/>
  <c r="G40"/>
  <c r="E40"/>
  <c r="D40"/>
  <c r="C40"/>
  <c r="AB39"/>
  <c r="Z39"/>
  <c r="W39"/>
  <c r="N39" l="1"/>
  <c r="K39"/>
  <c r="G39"/>
  <c r="E39"/>
  <c r="D39"/>
  <c r="C39"/>
  <c r="AB38"/>
  <c r="Z38"/>
  <c r="W38"/>
  <c r="N38" l="1"/>
  <c r="K38"/>
  <c r="G38"/>
  <c r="E38"/>
  <c r="D38"/>
  <c r="C38"/>
  <c r="AB37"/>
  <c r="Z37"/>
  <c r="W37"/>
  <c r="N37" l="1"/>
  <c r="K37"/>
  <c r="G37"/>
  <c r="E37"/>
  <c r="D37"/>
  <c r="C37"/>
  <c r="AB36"/>
  <c r="Z36"/>
  <c r="W36"/>
  <c r="N36" l="1"/>
  <c r="K36"/>
  <c r="G36"/>
  <c r="E36"/>
  <c r="D36"/>
  <c r="C36"/>
  <c r="AB35"/>
  <c r="Z35"/>
  <c r="W35"/>
  <c r="N35" l="1"/>
  <c r="K35"/>
  <c r="G35"/>
  <c r="E35"/>
  <c r="D35"/>
  <c r="C35"/>
  <c r="AB34"/>
  <c r="Z34"/>
  <c r="W34"/>
  <c r="N34" l="1"/>
  <c r="K34"/>
  <c r="G34"/>
  <c r="E34"/>
  <c r="D34"/>
  <c r="C34"/>
  <c r="AB33"/>
  <c r="Z33"/>
  <c r="W33"/>
  <c r="N33" l="1"/>
  <c r="K33"/>
  <c r="G33"/>
  <c r="E33"/>
  <c r="D33"/>
  <c r="C33"/>
  <c r="AB32"/>
  <c r="Z32"/>
  <c r="W32"/>
  <c r="N32" l="1"/>
  <c r="K32"/>
  <c r="G32"/>
  <c r="E32"/>
  <c r="D32"/>
  <c r="C32"/>
  <c r="AB31"/>
  <c r="Z31"/>
  <c r="W31"/>
  <c r="N31" l="1"/>
  <c r="K31"/>
  <c r="G31"/>
  <c r="E31"/>
  <c r="D31"/>
  <c r="C31"/>
  <c r="AB30"/>
  <c r="Z30"/>
  <c r="W30"/>
  <c r="N30" l="1"/>
  <c r="K30"/>
  <c r="G30"/>
  <c r="E30"/>
  <c r="D30"/>
  <c r="C30"/>
  <c r="AB29"/>
  <c r="Z29"/>
  <c r="W29"/>
  <c r="N29" l="1"/>
  <c r="K29"/>
  <c r="G29"/>
  <c r="E29"/>
  <c r="D29"/>
  <c r="C29"/>
  <c r="AB28"/>
  <c r="Z28"/>
  <c r="W28"/>
  <c r="N28" l="1"/>
  <c r="K28"/>
  <c r="G28"/>
  <c r="E28"/>
  <c r="D28"/>
  <c r="C28"/>
  <c r="AB27"/>
  <c r="Z27"/>
  <c r="N27" l="1"/>
  <c r="K27"/>
  <c r="G27"/>
  <c r="E27"/>
  <c r="D27"/>
  <c r="C27"/>
  <c r="AB26"/>
  <c r="Z26"/>
  <c r="N26" l="1"/>
  <c r="K26"/>
  <c r="G26"/>
  <c r="E26"/>
  <c r="D26"/>
  <c r="C26"/>
  <c r="AB25"/>
  <c r="Z25"/>
  <c r="N25" l="1"/>
  <c r="K25"/>
  <c r="G25"/>
  <c r="E25"/>
  <c r="D25"/>
  <c r="C25"/>
  <c r="AB24"/>
  <c r="Z24"/>
  <c r="W24"/>
  <c r="N24" l="1"/>
  <c r="K24"/>
  <c r="G24"/>
  <c r="E24"/>
  <c r="D24"/>
  <c r="C24"/>
  <c r="AB23"/>
  <c r="Z23"/>
  <c r="W23"/>
  <c r="N23" l="1"/>
  <c r="K23"/>
  <c r="G23"/>
  <c r="E23"/>
  <c r="D23"/>
  <c r="C23"/>
  <c r="AB22"/>
  <c r="Z22"/>
  <c r="W22"/>
  <c r="N22" l="1"/>
  <c r="K22"/>
  <c r="G22"/>
  <c r="E22"/>
  <c r="D22"/>
  <c r="C22"/>
  <c r="AB21"/>
  <c r="Z21"/>
  <c r="W21"/>
  <c r="N21" l="1"/>
  <c r="K21"/>
  <c r="G21"/>
  <c r="E21"/>
  <c r="D21"/>
  <c r="C21"/>
  <c r="AB20"/>
  <c r="Z20"/>
  <c r="W20"/>
  <c r="N20" l="1"/>
  <c r="K20"/>
  <c r="G20"/>
  <c r="E20"/>
  <c r="D20"/>
  <c r="C20"/>
  <c r="AB19"/>
  <c r="Z19"/>
  <c r="N19" l="1"/>
  <c r="K19"/>
  <c r="G19"/>
  <c r="E19"/>
  <c r="D19"/>
  <c r="C19"/>
  <c r="AB18"/>
  <c r="Z18"/>
  <c r="N18" l="1"/>
  <c r="K18"/>
  <c r="G18"/>
  <c r="E18"/>
  <c r="D18"/>
  <c r="C18"/>
  <c r="AB17"/>
  <c r="Z17"/>
  <c r="N17" l="1"/>
  <c r="K17"/>
  <c r="G17"/>
  <c r="E17"/>
  <c r="D17"/>
  <c r="C17"/>
  <c r="AB16"/>
  <c r="Z16"/>
  <c r="N16" l="1"/>
  <c r="K16"/>
  <c r="G16"/>
  <c r="E16"/>
  <c r="D16"/>
  <c r="C16"/>
  <c r="AB15"/>
  <c r="Z15"/>
  <c r="N15" l="1"/>
  <c r="K15"/>
  <c r="G15"/>
  <c r="E15"/>
  <c r="D15"/>
  <c r="C15"/>
  <c r="AB14"/>
  <c r="Z14"/>
  <c r="N14" l="1"/>
  <c r="K14"/>
  <c r="G14"/>
  <c r="E14"/>
  <c r="D14"/>
  <c r="C14"/>
  <c r="AB13"/>
  <c r="Z13"/>
  <c r="N13" l="1"/>
  <c r="K13"/>
  <c r="G13"/>
  <c r="E13"/>
  <c r="D13"/>
  <c r="C13"/>
  <c r="AB12"/>
  <c r="Z12"/>
  <c r="N12" l="1"/>
  <c r="K12"/>
  <c r="G12"/>
  <c r="E12"/>
  <c r="D12"/>
  <c r="C12"/>
  <c r="AB11"/>
  <c r="Z11"/>
  <c r="N11" l="1"/>
  <c r="K11"/>
  <c r="G11"/>
  <c r="E11"/>
  <c r="D11"/>
  <c r="C11"/>
  <c r="AB10"/>
  <c r="Z10"/>
  <c r="N10" l="1"/>
  <c r="K10"/>
  <c r="G10"/>
  <c r="E10"/>
  <c r="D10"/>
  <c r="C10"/>
  <c r="AB9"/>
  <c r="Z9"/>
  <c r="N9" l="1"/>
  <c r="K9"/>
  <c r="G9"/>
  <c r="E9"/>
  <c r="D9"/>
  <c r="C9"/>
  <c r="AB8"/>
  <c r="Z8"/>
  <c r="N8" l="1"/>
  <c r="K8"/>
  <c r="G8"/>
  <c r="E8"/>
  <c r="D8"/>
  <c r="C8"/>
  <c r="Z7"/>
  <c r="N7" l="1"/>
  <c r="K7"/>
  <c r="G7"/>
  <c r="E7"/>
  <c r="D7"/>
  <c r="C7"/>
  <c r="AB6"/>
  <c r="Z6"/>
  <c r="N6" l="1"/>
  <c r="K6"/>
  <c r="G6"/>
  <c r="E6"/>
  <c r="D6"/>
  <c r="C6"/>
  <c r="Z5"/>
  <c r="N5"/>
  <c r="K5"/>
  <c r="G5"/>
  <c r="E5"/>
  <c r="D5"/>
  <c r="C5"/>
  <c r="K4"/>
  <c r="E3" i="27"/>
  <c r="J3" s="1"/>
  <c r="E4"/>
  <c r="J4" s="1"/>
  <c r="E5"/>
  <c r="J5" s="1"/>
  <c r="E6"/>
  <c r="J6" s="1"/>
  <c r="E7"/>
  <c r="J7" s="1"/>
  <c r="E8"/>
  <c r="J8" s="1"/>
  <c r="E9"/>
  <c r="J9" s="1"/>
  <c r="E10"/>
  <c r="J10" s="1"/>
  <c r="E11"/>
  <c r="J11" s="1"/>
  <c r="E12"/>
  <c r="J12" s="1"/>
  <c r="E13"/>
  <c r="J13" s="1"/>
  <c r="E14"/>
  <c r="J14" s="1"/>
  <c r="E15"/>
  <c r="J15" s="1"/>
  <c r="E16"/>
  <c r="J16" s="1"/>
  <c r="E17"/>
  <c r="J17" s="1"/>
  <c r="E18"/>
  <c r="J18" s="1"/>
  <c r="E19"/>
  <c r="J19" s="1"/>
  <c r="E20"/>
  <c r="J20" s="1"/>
  <c r="E21"/>
  <c r="J21" s="1"/>
  <c r="E22"/>
  <c r="J22" s="1"/>
  <c r="E23"/>
  <c r="J23" s="1"/>
  <c r="E24"/>
  <c r="J24" s="1"/>
  <c r="E25"/>
  <c r="J25" s="1"/>
  <c r="E26"/>
  <c r="J26" s="1"/>
  <c r="E27"/>
  <c r="J27" s="1"/>
  <c r="E28"/>
  <c r="J28" s="1"/>
  <c r="E29"/>
  <c r="J29" s="1"/>
  <c r="E30"/>
  <c r="J30" s="1"/>
  <c r="E31"/>
  <c r="J31" s="1"/>
  <c r="E32"/>
  <c r="J32" s="1"/>
  <c r="E33"/>
  <c r="J33" s="1"/>
  <c r="E34"/>
  <c r="J34" s="1"/>
  <c r="E35"/>
  <c r="J35" s="1"/>
  <c r="E36"/>
  <c r="J36" s="1"/>
  <c r="E37"/>
  <c r="J37" s="1"/>
  <c r="E38"/>
  <c r="J38" s="1"/>
  <c r="E39"/>
  <c r="J39" s="1"/>
  <c r="E40"/>
  <c r="J40" s="1"/>
  <c r="E41"/>
  <c r="J41" s="1"/>
  <c r="E42"/>
  <c r="J42" s="1"/>
  <c r="E43"/>
  <c r="J43" s="1"/>
  <c r="E44"/>
  <c r="J44" s="1"/>
  <c r="E45"/>
  <c r="J45" s="1"/>
  <c r="E46"/>
  <c r="J46" s="1"/>
  <c r="E47"/>
  <c r="J47" s="1"/>
  <c r="E48"/>
  <c r="J48" s="1"/>
  <c r="E49"/>
  <c r="J49" s="1"/>
  <c r="E50"/>
  <c r="J50" s="1"/>
  <c r="E51"/>
  <c r="J51" s="1"/>
  <c r="E52"/>
  <c r="J52" s="1"/>
  <c r="E53"/>
  <c r="J53" s="1"/>
  <c r="E54"/>
  <c r="J54" s="1"/>
  <c r="E55"/>
  <c r="J55" s="1"/>
  <c r="E56"/>
  <c r="J56" s="1"/>
  <c r="E57"/>
  <c r="J57" s="1"/>
  <c r="E58"/>
  <c r="J58" s="1"/>
  <c r="E59"/>
  <c r="J59" s="1"/>
  <c r="E60"/>
  <c r="J60" s="1"/>
  <c r="E61"/>
  <c r="J61" s="1"/>
  <c r="E62"/>
  <c r="J62" s="1"/>
  <c r="E63"/>
  <c r="J63" s="1"/>
  <c r="E64"/>
  <c r="J64" s="1"/>
  <c r="E65"/>
  <c r="J65" s="1"/>
  <c r="E66"/>
  <c r="J66" s="1"/>
  <c r="E67"/>
  <c r="J67" s="1"/>
  <c r="E68"/>
  <c r="J68" s="1"/>
  <c r="E69"/>
  <c r="J69" s="1"/>
  <c r="E70"/>
  <c r="J70" s="1"/>
  <c r="E71"/>
  <c r="J71" s="1"/>
  <c r="E72"/>
  <c r="J72" s="1"/>
  <c r="E73"/>
  <c r="J73" s="1"/>
  <c r="E74"/>
  <c r="J74" s="1"/>
  <c r="E75"/>
  <c r="J75" s="1"/>
  <c r="E76"/>
  <c r="J76" s="1"/>
  <c r="E77"/>
  <c r="J77" s="1"/>
  <c r="E78"/>
  <c r="J78" s="1"/>
  <c r="E79"/>
  <c r="J79" s="1"/>
  <c r="E80"/>
  <c r="J80" s="1"/>
  <c r="E81"/>
  <c r="J81" s="1"/>
  <c r="E82"/>
  <c r="J82" s="1"/>
  <c r="E83"/>
  <c r="J83" s="1"/>
  <c r="E84"/>
  <c r="J84" s="1"/>
  <c r="E85"/>
  <c r="J85" s="1"/>
  <c r="E86"/>
  <c r="J86" s="1"/>
  <c r="E87"/>
  <c r="J87" s="1"/>
  <c r="E88"/>
  <c r="J88" s="1"/>
  <c r="E89"/>
  <c r="J89" s="1"/>
  <c r="E90"/>
  <c r="J90" s="1"/>
  <c r="E91"/>
  <c r="J91" s="1"/>
  <c r="E92"/>
  <c r="J92" s="1"/>
  <c r="E93"/>
  <c r="J93" s="1"/>
  <c r="E94"/>
  <c r="J94" s="1"/>
  <c r="E95"/>
  <c r="J95" s="1"/>
  <c r="E96"/>
  <c r="J96" s="1"/>
  <c r="E97"/>
  <c r="J97" s="1"/>
  <c r="E98"/>
  <c r="J98" s="1"/>
  <c r="E99"/>
  <c r="J99" s="1"/>
  <c r="E100"/>
  <c r="J100" s="1"/>
  <c r="E101"/>
  <c r="J101" s="1"/>
  <c r="E102"/>
  <c r="J102" s="1"/>
  <c r="E103"/>
  <c r="J103" s="1"/>
  <c r="E104"/>
  <c r="J104" s="1"/>
  <c r="E105"/>
  <c r="J105" s="1"/>
  <c r="E106"/>
  <c r="J106" s="1"/>
  <c r="E107"/>
  <c r="J107" s="1"/>
  <c r="E108"/>
  <c r="J108" s="1"/>
  <c r="E109"/>
  <c r="J109" s="1"/>
  <c r="E110"/>
  <c r="J110" s="1"/>
  <c r="E111"/>
  <c r="J111" s="1"/>
  <c r="E112"/>
  <c r="J112" s="1"/>
  <c r="E113"/>
  <c r="J113" s="1"/>
  <c r="E114"/>
  <c r="J114" s="1"/>
  <c r="E115"/>
  <c r="J115" s="1"/>
  <c r="E116"/>
  <c r="J116" s="1"/>
  <c r="E117"/>
  <c r="J117" s="1"/>
  <c r="E118"/>
  <c r="J118" s="1"/>
  <c r="E119"/>
  <c r="J119" s="1"/>
  <c r="E120"/>
  <c r="J120" s="1"/>
  <c r="E121"/>
  <c r="J121" s="1"/>
  <c r="E122"/>
  <c r="J122" s="1"/>
  <c r="E123"/>
  <c r="J123" s="1"/>
  <c r="E124"/>
  <c r="J124" s="1"/>
  <c r="E125"/>
  <c r="J125" s="1"/>
  <c r="E126"/>
  <c r="J126" s="1"/>
  <c r="E127"/>
  <c r="J127" s="1"/>
  <c r="E128"/>
  <c r="J128" s="1"/>
  <c r="E129"/>
  <c r="J129" s="1"/>
  <c r="E130"/>
  <c r="J130" s="1"/>
  <c r="E131"/>
  <c r="J131" s="1"/>
  <c r="E132"/>
  <c r="J132" s="1"/>
  <c r="E133"/>
  <c r="J133" s="1"/>
  <c r="E134"/>
  <c r="J134" s="1"/>
  <c r="E135"/>
  <c r="J135" s="1"/>
  <c r="E136"/>
  <c r="J136" s="1"/>
  <c r="E137"/>
  <c r="J137" s="1"/>
  <c r="E138"/>
  <c r="J138" s="1"/>
  <c r="E139"/>
  <c r="J139" s="1"/>
  <c r="E140"/>
  <c r="J140" s="1"/>
  <c r="E141"/>
  <c r="J141" s="1"/>
  <c r="E142"/>
  <c r="J142" s="1"/>
  <c r="E143"/>
  <c r="J143" s="1"/>
  <c r="E144"/>
  <c r="J144" s="1"/>
  <c r="E145"/>
  <c r="J145" s="1"/>
  <c r="E146"/>
  <c r="J146" s="1"/>
  <c r="E147"/>
  <c r="J147" s="1"/>
  <c r="E148"/>
  <c r="J148" s="1"/>
  <c r="E149"/>
  <c r="J149" s="1"/>
  <c r="E150"/>
  <c r="J150" s="1"/>
  <c r="E151"/>
  <c r="J151" s="1"/>
  <c r="E152"/>
  <c r="J152" s="1"/>
  <c r="E153"/>
  <c r="J153" s="1"/>
  <c r="E154"/>
  <c r="J154" s="1"/>
  <c r="E155"/>
  <c r="J155" s="1"/>
  <c r="E156"/>
  <c r="J156" s="1"/>
  <c r="E157"/>
  <c r="J157" s="1"/>
  <c r="E158"/>
  <c r="J158" s="1"/>
  <c r="E159"/>
  <c r="J159" s="1"/>
  <c r="E160"/>
  <c r="J160" s="1"/>
  <c r="E161"/>
  <c r="J161" s="1"/>
  <c r="E162"/>
  <c r="J162" s="1"/>
  <c r="E163"/>
  <c r="J163" s="1"/>
  <c r="E164"/>
  <c r="J164" s="1"/>
  <c r="E165"/>
  <c r="J165" s="1"/>
  <c r="E166"/>
  <c r="J166" s="1"/>
  <c r="E167"/>
  <c r="J167" s="1"/>
  <c r="E168"/>
  <c r="J168" s="1"/>
  <c r="E169"/>
  <c r="J169" s="1"/>
  <c r="E170"/>
  <c r="J170" s="1"/>
  <c r="E171"/>
  <c r="J171" s="1"/>
  <c r="E172"/>
  <c r="J172" s="1"/>
  <c r="E173"/>
  <c r="J173" s="1"/>
  <c r="E174"/>
  <c r="J174" s="1"/>
  <c r="E175"/>
  <c r="J175" s="1"/>
  <c r="E176"/>
  <c r="J176" s="1"/>
  <c r="E177"/>
  <c r="J177" s="1"/>
  <c r="E178"/>
  <c r="J178" s="1"/>
  <c r="E179"/>
  <c r="J179" s="1"/>
  <c r="E180"/>
  <c r="J180" s="1"/>
  <c r="E181"/>
  <c r="J181" s="1"/>
  <c r="E182"/>
  <c r="J182" s="1"/>
  <c r="E183"/>
  <c r="J183" s="1"/>
  <c r="E184"/>
  <c r="J184" s="1"/>
  <c r="E185"/>
  <c r="J185" s="1"/>
  <c r="E186"/>
  <c r="J186" s="1"/>
  <c r="E187"/>
  <c r="J187" s="1"/>
  <c r="E188"/>
  <c r="J188" s="1"/>
  <c r="E189"/>
  <c r="J189" s="1"/>
  <c r="E190"/>
  <c r="J190" s="1"/>
  <c r="E191"/>
  <c r="J191" s="1"/>
  <c r="E192"/>
  <c r="J192" s="1"/>
  <c r="E193"/>
  <c r="J193" s="1"/>
  <c r="E194"/>
  <c r="J194" s="1"/>
  <c r="E195"/>
  <c r="J195" s="1"/>
  <c r="E196"/>
  <c r="J196" s="1"/>
  <c r="E197"/>
  <c r="J197" s="1"/>
  <c r="E198"/>
  <c r="J198" s="1"/>
  <c r="E199"/>
  <c r="J199" s="1"/>
  <c r="E200"/>
  <c r="J200" s="1"/>
  <c r="E201"/>
  <c r="J201" s="1"/>
  <c r="E202"/>
  <c r="J202" s="1"/>
  <c r="E203"/>
  <c r="J203" s="1"/>
  <c r="E204"/>
  <c r="J204" s="1"/>
  <c r="E205"/>
  <c r="J205" s="1"/>
  <c r="E206"/>
  <c r="J206" s="1"/>
  <c r="E207"/>
  <c r="J207" s="1"/>
  <c r="E208"/>
  <c r="J208" s="1"/>
  <c r="E209"/>
  <c r="J209" s="1"/>
  <c r="E210"/>
  <c r="J210" s="1"/>
  <c r="E211"/>
  <c r="J211" s="1"/>
  <c r="E212"/>
  <c r="J212" s="1"/>
  <c r="E213"/>
  <c r="J213" s="1"/>
  <c r="E214"/>
  <c r="J214" s="1"/>
  <c r="E215"/>
  <c r="J215" s="1"/>
  <c r="E216"/>
  <c r="J216" s="1"/>
  <c r="E217"/>
  <c r="J217" s="1"/>
  <c r="E218"/>
  <c r="J218" s="1"/>
  <c r="E219"/>
  <c r="J219" s="1"/>
  <c r="E220"/>
  <c r="J220" s="1"/>
  <c r="E221"/>
  <c r="J221" s="1"/>
  <c r="E222"/>
  <c r="J222" s="1"/>
  <c r="E223"/>
  <c r="J223" s="1"/>
  <c r="E224"/>
  <c r="J224" s="1"/>
  <c r="E225"/>
  <c r="J225" s="1"/>
  <c r="E226"/>
  <c r="J226" s="1"/>
  <c r="E227"/>
  <c r="J227" s="1"/>
  <c r="E228"/>
  <c r="J228" s="1"/>
  <c r="E229"/>
  <c r="J229" s="1"/>
  <c r="E230"/>
  <c r="J230" s="1"/>
  <c r="E231"/>
  <c r="J231" s="1"/>
  <c r="E232"/>
  <c r="J232" s="1"/>
  <c r="E233"/>
  <c r="J233" s="1"/>
  <c r="E234"/>
  <c r="J234" s="1"/>
  <c r="E235"/>
  <c r="J235" s="1"/>
  <c r="E236"/>
  <c r="J236" s="1"/>
  <c r="E237"/>
  <c r="J237" s="1"/>
  <c r="E238"/>
  <c r="J238" s="1"/>
  <c r="E239"/>
  <c r="J239" s="1"/>
  <c r="E240"/>
  <c r="J240" s="1"/>
  <c r="E241"/>
  <c r="J241" s="1"/>
  <c r="E242"/>
  <c r="J242" s="1"/>
  <c r="E243"/>
  <c r="J243" s="1"/>
  <c r="E244"/>
  <c r="J244" s="1"/>
  <c r="E245"/>
  <c r="J245" s="1"/>
  <c r="E246"/>
  <c r="J246" s="1"/>
  <c r="E247"/>
  <c r="J247" s="1"/>
  <c r="E248"/>
  <c r="J248" s="1"/>
  <c r="E249"/>
  <c r="J249" s="1"/>
  <c r="E250"/>
  <c r="J250" s="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J3" i="14" l="1"/>
  <c r="CK3"/>
  <c r="BL3"/>
  <c r="BK3"/>
  <c r="BJ3"/>
  <c r="BI3"/>
  <c r="BH3"/>
  <c r="BG3"/>
  <c r="BF3"/>
  <c r="BE3"/>
  <c r="BD3"/>
  <c r="W27" i="22"/>
  <c r="W15"/>
  <c r="W19"/>
  <c r="W26"/>
  <c r="W17"/>
  <c r="W16"/>
  <c r="AG1" i="12"/>
  <c r="AD1"/>
  <c r="AF1"/>
  <c r="AE1"/>
  <c r="AI1"/>
  <c r="AB1"/>
  <c r="AC1"/>
  <c r="AH1"/>
  <c r="AA1"/>
  <c r="W11" i="22" l="1"/>
  <c r="W18"/>
  <c r="W25"/>
  <c r="E2" i="27"/>
  <c r="C2"/>
  <c r="W13" i="22"/>
  <c r="W12"/>
  <c r="W10"/>
  <c r="W9"/>
  <c r="W8"/>
  <c r="W6"/>
  <c r="W14"/>
  <c r="W5"/>
  <c r="W7"/>
  <c r="AB7" l="1"/>
  <c r="AB5"/>
  <c r="D4"/>
  <c r="AJ1" i="12" l="1"/>
  <c r="BK2" s="1"/>
  <c r="CI3" i="14"/>
  <c r="CH3"/>
  <c r="CG3"/>
  <c r="CF3"/>
  <c r="CE3"/>
  <c r="CD3"/>
  <c r="CC3"/>
  <c r="T75" i="22" l="1"/>
  <c r="T106"/>
  <c r="T122"/>
  <c r="T143"/>
  <c r="T151"/>
  <c r="T159"/>
  <c r="T167"/>
  <c r="T175"/>
  <c r="T189"/>
  <c r="T197"/>
  <c r="T205"/>
  <c r="T213"/>
  <c r="T221"/>
  <c r="T235"/>
  <c r="T243"/>
  <c r="T251"/>
  <c r="T259"/>
  <c r="T267"/>
  <c r="T59"/>
  <c r="T83"/>
  <c r="T131"/>
  <c r="T101"/>
  <c r="T121"/>
  <c r="T80"/>
  <c r="T50"/>
  <c r="T66"/>
  <c r="T82"/>
  <c r="T113"/>
  <c r="T57"/>
  <c r="T85"/>
  <c r="T124"/>
  <c r="T158"/>
  <c r="T178"/>
  <c r="T194"/>
  <c r="T202"/>
  <c r="T210"/>
  <c r="T218"/>
  <c r="T226"/>
  <c r="T240"/>
  <c r="T248"/>
  <c r="T256"/>
  <c r="T264"/>
  <c r="T272"/>
  <c r="T73"/>
  <c r="T120"/>
  <c r="T162"/>
  <c r="T111"/>
  <c r="T164"/>
  <c r="T156"/>
  <c r="T176"/>
  <c r="T146"/>
  <c r="T192"/>
  <c r="T208"/>
  <c r="T224"/>
  <c r="T246"/>
  <c r="T262"/>
  <c r="T65"/>
  <c r="T107"/>
  <c r="T152"/>
  <c r="T123"/>
  <c r="T144"/>
  <c r="T172"/>
  <c r="T63"/>
  <c r="T102"/>
  <c r="T118"/>
  <c r="T134"/>
  <c r="T149"/>
  <c r="T157"/>
  <c r="T165"/>
  <c r="T173"/>
  <c r="T181"/>
  <c r="T195"/>
  <c r="T203"/>
  <c r="T211"/>
  <c r="T219"/>
  <c r="T227"/>
  <c r="T241"/>
  <c r="T249"/>
  <c r="T257"/>
  <c r="T265"/>
  <c r="T55"/>
  <c r="T79"/>
  <c r="T127"/>
  <c r="T97"/>
  <c r="T52"/>
  <c r="T76"/>
  <c r="T115"/>
  <c r="T62"/>
  <c r="T78"/>
  <c r="T109"/>
  <c r="T133"/>
  <c r="T81"/>
  <c r="T112"/>
  <c r="T174"/>
  <c r="T200"/>
  <c r="T216"/>
  <c r="T238"/>
  <c r="T254"/>
  <c r="T270"/>
  <c r="T116"/>
  <c r="T154"/>
  <c r="T148"/>
  <c r="T160"/>
  <c r="T51"/>
  <c r="T98"/>
  <c r="T114"/>
  <c r="T130"/>
  <c r="T147"/>
  <c r="T155"/>
  <c r="T163"/>
  <c r="T171"/>
  <c r="T179"/>
  <c r="T193"/>
  <c r="T201"/>
  <c r="T209"/>
  <c r="T217"/>
  <c r="T225"/>
  <c r="T239"/>
  <c r="T247"/>
  <c r="T255"/>
  <c r="T263"/>
  <c r="T271"/>
  <c r="T71"/>
  <c r="T60"/>
  <c r="T64"/>
  <c r="T68"/>
  <c r="T125"/>
  <c r="T88"/>
  <c r="T58"/>
  <c r="T74"/>
  <c r="T96"/>
  <c r="T129"/>
  <c r="T77"/>
  <c r="T100"/>
  <c r="T142"/>
  <c r="T170"/>
  <c r="T190"/>
  <c r="T198"/>
  <c r="T206"/>
  <c r="T214"/>
  <c r="T222"/>
  <c r="T236"/>
  <c r="T244"/>
  <c r="T252"/>
  <c r="T260"/>
  <c r="T268"/>
  <c r="T61"/>
  <c r="T108"/>
  <c r="T150"/>
  <c r="T103"/>
  <c r="T180"/>
  <c r="T273"/>
  <c r="T87"/>
  <c r="T110"/>
  <c r="T126"/>
  <c r="T145"/>
  <c r="T153"/>
  <c r="T161"/>
  <c r="T169"/>
  <c r="T177"/>
  <c r="T191"/>
  <c r="T199"/>
  <c r="T207"/>
  <c r="T215"/>
  <c r="T223"/>
  <c r="T237"/>
  <c r="T245"/>
  <c r="T253"/>
  <c r="T261"/>
  <c r="T269"/>
  <c r="T67"/>
  <c r="T56"/>
  <c r="T135"/>
  <c r="T105"/>
  <c r="T72"/>
  <c r="T84"/>
  <c r="T54"/>
  <c r="T70"/>
  <c r="T86"/>
  <c r="T117"/>
  <c r="T69"/>
  <c r="T89"/>
  <c r="T132"/>
  <c r="T166"/>
  <c r="T188"/>
  <c r="T196"/>
  <c r="T204"/>
  <c r="T212"/>
  <c r="T220"/>
  <c r="T234"/>
  <c r="T242"/>
  <c r="T250"/>
  <c r="T258"/>
  <c r="T266"/>
  <c r="T53"/>
  <c r="T104"/>
  <c r="T128"/>
  <c r="T99"/>
  <c r="T119"/>
  <c r="T168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7"/>
  <c r="T5"/>
  <c r="T6"/>
  <c r="T8"/>
  <c r="W2" i="21"/>
  <c r="U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W3"/>
  <c r="W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4" i="22"/>
  <c r="T4" l="1"/>
  <c r="BH6"/>
  <c r="AB4"/>
  <c r="AA44" i="21" l="1" a="1"/>
  <c r="AA44" s="1"/>
  <c r="Y44" s="1"/>
  <c r="AA43" a="1"/>
  <c r="AA43" s="1"/>
  <c r="Y43" s="1"/>
  <c r="Y41"/>
  <c r="Y38"/>
  <c r="Y37"/>
  <c r="Y35"/>
  <c r="Y34"/>
  <c r="Y32"/>
  <c r="B41" l="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X41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X42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X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X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X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X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X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X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X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X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X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X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X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X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X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X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X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X58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X59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X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X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X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X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X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X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X66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X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X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X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X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X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X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X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X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X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X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X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X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X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X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X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X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X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X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X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X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X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X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X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X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X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X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X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X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X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X96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X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X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X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X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X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X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X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X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X105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X106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X107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X108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X109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X110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X111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X112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X113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X114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X115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X116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X117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X118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X119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X120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X121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X122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X123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X124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X125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X126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X127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X128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X129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X130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X131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X132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X133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X134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X135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X136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X137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X138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X139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X140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X141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X142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X143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X144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X145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X146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X147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X148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X149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X150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X151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X152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X153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X154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X155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X156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S157"/>
  <c r="T157"/>
  <c r="X157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X158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X159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X160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X161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X162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S163"/>
  <c r="T163"/>
  <c r="X163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X164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X165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S166"/>
  <c r="T166"/>
  <c r="X166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X167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X168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S169"/>
  <c r="T169"/>
  <c r="X169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X170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X171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X172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X173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X174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X175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X176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S177"/>
  <c r="T177"/>
  <c r="X177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S178"/>
  <c r="T178"/>
  <c r="X178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X179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X180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X181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X182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X183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X184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X185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X186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X187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X188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X189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X190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X191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X192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X193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X194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X195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X196"/>
  <c r="B197"/>
  <c r="C197"/>
  <c r="D197"/>
  <c r="E197"/>
  <c r="F197"/>
  <c r="G197"/>
  <c r="H197"/>
  <c r="I197"/>
  <c r="J197"/>
  <c r="K197"/>
  <c r="L197"/>
  <c r="M197"/>
  <c r="N197"/>
  <c r="O197"/>
  <c r="P197"/>
  <c r="Q197"/>
  <c r="R197"/>
  <c r="S197"/>
  <c r="T197"/>
  <c r="X197"/>
  <c r="B198"/>
  <c r="C198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X198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X199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X200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X201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X202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S203"/>
  <c r="T203"/>
  <c r="X203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X204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X205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X206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X207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X208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X209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X210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X211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X212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X213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S214"/>
  <c r="T214"/>
  <c r="X214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X215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X216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X217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X218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S219"/>
  <c r="T219"/>
  <c r="X219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X220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X221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X222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X223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X224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X225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X226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S227"/>
  <c r="T227"/>
  <c r="X227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S228"/>
  <c r="T228"/>
  <c r="X228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X229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S230"/>
  <c r="T230"/>
  <c r="X230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X231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X232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X233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S234"/>
  <c r="T234"/>
  <c r="X234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X235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S236"/>
  <c r="T236"/>
  <c r="X236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S237"/>
  <c r="T237"/>
  <c r="X237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X238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X239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X240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X241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X242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X243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S244"/>
  <c r="T244"/>
  <c r="X244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X245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X246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X247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X248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X249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X250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X251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S252"/>
  <c r="T252"/>
  <c r="X252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X253"/>
  <c r="B254"/>
  <c r="C254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X254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X255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X256"/>
  <c r="B257"/>
  <c r="C257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X257"/>
  <c r="B258"/>
  <c r="C258"/>
  <c r="D258"/>
  <c r="E258"/>
  <c r="F258"/>
  <c r="G258"/>
  <c r="H258"/>
  <c r="I258"/>
  <c r="J258"/>
  <c r="K258"/>
  <c r="L258"/>
  <c r="M258"/>
  <c r="N258"/>
  <c r="O258"/>
  <c r="P258"/>
  <c r="Q258"/>
  <c r="R258"/>
  <c r="S258"/>
  <c r="T258"/>
  <c r="X258"/>
  <c r="Y10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2"/>
  <c r="T77" i="16"/>
  <c r="S77"/>
  <c r="R77"/>
  <c r="Q77"/>
  <c r="P77"/>
  <c r="N77"/>
  <c r="M77"/>
  <c r="L77"/>
  <c r="K77"/>
  <c r="J77"/>
  <c r="I77"/>
  <c r="H77"/>
  <c r="G77"/>
  <c r="F77"/>
  <c r="E77"/>
  <c r="D77"/>
  <c r="C77"/>
  <c r="T76"/>
  <c r="S76"/>
  <c r="R76"/>
  <c r="Q76"/>
  <c r="P76"/>
  <c r="N76"/>
  <c r="M76"/>
  <c r="L76"/>
  <c r="K76"/>
  <c r="J76"/>
  <c r="I76"/>
  <c r="H76"/>
  <c r="G76"/>
  <c r="F76"/>
  <c r="E76"/>
  <c r="D76"/>
  <c r="C76"/>
  <c r="T75"/>
  <c r="S75"/>
  <c r="R75"/>
  <c r="Q75"/>
  <c r="P75"/>
  <c r="N75"/>
  <c r="M75"/>
  <c r="L75"/>
  <c r="K75"/>
  <c r="J75"/>
  <c r="I75"/>
  <c r="H75"/>
  <c r="G75"/>
  <c r="F75"/>
  <c r="E75"/>
  <c r="D75"/>
  <c r="C75"/>
  <c r="T74"/>
  <c r="S74"/>
  <c r="R74"/>
  <c r="Q74"/>
  <c r="P74"/>
  <c r="N74"/>
  <c r="M74"/>
  <c r="L74"/>
  <c r="K74"/>
  <c r="J74"/>
  <c r="I74"/>
  <c r="H74"/>
  <c r="G74"/>
  <c r="F74"/>
  <c r="E74"/>
  <c r="D74"/>
  <c r="C74"/>
  <c r="T73"/>
  <c r="S73"/>
  <c r="R73"/>
  <c r="Q73"/>
  <c r="P73"/>
  <c r="N73"/>
  <c r="M73"/>
  <c r="L73"/>
  <c r="K73"/>
  <c r="J73"/>
  <c r="I73"/>
  <c r="H73"/>
  <c r="G73"/>
  <c r="F73"/>
  <c r="E73"/>
  <c r="D73"/>
  <c r="C73"/>
  <c r="T72"/>
  <c r="S72"/>
  <c r="R72"/>
  <c r="Q72"/>
  <c r="P72"/>
  <c r="N72"/>
  <c r="M72"/>
  <c r="L72"/>
  <c r="K72"/>
  <c r="J72"/>
  <c r="I72"/>
  <c r="H72"/>
  <c r="G72"/>
  <c r="F72"/>
  <c r="E72"/>
  <c r="D72"/>
  <c r="C72"/>
  <c r="T71"/>
  <c r="S71"/>
  <c r="R71"/>
  <c r="Q71"/>
  <c r="P71"/>
  <c r="N71"/>
  <c r="M71"/>
  <c r="L71"/>
  <c r="K71"/>
  <c r="J71"/>
  <c r="I71"/>
  <c r="H71"/>
  <c r="G71"/>
  <c r="F71"/>
  <c r="E71"/>
  <c r="D71"/>
  <c r="C71"/>
  <c r="T70"/>
  <c r="S70"/>
  <c r="R70"/>
  <c r="Q70"/>
  <c r="P70"/>
  <c r="N70"/>
  <c r="M70"/>
  <c r="L70"/>
  <c r="K70"/>
  <c r="J70"/>
  <c r="I70"/>
  <c r="H70"/>
  <c r="G70"/>
  <c r="F70"/>
  <c r="E70"/>
  <c r="D70"/>
  <c r="C70"/>
  <c r="T69"/>
  <c r="S69"/>
  <c r="R69"/>
  <c r="Q69"/>
  <c r="P69"/>
  <c r="N69"/>
  <c r="M69"/>
  <c r="L69"/>
  <c r="K69"/>
  <c r="J69"/>
  <c r="I69"/>
  <c r="H69"/>
  <c r="G69"/>
  <c r="F69"/>
  <c r="E69"/>
  <c r="D69"/>
  <c r="C69"/>
  <c r="T68"/>
  <c r="S68"/>
  <c r="R68"/>
  <c r="Q68"/>
  <c r="P68"/>
  <c r="N68"/>
  <c r="M68"/>
  <c r="L68"/>
  <c r="K68"/>
  <c r="J68"/>
  <c r="I68"/>
  <c r="H68"/>
  <c r="G68"/>
  <c r="F68"/>
  <c r="E68"/>
  <c r="D68"/>
  <c r="C68"/>
  <c r="T67"/>
  <c r="S67"/>
  <c r="R67"/>
  <c r="Q67"/>
  <c r="P67"/>
  <c r="N67"/>
  <c r="M67"/>
  <c r="L67"/>
  <c r="K67"/>
  <c r="J67"/>
  <c r="I67"/>
  <c r="H67"/>
  <c r="G67"/>
  <c r="F67"/>
  <c r="E67"/>
  <c r="D67"/>
  <c r="C67"/>
  <c r="T66"/>
  <c r="S66"/>
  <c r="R66"/>
  <c r="Q66"/>
  <c r="P66"/>
  <c r="N66"/>
  <c r="M66"/>
  <c r="L66"/>
  <c r="K66"/>
  <c r="J66"/>
  <c r="I66"/>
  <c r="H66"/>
  <c r="G66"/>
  <c r="F66"/>
  <c r="E66"/>
  <c r="D66"/>
  <c r="C66"/>
  <c r="T65"/>
  <c r="S65"/>
  <c r="R65"/>
  <c r="Q65"/>
  <c r="P65"/>
  <c r="N65"/>
  <c r="M65"/>
  <c r="L65"/>
  <c r="K65"/>
  <c r="J65"/>
  <c r="I65"/>
  <c r="H65"/>
  <c r="G65"/>
  <c r="F65"/>
  <c r="E65"/>
  <c r="D65"/>
  <c r="C65"/>
  <c r="P64"/>
  <c r="P63"/>
  <c r="T62"/>
  <c r="S62"/>
  <c r="R62"/>
  <c r="Q62"/>
  <c r="P62"/>
  <c r="N62"/>
  <c r="M62"/>
  <c r="L62"/>
  <c r="K62"/>
  <c r="J62"/>
  <c r="I62"/>
  <c r="H62"/>
  <c r="G62"/>
  <c r="F62"/>
  <c r="E62"/>
  <c r="D62"/>
  <c r="C62"/>
  <c r="T61"/>
  <c r="S61"/>
  <c r="R61"/>
  <c r="Q61"/>
  <c r="P61"/>
  <c r="N61"/>
  <c r="M61"/>
  <c r="L61"/>
  <c r="K61"/>
  <c r="J61"/>
  <c r="I61"/>
  <c r="H61"/>
  <c r="G61"/>
  <c r="F61"/>
  <c r="E61"/>
  <c r="D61"/>
  <c r="C61"/>
  <c r="T60"/>
  <c r="S60"/>
  <c r="R60"/>
  <c r="Q60"/>
  <c r="P60"/>
  <c r="N60"/>
  <c r="M60"/>
  <c r="L60"/>
  <c r="K60"/>
  <c r="J60"/>
  <c r="I60"/>
  <c r="H60"/>
  <c r="G60"/>
  <c r="F60"/>
  <c r="E60"/>
  <c r="D60"/>
  <c r="C60"/>
  <c r="T59"/>
  <c r="S59"/>
  <c r="R59"/>
  <c r="Q59"/>
  <c r="P59"/>
  <c r="N59"/>
  <c r="M59"/>
  <c r="L59"/>
  <c r="K59"/>
  <c r="J59"/>
  <c r="I59"/>
  <c r="H59"/>
  <c r="G59"/>
  <c r="F59"/>
  <c r="E59"/>
  <c r="D59"/>
  <c r="C59"/>
  <c r="T58"/>
  <c r="S58"/>
  <c r="R58"/>
  <c r="Q58"/>
  <c r="P58"/>
  <c r="N58"/>
  <c r="M58"/>
  <c r="L58"/>
  <c r="K58"/>
  <c r="J58"/>
  <c r="I58"/>
  <c r="H58"/>
  <c r="G58"/>
  <c r="F58"/>
  <c r="E58"/>
  <c r="D58"/>
  <c r="C58"/>
  <c r="T57"/>
  <c r="S57"/>
  <c r="R57"/>
  <c r="Q57"/>
  <c r="P57"/>
  <c r="N57"/>
  <c r="M57"/>
  <c r="L57"/>
  <c r="K57"/>
  <c r="J57"/>
  <c r="I57"/>
  <c r="H57"/>
  <c r="G57"/>
  <c r="F57"/>
  <c r="E57"/>
  <c r="D57"/>
  <c r="C57"/>
  <c r="T56"/>
  <c r="S56"/>
  <c r="R56"/>
  <c r="Q56"/>
  <c r="P56"/>
  <c r="N56"/>
  <c r="M56"/>
  <c r="L56"/>
  <c r="K56"/>
  <c r="J56"/>
  <c r="I56"/>
  <c r="H56"/>
  <c r="G56"/>
  <c r="F56"/>
  <c r="E56"/>
  <c r="D56"/>
  <c r="C56"/>
  <c r="T55"/>
  <c r="S55"/>
  <c r="R55"/>
  <c r="Q55"/>
  <c r="P55"/>
  <c r="N55"/>
  <c r="M55"/>
  <c r="L55"/>
  <c r="K55"/>
  <c r="J55"/>
  <c r="I55"/>
  <c r="H55"/>
  <c r="G55"/>
  <c r="F55"/>
  <c r="E55"/>
  <c r="D55"/>
  <c r="C55"/>
  <c r="T54"/>
  <c r="S54"/>
  <c r="R54"/>
  <c r="Q54"/>
  <c r="P54"/>
  <c r="N54"/>
  <c r="M54"/>
  <c r="L54"/>
  <c r="K54"/>
  <c r="J54"/>
  <c r="I54"/>
  <c r="H54"/>
  <c r="G54"/>
  <c r="F54"/>
  <c r="E54"/>
  <c r="D54"/>
  <c r="C54"/>
  <c r="T53"/>
  <c r="S53"/>
  <c r="R53"/>
  <c r="Q53"/>
  <c r="P53"/>
  <c r="N53"/>
  <c r="M53"/>
  <c r="L53"/>
  <c r="K53"/>
  <c r="J53"/>
  <c r="I53"/>
  <c r="H53"/>
  <c r="G53"/>
  <c r="F53"/>
  <c r="E53"/>
  <c r="D53"/>
  <c r="C53"/>
  <c r="T52"/>
  <c r="S52"/>
  <c r="R52"/>
  <c r="Q52"/>
  <c r="P52"/>
  <c r="N52"/>
  <c r="M52"/>
  <c r="L52"/>
  <c r="K52"/>
  <c r="J52"/>
  <c r="I52"/>
  <c r="H52"/>
  <c r="G52"/>
  <c r="F52"/>
  <c r="E52"/>
  <c r="D52"/>
  <c r="C52"/>
  <c r="T51"/>
  <c r="S51"/>
  <c r="R51"/>
  <c r="Q51"/>
  <c r="P51"/>
  <c r="N51"/>
  <c r="M51"/>
  <c r="L51"/>
  <c r="K51"/>
  <c r="J51"/>
  <c r="I51"/>
  <c r="H51"/>
  <c r="G51"/>
  <c r="F51"/>
  <c r="E51"/>
  <c r="D51"/>
  <c r="C51"/>
  <c r="T50"/>
  <c r="S50"/>
  <c r="R50"/>
  <c r="Q50"/>
  <c r="P50"/>
  <c r="N50"/>
  <c r="M50"/>
  <c r="L50"/>
  <c r="K50"/>
  <c r="J50"/>
  <c r="I50"/>
  <c r="H50"/>
  <c r="G50"/>
  <c r="F50"/>
  <c r="E50"/>
  <c r="D50"/>
  <c r="C50"/>
  <c r="T49"/>
  <c r="S49"/>
  <c r="R49"/>
  <c r="Q49"/>
  <c r="P49"/>
  <c r="N49"/>
  <c r="M49"/>
  <c r="L49"/>
  <c r="K49"/>
  <c r="J49"/>
  <c r="I49"/>
  <c r="H49"/>
  <c r="G49"/>
  <c r="F49"/>
  <c r="E49"/>
  <c r="D49"/>
  <c r="C49"/>
  <c r="T48"/>
  <c r="S48"/>
  <c r="R48"/>
  <c r="Q48"/>
  <c r="P48"/>
  <c r="N48"/>
  <c r="M48"/>
  <c r="L48"/>
  <c r="K48"/>
  <c r="J48"/>
  <c r="I48"/>
  <c r="H48"/>
  <c r="G48"/>
  <c r="F48"/>
  <c r="E48"/>
  <c r="D48"/>
  <c r="C48"/>
  <c r="T47"/>
  <c r="S47"/>
  <c r="R47"/>
  <c r="Q47"/>
  <c r="P47"/>
  <c r="N47"/>
  <c r="M47"/>
  <c r="L47"/>
  <c r="K47"/>
  <c r="J47"/>
  <c r="I47"/>
  <c r="H47"/>
  <c r="G47"/>
  <c r="F47"/>
  <c r="E47"/>
  <c r="D47"/>
  <c r="C47"/>
  <c r="T46"/>
  <c r="S46"/>
  <c r="R46"/>
  <c r="Q46"/>
  <c r="P46"/>
  <c r="N46"/>
  <c r="M46"/>
  <c r="L46"/>
  <c r="K46"/>
  <c r="J46"/>
  <c r="I46"/>
  <c r="H46"/>
  <c r="G46"/>
  <c r="F46"/>
  <c r="E46"/>
  <c r="D46"/>
  <c r="C46"/>
  <c r="T45"/>
  <c r="S45"/>
  <c r="R45"/>
  <c r="Q45"/>
  <c r="P45"/>
  <c r="N45"/>
  <c r="M45"/>
  <c r="L45"/>
  <c r="K45"/>
  <c r="J45"/>
  <c r="I45"/>
  <c r="H45"/>
  <c r="G45"/>
  <c r="F45"/>
  <c r="E45"/>
  <c r="D45"/>
  <c r="C45"/>
  <c r="T44"/>
  <c r="S44"/>
  <c r="R44"/>
  <c r="Q44"/>
  <c r="P44"/>
  <c r="N44"/>
  <c r="M44"/>
  <c r="L44"/>
  <c r="K44"/>
  <c r="J44"/>
  <c r="I44"/>
  <c r="H44"/>
  <c r="G44"/>
  <c r="F44"/>
  <c r="E44"/>
  <c r="D44"/>
  <c r="C44"/>
  <c r="T43"/>
  <c r="S43"/>
  <c r="R43"/>
  <c r="Q43"/>
  <c r="P43"/>
  <c r="N43"/>
  <c r="M43"/>
  <c r="L43"/>
  <c r="K43"/>
  <c r="J43"/>
  <c r="I43"/>
  <c r="H43"/>
  <c r="G43"/>
  <c r="F43"/>
  <c r="E43"/>
  <c r="D43"/>
  <c r="C43"/>
  <c r="T42"/>
  <c r="S42"/>
  <c r="R42"/>
  <c r="Q42"/>
  <c r="P42"/>
  <c r="N42"/>
  <c r="M42"/>
  <c r="L42"/>
  <c r="K42"/>
  <c r="J42"/>
  <c r="I42"/>
  <c r="H42"/>
  <c r="G42"/>
  <c r="F42"/>
  <c r="E42"/>
  <c r="D42"/>
  <c r="C42"/>
  <c r="BD41"/>
  <c r="T41"/>
  <c r="S41"/>
  <c r="R41"/>
  <c r="Q41"/>
  <c r="P41"/>
  <c r="N41"/>
  <c r="M41"/>
  <c r="L41"/>
  <c r="K41"/>
  <c r="J41"/>
  <c r="I41"/>
  <c r="H41"/>
  <c r="G41"/>
  <c r="F41"/>
  <c r="E41"/>
  <c r="D41"/>
  <c r="C41"/>
  <c r="T40"/>
  <c r="S40"/>
  <c r="R40"/>
  <c r="Q40"/>
  <c r="P40"/>
  <c r="N40"/>
  <c r="M40"/>
  <c r="L40"/>
  <c r="K40"/>
  <c r="J40"/>
  <c r="I40"/>
  <c r="H40"/>
  <c r="G40"/>
  <c r="F40"/>
  <c r="E40"/>
  <c r="D40"/>
  <c r="C40"/>
  <c r="T39"/>
  <c r="S39"/>
  <c r="R39"/>
  <c r="Q39"/>
  <c r="P39"/>
  <c r="N39"/>
  <c r="M39"/>
  <c r="L39"/>
  <c r="K39"/>
  <c r="J39"/>
  <c r="I39"/>
  <c r="H39"/>
  <c r="G39"/>
  <c r="F39"/>
  <c r="E39"/>
  <c r="D39"/>
  <c r="C39"/>
  <c r="T38"/>
  <c r="S38"/>
  <c r="R38"/>
  <c r="Q38"/>
  <c r="P38"/>
  <c r="N38"/>
  <c r="M38"/>
  <c r="L38"/>
  <c r="K38"/>
  <c r="J38"/>
  <c r="I38"/>
  <c r="H38"/>
  <c r="G38"/>
  <c r="F38"/>
  <c r="E38"/>
  <c r="D38"/>
  <c r="C38"/>
  <c r="T37"/>
  <c r="S37"/>
  <c r="R37"/>
  <c r="Q37"/>
  <c r="P37"/>
  <c r="N37"/>
  <c r="M37"/>
  <c r="L37"/>
  <c r="K37"/>
  <c r="J37"/>
  <c r="I37"/>
  <c r="H37"/>
  <c r="G37"/>
  <c r="F37"/>
  <c r="E37"/>
  <c r="D37"/>
  <c r="C37"/>
  <c r="T36"/>
  <c r="S36"/>
  <c r="R36"/>
  <c r="Q36"/>
  <c r="P36"/>
  <c r="N36"/>
  <c r="M36"/>
  <c r="L36"/>
  <c r="K36"/>
  <c r="J36"/>
  <c r="I36"/>
  <c r="H36"/>
  <c r="G36"/>
  <c r="F36"/>
  <c r="E36"/>
  <c r="D36"/>
  <c r="C36"/>
  <c r="T35"/>
  <c r="S35"/>
  <c r="R35"/>
  <c r="Q35"/>
  <c r="P35"/>
  <c r="N35"/>
  <c r="M35"/>
  <c r="L35"/>
  <c r="K35"/>
  <c r="J35"/>
  <c r="I35"/>
  <c r="H35"/>
  <c r="G35"/>
  <c r="F35"/>
  <c r="E35"/>
  <c r="D35"/>
  <c r="C35"/>
  <c r="BH34"/>
  <c r="T34"/>
  <c r="S34"/>
  <c r="R34"/>
  <c r="Q34"/>
  <c r="P34"/>
  <c r="N34"/>
  <c r="M34"/>
  <c r="L34"/>
  <c r="K34"/>
  <c r="J34"/>
  <c r="I34"/>
  <c r="H34"/>
  <c r="G34"/>
  <c r="F34"/>
  <c r="E34"/>
  <c r="D34"/>
  <c r="C34"/>
  <c r="T33"/>
  <c r="S33"/>
  <c r="R33"/>
  <c r="Q33"/>
  <c r="P33"/>
  <c r="N33"/>
  <c r="M33"/>
  <c r="L33"/>
  <c r="K33"/>
  <c r="J33"/>
  <c r="I33"/>
  <c r="H33"/>
  <c r="G33"/>
  <c r="F33"/>
  <c r="E33"/>
  <c r="D33"/>
  <c r="C33"/>
  <c r="CG32"/>
  <c r="CF32"/>
  <c r="CE32"/>
  <c r="CD32"/>
  <c r="CC32"/>
  <c r="CB32"/>
  <c r="CA32"/>
  <c r="BJ32"/>
  <c r="BI32"/>
  <c r="BH32"/>
  <c r="BG32"/>
  <c r="BF32"/>
  <c r="BE32"/>
  <c r="BD32"/>
  <c r="T32"/>
  <c r="S32"/>
  <c r="R32"/>
  <c r="Q32"/>
  <c r="P32"/>
  <c r="N32"/>
  <c r="M32"/>
  <c r="L32"/>
  <c r="K32"/>
  <c r="J32"/>
  <c r="I32"/>
  <c r="H32"/>
  <c r="G32"/>
  <c r="F32"/>
  <c r="E32"/>
  <c r="D32"/>
  <c r="C32"/>
  <c r="T31"/>
  <c r="S31"/>
  <c r="R31"/>
  <c r="Q31"/>
  <c r="P31"/>
  <c r="N31"/>
  <c r="M31"/>
  <c r="L31"/>
  <c r="K31"/>
  <c r="J31"/>
  <c r="I31"/>
  <c r="H31"/>
  <c r="G31"/>
  <c r="F31"/>
  <c r="E31"/>
  <c r="D31"/>
  <c r="C31"/>
  <c r="T26"/>
  <c r="S26"/>
  <c r="R26"/>
  <c r="Q26"/>
  <c r="P26"/>
  <c r="N26"/>
  <c r="M26"/>
  <c r="L26"/>
  <c r="K26"/>
  <c r="J26"/>
  <c r="I26"/>
  <c r="H26"/>
  <c r="G26"/>
  <c r="F26"/>
  <c r="E26"/>
  <c r="D26"/>
  <c r="C26"/>
  <c r="CG29"/>
  <c r="CF29"/>
  <c r="CE29"/>
  <c r="CD29"/>
  <c r="CC29"/>
  <c r="CB29"/>
  <c r="CA29"/>
  <c r="BL29"/>
  <c r="BJ29"/>
  <c r="BI29"/>
  <c r="BH29"/>
  <c r="BG29"/>
  <c r="BF29"/>
  <c r="BE29"/>
  <c r="BD29"/>
  <c r="BC29"/>
  <c r="T22"/>
  <c r="S22"/>
  <c r="R22"/>
  <c r="Q22"/>
  <c r="P22"/>
  <c r="N22"/>
  <c r="M22"/>
  <c r="L22"/>
  <c r="K22"/>
  <c r="J22"/>
  <c r="I22"/>
  <c r="H22"/>
  <c r="G22"/>
  <c r="F22"/>
  <c r="E22"/>
  <c r="D22"/>
  <c r="C22"/>
  <c r="CG28"/>
  <c r="CF28"/>
  <c r="CE28"/>
  <c r="CD28"/>
  <c r="CC28"/>
  <c r="CB28"/>
  <c r="CA28"/>
  <c r="BL28"/>
  <c r="BJ28"/>
  <c r="BI28"/>
  <c r="BH28"/>
  <c r="BG28"/>
  <c r="BF28"/>
  <c r="BE28"/>
  <c r="BD28"/>
  <c r="BC28"/>
  <c r="T29"/>
  <c r="S29"/>
  <c r="R29"/>
  <c r="Q29"/>
  <c r="P29"/>
  <c r="N29"/>
  <c r="M29"/>
  <c r="L29"/>
  <c r="K29"/>
  <c r="J29"/>
  <c r="I29"/>
  <c r="H29"/>
  <c r="G29"/>
  <c r="F29"/>
  <c r="E29"/>
  <c r="D29"/>
  <c r="C29"/>
  <c r="CG27"/>
  <c r="CF27"/>
  <c r="CE27"/>
  <c r="CD27"/>
  <c r="CC27"/>
  <c r="CB27"/>
  <c r="CA27"/>
  <c r="BL27"/>
  <c r="BJ27"/>
  <c r="BI27"/>
  <c r="BH27"/>
  <c r="BG27"/>
  <c r="BF27"/>
  <c r="BE27"/>
  <c r="BD27"/>
  <c r="BC27"/>
  <c r="T28"/>
  <c r="S28"/>
  <c r="R28"/>
  <c r="Q28"/>
  <c r="P28"/>
  <c r="N28"/>
  <c r="M28"/>
  <c r="L28"/>
  <c r="K28"/>
  <c r="J28"/>
  <c r="I28"/>
  <c r="H28"/>
  <c r="G28"/>
  <c r="F28"/>
  <c r="E28"/>
  <c r="D28"/>
  <c r="C28"/>
  <c r="CG26"/>
  <c r="CF26"/>
  <c r="CE26"/>
  <c r="CD26"/>
  <c r="CC26"/>
  <c r="CB26"/>
  <c r="CA26"/>
  <c r="BL26"/>
  <c r="BJ26"/>
  <c r="BI26"/>
  <c r="BH26"/>
  <c r="BG26"/>
  <c r="BF26"/>
  <c r="BE26"/>
  <c r="BD26"/>
  <c r="BC26"/>
  <c r="T23"/>
  <c r="S23"/>
  <c r="R23"/>
  <c r="Q23"/>
  <c r="P23"/>
  <c r="N23"/>
  <c r="M23"/>
  <c r="L23"/>
  <c r="K23"/>
  <c r="J23"/>
  <c r="I23"/>
  <c r="H23"/>
  <c r="G23"/>
  <c r="F23"/>
  <c r="E23"/>
  <c r="D23"/>
  <c r="C23"/>
  <c r="CG25"/>
  <c r="CF25"/>
  <c r="CE25"/>
  <c r="CD25"/>
  <c r="CC25"/>
  <c r="CB25"/>
  <c r="CA25"/>
  <c r="BL25"/>
  <c r="BJ25"/>
  <c r="BI25"/>
  <c r="BH25"/>
  <c r="BG25"/>
  <c r="BF25"/>
  <c r="BE25"/>
  <c r="BD25"/>
  <c r="BC25"/>
  <c r="T25"/>
  <c r="S25"/>
  <c r="R25"/>
  <c r="Q25"/>
  <c r="P25"/>
  <c r="N25"/>
  <c r="M25"/>
  <c r="L25"/>
  <c r="K25"/>
  <c r="J25"/>
  <c r="I25"/>
  <c r="H25"/>
  <c r="G25"/>
  <c r="F25"/>
  <c r="E25"/>
  <c r="D25"/>
  <c r="C25"/>
  <c r="CG24"/>
  <c r="CF24"/>
  <c r="CE24"/>
  <c r="CD24"/>
  <c r="CC24"/>
  <c r="CB24"/>
  <c r="CA24"/>
  <c r="BL24"/>
  <c r="BJ24"/>
  <c r="BI24"/>
  <c r="BH24"/>
  <c r="BG24"/>
  <c r="BF24"/>
  <c r="BE24"/>
  <c r="BD24"/>
  <c r="BC24"/>
  <c r="T30"/>
  <c r="S30"/>
  <c r="R30"/>
  <c r="Q30"/>
  <c r="P30"/>
  <c r="N30"/>
  <c r="M30"/>
  <c r="L30"/>
  <c r="K30"/>
  <c r="J30"/>
  <c r="I30"/>
  <c r="H30"/>
  <c r="G30"/>
  <c r="F30"/>
  <c r="E30"/>
  <c r="D30"/>
  <c r="C30"/>
  <c r="CG23"/>
  <c r="CF23"/>
  <c r="CE23"/>
  <c r="CD23"/>
  <c r="CC23"/>
  <c r="CB23"/>
  <c r="CA23"/>
  <c r="BL23"/>
  <c r="BJ23"/>
  <c r="BI23"/>
  <c r="BH23"/>
  <c r="BG23"/>
  <c r="BF23"/>
  <c r="BE23"/>
  <c r="BD23"/>
  <c r="BC23"/>
  <c r="T24"/>
  <c r="S24"/>
  <c r="R24"/>
  <c r="Q24"/>
  <c r="P24"/>
  <c r="N24"/>
  <c r="M24"/>
  <c r="L24"/>
  <c r="K24"/>
  <c r="J24"/>
  <c r="I24"/>
  <c r="H24"/>
  <c r="G24"/>
  <c r="F24"/>
  <c r="E24"/>
  <c r="D24"/>
  <c r="C24"/>
  <c r="CG22"/>
  <c r="CF22"/>
  <c r="CE22"/>
  <c r="CD22"/>
  <c r="CC22"/>
  <c r="CB22"/>
  <c r="CA22"/>
  <c r="BL22"/>
  <c r="BJ22"/>
  <c r="BI22"/>
  <c r="BH22"/>
  <c r="BG22"/>
  <c r="BF22"/>
  <c r="BE22"/>
  <c r="BD22"/>
  <c r="BC22"/>
  <c r="T27"/>
  <c r="S27"/>
  <c r="R27"/>
  <c r="Q27"/>
  <c r="P27"/>
  <c r="N27"/>
  <c r="M27"/>
  <c r="L27"/>
  <c r="K27"/>
  <c r="J27"/>
  <c r="I27"/>
  <c r="H27"/>
  <c r="G27"/>
  <c r="F27"/>
  <c r="E27"/>
  <c r="D27"/>
  <c r="C27"/>
  <c r="CG21"/>
  <c r="CF21"/>
  <c r="CE21"/>
  <c r="CD21"/>
  <c r="CC21"/>
  <c r="CB21"/>
  <c r="CA21"/>
  <c r="BL21"/>
  <c r="BJ21"/>
  <c r="BI21"/>
  <c r="BH21"/>
  <c r="BG21"/>
  <c r="BF21"/>
  <c r="BE21"/>
  <c r="BD21"/>
  <c r="BC21"/>
  <c r="T21"/>
  <c r="S21"/>
  <c r="R21"/>
  <c r="Q21"/>
  <c r="P21"/>
  <c r="N21"/>
  <c r="M21"/>
  <c r="L21"/>
  <c r="K21"/>
  <c r="J21"/>
  <c r="I21"/>
  <c r="H21"/>
  <c r="G21"/>
  <c r="F21"/>
  <c r="E21"/>
  <c r="D21"/>
  <c r="C21"/>
  <c r="P80" l="1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W79"/>
  <c r="W80" s="1"/>
  <c r="V79"/>
  <c r="V80" s="1"/>
  <c r="O79"/>
  <c r="O80" s="1"/>
  <c r="W78"/>
  <c r="V78"/>
  <c r="U78"/>
  <c r="T78"/>
  <c r="S78"/>
  <c r="R78"/>
  <c r="Q78"/>
  <c r="O78"/>
  <c r="M78"/>
  <c r="BB77"/>
  <c r="BB76"/>
  <c r="BB75"/>
  <c r="BE74"/>
  <c r="BB74"/>
  <c r="BE73"/>
  <c r="BB73"/>
  <c r="BE72"/>
  <c r="BB72"/>
  <c r="BE71"/>
  <c r="BB71"/>
  <c r="BE70"/>
  <c r="BB70"/>
  <c r="X70"/>
  <c r="BE69"/>
  <c r="BB69"/>
  <c r="BE68"/>
  <c r="BE75" s="1"/>
  <c r="BB68"/>
  <c r="BB67"/>
  <c r="BJ66"/>
  <c r="BD66"/>
  <c r="BJ70" s="1"/>
  <c r="BB66"/>
  <c r="BB65"/>
  <c r="BB62"/>
  <c r="BB61"/>
  <c r="BB60"/>
  <c r="BB59"/>
  <c r="BB58"/>
  <c r="BB57"/>
  <c r="BD56"/>
  <c r="BB56"/>
  <c r="BB55"/>
  <c r="BB54"/>
  <c r="BB53"/>
  <c r="BB52"/>
  <c r="BB51"/>
  <c r="BD50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CG33"/>
  <c r="CG34" s="1"/>
  <c r="CF33"/>
  <c r="CF34" s="1"/>
  <c r="CE33"/>
  <c r="CE34" s="1"/>
  <c r="CD33"/>
  <c r="CD34" s="1"/>
  <c r="CC33"/>
  <c r="CC34" s="1"/>
  <c r="CB33"/>
  <c r="CB34" s="1"/>
  <c r="CA33"/>
  <c r="CA34" s="1"/>
  <c r="BJ33"/>
  <c r="BS33" s="1"/>
  <c r="BI33"/>
  <c r="BR33" s="1"/>
  <c r="BH33"/>
  <c r="BQ33" s="1"/>
  <c r="BG33"/>
  <c r="BG34" s="1"/>
  <c r="BF33"/>
  <c r="BF34" s="1"/>
  <c r="BE33"/>
  <c r="BE34" s="1"/>
  <c r="BD33"/>
  <c r="BD34" s="1"/>
  <c r="BB33"/>
  <c r="BB32"/>
  <c r="BB31"/>
  <c r="CG30"/>
  <c r="CF30"/>
  <c r="CE30"/>
  <c r="CD30"/>
  <c r="CC30"/>
  <c r="CB30"/>
  <c r="CA30"/>
  <c r="BS30"/>
  <c r="BR30"/>
  <c r="BQ30"/>
  <c r="BP30"/>
  <c r="BO30"/>
  <c r="BN30"/>
  <c r="BM30"/>
  <c r="BL30"/>
  <c r="BZ30" s="1"/>
  <c r="BB26"/>
  <c r="BZ29"/>
  <c r="BB22"/>
  <c r="BZ28"/>
  <c r="BB29"/>
  <c r="BZ27"/>
  <c r="BB28"/>
  <c r="BZ26"/>
  <c r="BB23"/>
  <c r="BZ25"/>
  <c r="BB25"/>
  <c r="BZ24"/>
  <c r="BB30"/>
  <c r="BZ23"/>
  <c r="BB24"/>
  <c r="BZ22"/>
  <c r="BB27"/>
  <c r="BZ21"/>
  <c r="BB21"/>
  <c r="T79"/>
  <c r="T80" s="1"/>
  <c r="S79"/>
  <c r="S80" s="1"/>
  <c r="R79"/>
  <c r="R80" s="1"/>
  <c r="Q79"/>
  <c r="Q80" s="1"/>
  <c r="M79"/>
  <c r="M80" s="1"/>
  <c r="L79"/>
  <c r="I79"/>
  <c r="E79"/>
  <c r="BS20"/>
  <c r="CG20" s="1"/>
  <c r="BR20"/>
  <c r="CF20" s="1"/>
  <c r="BQ20"/>
  <c r="CE20" s="1"/>
  <c r="BP20"/>
  <c r="CD20" s="1"/>
  <c r="BO20"/>
  <c r="CC20" s="1"/>
  <c r="BN20"/>
  <c r="CB20" s="1"/>
  <c r="BM20"/>
  <c r="CA20" s="1"/>
  <c r="C9"/>
  <c r="BD53" s="1"/>
  <c r="BO33" l="1"/>
  <c r="BN33"/>
  <c r="BB80"/>
  <c r="BJ72" s="1"/>
  <c r="BJ74" s="1"/>
  <c r="X56"/>
  <c r="X32"/>
  <c r="CH32"/>
  <c r="X48"/>
  <c r="X57"/>
  <c r="X61"/>
  <c r="X65"/>
  <c r="X58"/>
  <c r="X62"/>
  <c r="X66"/>
  <c r="BK27"/>
  <c r="BK28"/>
  <c r="BK29"/>
  <c r="BK32"/>
  <c r="X36"/>
  <c r="X38"/>
  <c r="X43"/>
  <c r="X51"/>
  <c r="X52"/>
  <c r="X49"/>
  <c r="X54"/>
  <c r="X60"/>
  <c r="X68"/>
  <c r="X75"/>
  <c r="X31"/>
  <c r="X37"/>
  <c r="X72"/>
  <c r="X34"/>
  <c r="X40"/>
  <c r="X45"/>
  <c r="X47"/>
  <c r="X50"/>
  <c r="X69"/>
  <c r="X33"/>
  <c r="X35"/>
  <c r="X39"/>
  <c r="X41"/>
  <c r="X42"/>
  <c r="X44"/>
  <c r="X46"/>
  <c r="X53"/>
  <c r="X55"/>
  <c r="X59"/>
  <c r="X67"/>
  <c r="X71"/>
  <c r="X73"/>
  <c r="X74"/>
  <c r="X76"/>
  <c r="X77"/>
  <c r="CH22"/>
  <c r="CH24"/>
  <c r="CH25"/>
  <c r="CH26"/>
  <c r="BT29"/>
  <c r="CH23"/>
  <c r="BT21"/>
  <c r="BT22"/>
  <c r="BT23"/>
  <c r="BT24"/>
  <c r="BT25"/>
  <c r="BT26"/>
  <c r="BT27"/>
  <c r="CH27"/>
  <c r="BT28"/>
  <c r="CH28"/>
  <c r="CH29"/>
  <c r="CH21"/>
  <c r="BK21"/>
  <c r="BK22"/>
  <c r="BK23"/>
  <c r="BK24"/>
  <c r="BK25"/>
  <c r="BK26"/>
  <c r="X26"/>
  <c r="X22"/>
  <c r="X29"/>
  <c r="G79"/>
  <c r="BF37" s="1"/>
  <c r="N79"/>
  <c r="N80" s="1"/>
  <c r="X28"/>
  <c r="X23"/>
  <c r="X25"/>
  <c r="H79"/>
  <c r="H80" s="1"/>
  <c r="K79"/>
  <c r="BH37" s="1"/>
  <c r="X30"/>
  <c r="J79"/>
  <c r="BG38" s="1"/>
  <c r="X24"/>
  <c r="D79"/>
  <c r="D80" s="1"/>
  <c r="C79"/>
  <c r="C80" s="1"/>
  <c r="X27"/>
  <c r="F79"/>
  <c r="F80" s="1"/>
  <c r="BK34"/>
  <c r="BT34"/>
  <c r="BE37"/>
  <c r="E80"/>
  <c r="BG37"/>
  <c r="I80"/>
  <c r="L80"/>
  <c r="BH38"/>
  <c r="BT32"/>
  <c r="X21"/>
  <c r="BP33"/>
  <c r="BD54" l="1"/>
  <c r="BU34"/>
  <c r="BD44" s="1"/>
  <c r="G80"/>
  <c r="K80"/>
  <c r="BD38"/>
  <c r="BF38"/>
  <c r="BE38"/>
  <c r="BD37"/>
  <c r="J80"/>
  <c r="X79"/>
  <c r="BK37" l="1"/>
  <c r="Y25" i="21" s="1"/>
  <c r="BD39" i="16"/>
  <c r="CH34"/>
  <c r="BJ39"/>
  <c r="BK38"/>
  <c r="Y29" i="21" l="1"/>
  <c r="Y30"/>
  <c r="Y26"/>
  <c r="Y28"/>
  <c r="Z77" l="1"/>
  <c r="Z76"/>
  <c r="Z117"/>
  <c r="Z108"/>
  <c r="Z107"/>
  <c r="AA97"/>
  <c r="Z81" l="1"/>
  <c r="Z75"/>
  <c r="Y78" s="1"/>
  <c r="AA81" l="1"/>
  <c r="Y81" s="1"/>
  <c r="Y77"/>
  <c r="Y76"/>
  <c r="Y75"/>
  <c r="Y117" l="1"/>
  <c r="B23" i="24" l="1"/>
  <c r="Z97" i="21"/>
  <c r="Y118" s="1"/>
  <c r="Y109" l="1"/>
  <c r="Y98"/>
  <c r="Y93" l="1"/>
  <c r="Y108"/>
  <c r="Y107"/>
  <c r="Y97"/>
  <c r="AF139" i="22" l="1"/>
  <c r="AF93"/>
  <c r="AF47"/>
  <c r="AF1"/>
  <c r="I1" i="28"/>
  <c r="Z87" i="21"/>
  <c r="Y15"/>
  <c r="O2" i="28" l="1"/>
  <c r="L3" i="27" l="1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"/>
  <c r="G2"/>
  <c r="K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7"/>
  <c r="B27"/>
  <c r="G27" l="1"/>
  <c r="B28"/>
  <c r="I28" s="1"/>
  <c r="D28"/>
  <c r="G28"/>
  <c r="H28"/>
  <c r="B29"/>
  <c r="I29" s="1"/>
  <c r="D29"/>
  <c r="G29"/>
  <c r="H29"/>
  <c r="B30"/>
  <c r="I30" s="1"/>
  <c r="D30"/>
  <c r="G30"/>
  <c r="H30"/>
  <c r="B31"/>
  <c r="I31" s="1"/>
  <c r="D31"/>
  <c r="G31"/>
  <c r="H31"/>
  <c r="B32"/>
  <c r="I32" s="1"/>
  <c r="D32"/>
  <c r="G32"/>
  <c r="H32"/>
  <c r="B33"/>
  <c r="I33" s="1"/>
  <c r="D33"/>
  <c r="G33"/>
  <c r="H33"/>
  <c r="B34"/>
  <c r="I34" s="1"/>
  <c r="D34"/>
  <c r="G34"/>
  <c r="H34"/>
  <c r="B35"/>
  <c r="I35" s="1"/>
  <c r="D35"/>
  <c r="G35"/>
  <c r="H35"/>
  <c r="B36"/>
  <c r="I36" s="1"/>
  <c r="D36"/>
  <c r="G36"/>
  <c r="H36"/>
  <c r="B37"/>
  <c r="I37" s="1"/>
  <c r="D37"/>
  <c r="G37"/>
  <c r="H37"/>
  <c r="B38"/>
  <c r="I38" s="1"/>
  <c r="D38"/>
  <c r="G38"/>
  <c r="H38"/>
  <c r="B39"/>
  <c r="I39" s="1"/>
  <c r="D39"/>
  <c r="G39"/>
  <c r="H39"/>
  <c r="B40"/>
  <c r="I40" s="1"/>
  <c r="D40"/>
  <c r="G40"/>
  <c r="H40"/>
  <c r="B41"/>
  <c r="I41" s="1"/>
  <c r="D41"/>
  <c r="G41"/>
  <c r="H41"/>
  <c r="B42"/>
  <c r="I42" s="1"/>
  <c r="D42"/>
  <c r="G42"/>
  <c r="H42"/>
  <c r="B43"/>
  <c r="I43" s="1"/>
  <c r="D43"/>
  <c r="G43"/>
  <c r="H43"/>
  <c r="B44"/>
  <c r="I44" s="1"/>
  <c r="D44"/>
  <c r="G44"/>
  <c r="H44"/>
  <c r="B45"/>
  <c r="I45" s="1"/>
  <c r="D45"/>
  <c r="G45"/>
  <c r="H45"/>
  <c r="B46"/>
  <c r="I46" s="1"/>
  <c r="D46"/>
  <c r="G46"/>
  <c r="H46"/>
  <c r="B47"/>
  <c r="I47" s="1"/>
  <c r="D47"/>
  <c r="G47"/>
  <c r="H47"/>
  <c r="B48"/>
  <c r="I48" s="1"/>
  <c r="D48"/>
  <c r="G48"/>
  <c r="H48"/>
  <c r="B49"/>
  <c r="I49" s="1"/>
  <c r="D49"/>
  <c r="G49"/>
  <c r="H49"/>
  <c r="B50"/>
  <c r="I50" s="1"/>
  <c r="D50"/>
  <c r="G50"/>
  <c r="H50"/>
  <c r="B51"/>
  <c r="I51" s="1"/>
  <c r="D51"/>
  <c r="G51"/>
  <c r="H51"/>
  <c r="B52"/>
  <c r="I52" s="1"/>
  <c r="D52"/>
  <c r="G52"/>
  <c r="H52"/>
  <c r="B53"/>
  <c r="I53" s="1"/>
  <c r="D53"/>
  <c r="G53"/>
  <c r="H53"/>
  <c r="B54"/>
  <c r="I54" s="1"/>
  <c r="D54"/>
  <c r="G54"/>
  <c r="H54"/>
  <c r="B55"/>
  <c r="I55" s="1"/>
  <c r="D55"/>
  <c r="G55"/>
  <c r="H55"/>
  <c r="B56"/>
  <c r="I56" s="1"/>
  <c r="D56"/>
  <c r="G56"/>
  <c r="H56"/>
  <c r="B57"/>
  <c r="I57" s="1"/>
  <c r="D57"/>
  <c r="G57"/>
  <c r="H57"/>
  <c r="B58"/>
  <c r="I58" s="1"/>
  <c r="D58"/>
  <c r="G58"/>
  <c r="H58"/>
  <c r="B59"/>
  <c r="I59" s="1"/>
  <c r="D59"/>
  <c r="G59"/>
  <c r="H59"/>
  <c r="B60"/>
  <c r="I60" s="1"/>
  <c r="D60"/>
  <c r="G60"/>
  <c r="H60"/>
  <c r="B61"/>
  <c r="I61" s="1"/>
  <c r="D61"/>
  <c r="G61"/>
  <c r="H61"/>
  <c r="B62"/>
  <c r="I62" s="1"/>
  <c r="D62"/>
  <c r="G62"/>
  <c r="H62"/>
  <c r="B63"/>
  <c r="I63" s="1"/>
  <c r="D63"/>
  <c r="G63"/>
  <c r="H63"/>
  <c r="B64"/>
  <c r="I64" s="1"/>
  <c r="D64"/>
  <c r="G64"/>
  <c r="H64"/>
  <c r="B65"/>
  <c r="I65" s="1"/>
  <c r="D65"/>
  <c r="G65"/>
  <c r="H65"/>
  <c r="B66"/>
  <c r="I66" s="1"/>
  <c r="D66"/>
  <c r="G66"/>
  <c r="H66"/>
  <c r="B67"/>
  <c r="I67" s="1"/>
  <c r="D67"/>
  <c r="G67"/>
  <c r="H67"/>
  <c r="B68"/>
  <c r="I68" s="1"/>
  <c r="D68"/>
  <c r="G68"/>
  <c r="H68"/>
  <c r="B69"/>
  <c r="I69" s="1"/>
  <c r="D69"/>
  <c r="G69"/>
  <c r="H69"/>
  <c r="B70"/>
  <c r="I70" s="1"/>
  <c r="D70"/>
  <c r="G70"/>
  <c r="H70"/>
  <c r="B71"/>
  <c r="I71" s="1"/>
  <c r="D71"/>
  <c r="G71"/>
  <c r="H71"/>
  <c r="B72"/>
  <c r="I72" s="1"/>
  <c r="D72"/>
  <c r="G72"/>
  <c r="H72"/>
  <c r="B73"/>
  <c r="I73" s="1"/>
  <c r="D73"/>
  <c r="G73"/>
  <c r="H73"/>
  <c r="B74"/>
  <c r="I74" s="1"/>
  <c r="D74"/>
  <c r="G74"/>
  <c r="H74"/>
  <c r="B75"/>
  <c r="I75" s="1"/>
  <c r="D75"/>
  <c r="G75"/>
  <c r="H75"/>
  <c r="B76"/>
  <c r="I76" s="1"/>
  <c r="D76"/>
  <c r="G76"/>
  <c r="H76"/>
  <c r="B77"/>
  <c r="I77" s="1"/>
  <c r="D77"/>
  <c r="G77"/>
  <c r="H77"/>
  <c r="B78"/>
  <c r="I78" s="1"/>
  <c r="D78"/>
  <c r="G78"/>
  <c r="H78"/>
  <c r="B79"/>
  <c r="I79" s="1"/>
  <c r="D79"/>
  <c r="G79"/>
  <c r="H79"/>
  <c r="B80"/>
  <c r="I80" s="1"/>
  <c r="D80"/>
  <c r="G80"/>
  <c r="H80"/>
  <c r="B81"/>
  <c r="I81" s="1"/>
  <c r="D81"/>
  <c r="G81"/>
  <c r="H81"/>
  <c r="B82"/>
  <c r="I82" s="1"/>
  <c r="D82"/>
  <c r="G82"/>
  <c r="H82"/>
  <c r="B83"/>
  <c r="I83" s="1"/>
  <c r="D83"/>
  <c r="G83"/>
  <c r="H83"/>
  <c r="B84"/>
  <c r="I84" s="1"/>
  <c r="D84"/>
  <c r="G84"/>
  <c r="H84"/>
  <c r="B85"/>
  <c r="I85" s="1"/>
  <c r="D85"/>
  <c r="G85"/>
  <c r="H85"/>
  <c r="B86"/>
  <c r="I86" s="1"/>
  <c r="D86"/>
  <c r="G86"/>
  <c r="H86"/>
  <c r="B87"/>
  <c r="I87" s="1"/>
  <c r="D87"/>
  <c r="G87"/>
  <c r="H87"/>
  <c r="B88"/>
  <c r="I88" s="1"/>
  <c r="D88"/>
  <c r="G88"/>
  <c r="H88"/>
  <c r="B89"/>
  <c r="I89" s="1"/>
  <c r="D89"/>
  <c r="G89"/>
  <c r="H89"/>
  <c r="B90"/>
  <c r="I90" s="1"/>
  <c r="D90"/>
  <c r="G90"/>
  <c r="H90"/>
  <c r="B91"/>
  <c r="I91" s="1"/>
  <c r="D91"/>
  <c r="G91"/>
  <c r="H91"/>
  <c r="B92"/>
  <c r="I92" s="1"/>
  <c r="D92"/>
  <c r="G92"/>
  <c r="H92"/>
  <c r="B93"/>
  <c r="I93" s="1"/>
  <c r="D93"/>
  <c r="G93"/>
  <c r="H93"/>
  <c r="B94"/>
  <c r="I94" s="1"/>
  <c r="D94"/>
  <c r="G94"/>
  <c r="H94"/>
  <c r="B95"/>
  <c r="I95" s="1"/>
  <c r="D95"/>
  <c r="G95"/>
  <c r="H95"/>
  <c r="B96"/>
  <c r="I96" s="1"/>
  <c r="D96"/>
  <c r="G96"/>
  <c r="H96"/>
  <c r="B97"/>
  <c r="I97" s="1"/>
  <c r="D97"/>
  <c r="G97"/>
  <c r="H97"/>
  <c r="B98"/>
  <c r="I98" s="1"/>
  <c r="D98"/>
  <c r="G98"/>
  <c r="H98"/>
  <c r="B99"/>
  <c r="I99" s="1"/>
  <c r="D99"/>
  <c r="G99"/>
  <c r="H99"/>
  <c r="B100"/>
  <c r="I100" s="1"/>
  <c r="D100"/>
  <c r="G100"/>
  <c r="H100"/>
  <c r="B101"/>
  <c r="I101" s="1"/>
  <c r="D101"/>
  <c r="G101"/>
  <c r="H101"/>
  <c r="B102"/>
  <c r="I102" s="1"/>
  <c r="D102"/>
  <c r="G102"/>
  <c r="H102"/>
  <c r="B103"/>
  <c r="I103" s="1"/>
  <c r="D103"/>
  <c r="G103"/>
  <c r="H103"/>
  <c r="B104"/>
  <c r="I104" s="1"/>
  <c r="D104"/>
  <c r="G104"/>
  <c r="H104"/>
  <c r="B105"/>
  <c r="I105" s="1"/>
  <c r="D105"/>
  <c r="G105"/>
  <c r="H105"/>
  <c r="B106"/>
  <c r="I106" s="1"/>
  <c r="D106"/>
  <c r="G106"/>
  <c r="H106"/>
  <c r="B107"/>
  <c r="I107" s="1"/>
  <c r="D107"/>
  <c r="G107"/>
  <c r="H107"/>
  <c r="B108"/>
  <c r="I108" s="1"/>
  <c r="D108"/>
  <c r="G108"/>
  <c r="H108"/>
  <c r="B109"/>
  <c r="I109" s="1"/>
  <c r="D109"/>
  <c r="G109"/>
  <c r="H109"/>
  <c r="B110"/>
  <c r="I110" s="1"/>
  <c r="D110"/>
  <c r="G110"/>
  <c r="H110"/>
  <c r="B111"/>
  <c r="I111" s="1"/>
  <c r="D111"/>
  <c r="G111"/>
  <c r="H111"/>
  <c r="B112"/>
  <c r="I112" s="1"/>
  <c r="D112"/>
  <c r="G112"/>
  <c r="H112"/>
  <c r="B113"/>
  <c r="I113" s="1"/>
  <c r="D113"/>
  <c r="G113"/>
  <c r="H113"/>
  <c r="B114"/>
  <c r="I114" s="1"/>
  <c r="D114"/>
  <c r="G114"/>
  <c r="H114"/>
  <c r="B115"/>
  <c r="I115" s="1"/>
  <c r="D115"/>
  <c r="G115"/>
  <c r="H115"/>
  <c r="B116"/>
  <c r="I116" s="1"/>
  <c r="D116"/>
  <c r="G116"/>
  <c r="H116"/>
  <c r="B117"/>
  <c r="I117" s="1"/>
  <c r="D117"/>
  <c r="G117"/>
  <c r="H117"/>
  <c r="B118"/>
  <c r="I118" s="1"/>
  <c r="D118"/>
  <c r="G118"/>
  <c r="H118"/>
  <c r="B119"/>
  <c r="I119" s="1"/>
  <c r="D119"/>
  <c r="G119"/>
  <c r="H119"/>
  <c r="B120"/>
  <c r="I120" s="1"/>
  <c r="D120"/>
  <c r="G120"/>
  <c r="H120"/>
  <c r="B121"/>
  <c r="I121" s="1"/>
  <c r="D121"/>
  <c r="G121"/>
  <c r="H121"/>
  <c r="B122"/>
  <c r="I122" s="1"/>
  <c r="D122"/>
  <c r="G122"/>
  <c r="H122"/>
  <c r="B123"/>
  <c r="I123" s="1"/>
  <c r="D123"/>
  <c r="G123"/>
  <c r="H123"/>
  <c r="B124"/>
  <c r="I124" s="1"/>
  <c r="D124"/>
  <c r="G124"/>
  <c r="H124"/>
  <c r="B125"/>
  <c r="I125" s="1"/>
  <c r="D125"/>
  <c r="G125"/>
  <c r="H125"/>
  <c r="B126"/>
  <c r="I126" s="1"/>
  <c r="D126"/>
  <c r="G126"/>
  <c r="H126"/>
  <c r="B127"/>
  <c r="I127" s="1"/>
  <c r="D127"/>
  <c r="G127"/>
  <c r="H127"/>
  <c r="B128"/>
  <c r="I128" s="1"/>
  <c r="D128"/>
  <c r="G128"/>
  <c r="H128"/>
  <c r="B129"/>
  <c r="I129" s="1"/>
  <c r="D129"/>
  <c r="G129"/>
  <c r="H129"/>
  <c r="B130"/>
  <c r="I130" s="1"/>
  <c r="D130"/>
  <c r="G130"/>
  <c r="H130"/>
  <c r="B131"/>
  <c r="I131" s="1"/>
  <c r="D131"/>
  <c r="G131"/>
  <c r="H131"/>
  <c r="B132"/>
  <c r="I132" s="1"/>
  <c r="D132"/>
  <c r="G132"/>
  <c r="H132"/>
  <c r="B133"/>
  <c r="I133" s="1"/>
  <c r="D133"/>
  <c r="G133"/>
  <c r="H133"/>
  <c r="B134"/>
  <c r="I134" s="1"/>
  <c r="D134"/>
  <c r="G134"/>
  <c r="H134"/>
  <c r="B135"/>
  <c r="I135" s="1"/>
  <c r="D135"/>
  <c r="G135"/>
  <c r="H135"/>
  <c r="B136"/>
  <c r="I136" s="1"/>
  <c r="D136"/>
  <c r="G136"/>
  <c r="H136"/>
  <c r="B137"/>
  <c r="I137" s="1"/>
  <c r="D137"/>
  <c r="G137"/>
  <c r="H137"/>
  <c r="B138"/>
  <c r="I138" s="1"/>
  <c r="D138"/>
  <c r="G138"/>
  <c r="H138"/>
  <c r="B139"/>
  <c r="I139" s="1"/>
  <c r="D139"/>
  <c r="G139"/>
  <c r="H139"/>
  <c r="B140"/>
  <c r="I140" s="1"/>
  <c r="D140"/>
  <c r="G140"/>
  <c r="H140"/>
  <c r="B141"/>
  <c r="I141" s="1"/>
  <c r="D141"/>
  <c r="G141"/>
  <c r="H141"/>
  <c r="B142"/>
  <c r="I142" s="1"/>
  <c r="D142"/>
  <c r="G142"/>
  <c r="H142"/>
  <c r="B143"/>
  <c r="I143" s="1"/>
  <c r="D143"/>
  <c r="G143"/>
  <c r="H143"/>
  <c r="B144"/>
  <c r="I144" s="1"/>
  <c r="D144"/>
  <c r="G144"/>
  <c r="H144"/>
  <c r="B145"/>
  <c r="I145" s="1"/>
  <c r="D145"/>
  <c r="G145"/>
  <c r="H145"/>
  <c r="B146"/>
  <c r="I146" s="1"/>
  <c r="D146"/>
  <c r="G146"/>
  <c r="H146"/>
  <c r="B147"/>
  <c r="I147" s="1"/>
  <c r="D147"/>
  <c r="G147"/>
  <c r="H147"/>
  <c r="B148"/>
  <c r="I148" s="1"/>
  <c r="D148"/>
  <c r="G148"/>
  <c r="H148"/>
  <c r="B149"/>
  <c r="I149" s="1"/>
  <c r="D149"/>
  <c r="G149"/>
  <c r="H149"/>
  <c r="B150"/>
  <c r="I150" s="1"/>
  <c r="D150"/>
  <c r="G150"/>
  <c r="H150"/>
  <c r="B151"/>
  <c r="I151" s="1"/>
  <c r="D151"/>
  <c r="G151"/>
  <c r="H151"/>
  <c r="B152"/>
  <c r="I152" s="1"/>
  <c r="D152"/>
  <c r="G152"/>
  <c r="H152"/>
  <c r="B153"/>
  <c r="I153" s="1"/>
  <c r="D153"/>
  <c r="G153"/>
  <c r="H153"/>
  <c r="B154"/>
  <c r="I154" s="1"/>
  <c r="D154"/>
  <c r="G154"/>
  <c r="H154"/>
  <c r="B155"/>
  <c r="I155" s="1"/>
  <c r="D155"/>
  <c r="G155"/>
  <c r="H155"/>
  <c r="B156"/>
  <c r="I156" s="1"/>
  <c r="D156"/>
  <c r="G156"/>
  <c r="H156"/>
  <c r="B157"/>
  <c r="I157" s="1"/>
  <c r="D157"/>
  <c r="G157"/>
  <c r="H157"/>
  <c r="B158"/>
  <c r="I158" s="1"/>
  <c r="D158"/>
  <c r="G158"/>
  <c r="H158"/>
  <c r="B159"/>
  <c r="I159" s="1"/>
  <c r="D159"/>
  <c r="G159"/>
  <c r="H159"/>
  <c r="B160"/>
  <c r="I160" s="1"/>
  <c r="D160"/>
  <c r="G160"/>
  <c r="H160"/>
  <c r="B161"/>
  <c r="I161" s="1"/>
  <c r="D161"/>
  <c r="G161"/>
  <c r="H161"/>
  <c r="B162"/>
  <c r="I162" s="1"/>
  <c r="D162"/>
  <c r="G162"/>
  <c r="H162"/>
  <c r="B163"/>
  <c r="I163" s="1"/>
  <c r="D163"/>
  <c r="G163"/>
  <c r="H163"/>
  <c r="B164"/>
  <c r="I164" s="1"/>
  <c r="D164"/>
  <c r="G164"/>
  <c r="H164"/>
  <c r="B165"/>
  <c r="I165" s="1"/>
  <c r="D165"/>
  <c r="G165"/>
  <c r="H165"/>
  <c r="B166"/>
  <c r="I166" s="1"/>
  <c r="D166"/>
  <c r="G166"/>
  <c r="H166"/>
  <c r="B167"/>
  <c r="I167" s="1"/>
  <c r="D167"/>
  <c r="G167"/>
  <c r="H167"/>
  <c r="B168"/>
  <c r="I168" s="1"/>
  <c r="D168"/>
  <c r="G168"/>
  <c r="H168"/>
  <c r="B169"/>
  <c r="I169" s="1"/>
  <c r="D169"/>
  <c r="G169"/>
  <c r="H169"/>
  <c r="B170"/>
  <c r="I170" s="1"/>
  <c r="D170"/>
  <c r="G170"/>
  <c r="H170"/>
  <c r="B171"/>
  <c r="I171" s="1"/>
  <c r="D171"/>
  <c r="G171"/>
  <c r="H171"/>
  <c r="B172"/>
  <c r="I172" s="1"/>
  <c r="D172"/>
  <c r="G172"/>
  <c r="H172"/>
  <c r="B173"/>
  <c r="I173" s="1"/>
  <c r="D173"/>
  <c r="G173"/>
  <c r="H173"/>
  <c r="B174"/>
  <c r="I174" s="1"/>
  <c r="D174"/>
  <c r="G174"/>
  <c r="H174"/>
  <c r="B175"/>
  <c r="I175" s="1"/>
  <c r="D175"/>
  <c r="G175"/>
  <c r="H175"/>
  <c r="B176"/>
  <c r="I176" s="1"/>
  <c r="D176"/>
  <c r="G176"/>
  <c r="H176"/>
  <c r="B177"/>
  <c r="I177" s="1"/>
  <c r="D177"/>
  <c r="G177"/>
  <c r="H177"/>
  <c r="B178"/>
  <c r="I178" s="1"/>
  <c r="D178"/>
  <c r="G178"/>
  <c r="H178"/>
  <c r="B179"/>
  <c r="I179" s="1"/>
  <c r="D179"/>
  <c r="G179"/>
  <c r="H179"/>
  <c r="B180"/>
  <c r="I180" s="1"/>
  <c r="D180"/>
  <c r="G180"/>
  <c r="H180"/>
  <c r="B181"/>
  <c r="I181" s="1"/>
  <c r="D181"/>
  <c r="G181"/>
  <c r="H181"/>
  <c r="B182"/>
  <c r="I182" s="1"/>
  <c r="D182"/>
  <c r="G182"/>
  <c r="H182"/>
  <c r="B183"/>
  <c r="I183" s="1"/>
  <c r="D183"/>
  <c r="G183"/>
  <c r="H183"/>
  <c r="B184"/>
  <c r="I184" s="1"/>
  <c r="D184"/>
  <c r="G184"/>
  <c r="H184"/>
  <c r="B185"/>
  <c r="I185" s="1"/>
  <c r="D185"/>
  <c r="G185"/>
  <c r="H185"/>
  <c r="B186"/>
  <c r="I186" s="1"/>
  <c r="D186"/>
  <c r="G186"/>
  <c r="H186"/>
  <c r="B187"/>
  <c r="I187" s="1"/>
  <c r="D187"/>
  <c r="G187"/>
  <c r="H187"/>
  <c r="B188"/>
  <c r="I188" s="1"/>
  <c r="D188"/>
  <c r="G188"/>
  <c r="H188"/>
  <c r="B189"/>
  <c r="I189" s="1"/>
  <c r="D189"/>
  <c r="G189"/>
  <c r="H189"/>
  <c r="B190"/>
  <c r="I190" s="1"/>
  <c r="D190"/>
  <c r="G190"/>
  <c r="H190"/>
  <c r="B191"/>
  <c r="I191" s="1"/>
  <c r="D191"/>
  <c r="G191"/>
  <c r="H191"/>
  <c r="B192"/>
  <c r="I192" s="1"/>
  <c r="D192"/>
  <c r="G192"/>
  <c r="H192"/>
  <c r="B193"/>
  <c r="I193" s="1"/>
  <c r="D193"/>
  <c r="G193"/>
  <c r="H193"/>
  <c r="B194"/>
  <c r="I194" s="1"/>
  <c r="D194"/>
  <c r="G194"/>
  <c r="H194"/>
  <c r="B195"/>
  <c r="I195" s="1"/>
  <c r="D195"/>
  <c r="G195"/>
  <c r="H195"/>
  <c r="B196"/>
  <c r="I196" s="1"/>
  <c r="D196"/>
  <c r="G196"/>
  <c r="H196"/>
  <c r="B197"/>
  <c r="I197" s="1"/>
  <c r="D197"/>
  <c r="G197"/>
  <c r="H197"/>
  <c r="B198"/>
  <c r="I198" s="1"/>
  <c r="D198"/>
  <c r="G198"/>
  <c r="H198"/>
  <c r="B199"/>
  <c r="I199" s="1"/>
  <c r="D199"/>
  <c r="G199"/>
  <c r="H199"/>
  <c r="B200"/>
  <c r="I200" s="1"/>
  <c r="D200"/>
  <c r="G200"/>
  <c r="H200"/>
  <c r="B201"/>
  <c r="I201" s="1"/>
  <c r="D201"/>
  <c r="G201"/>
  <c r="H201"/>
  <c r="B202"/>
  <c r="I202" s="1"/>
  <c r="D202"/>
  <c r="G202"/>
  <c r="H202"/>
  <c r="B203"/>
  <c r="I203" s="1"/>
  <c r="D203"/>
  <c r="G203"/>
  <c r="H203"/>
  <c r="B204"/>
  <c r="I204" s="1"/>
  <c r="D204"/>
  <c r="G204"/>
  <c r="H204"/>
  <c r="B205"/>
  <c r="I205" s="1"/>
  <c r="D205"/>
  <c r="G205"/>
  <c r="H205"/>
  <c r="B206"/>
  <c r="I206" s="1"/>
  <c r="D206"/>
  <c r="G206"/>
  <c r="H206"/>
  <c r="B207"/>
  <c r="I207" s="1"/>
  <c r="D207"/>
  <c r="G207"/>
  <c r="H207"/>
  <c r="B208"/>
  <c r="I208" s="1"/>
  <c r="D208"/>
  <c r="G208"/>
  <c r="H208"/>
  <c r="B209"/>
  <c r="I209" s="1"/>
  <c r="D209"/>
  <c r="G209"/>
  <c r="H209"/>
  <c r="B210"/>
  <c r="I210" s="1"/>
  <c r="D210"/>
  <c r="G210"/>
  <c r="H210"/>
  <c r="B211"/>
  <c r="I211" s="1"/>
  <c r="D211"/>
  <c r="G211"/>
  <c r="H211"/>
  <c r="B212"/>
  <c r="I212" s="1"/>
  <c r="D212"/>
  <c r="G212"/>
  <c r="H212"/>
  <c r="B213"/>
  <c r="I213" s="1"/>
  <c r="D213"/>
  <c r="G213"/>
  <c r="H213"/>
  <c r="B214"/>
  <c r="I214" s="1"/>
  <c r="D214"/>
  <c r="G214"/>
  <c r="H214"/>
  <c r="B215"/>
  <c r="I215" s="1"/>
  <c r="D215"/>
  <c r="G215"/>
  <c r="H215"/>
  <c r="B216"/>
  <c r="I216" s="1"/>
  <c r="D216"/>
  <c r="G216"/>
  <c r="H216"/>
  <c r="B217"/>
  <c r="I217" s="1"/>
  <c r="D217"/>
  <c r="G217"/>
  <c r="H217"/>
  <c r="B218"/>
  <c r="I218" s="1"/>
  <c r="D218"/>
  <c r="G218"/>
  <c r="H218"/>
  <c r="B219"/>
  <c r="I219" s="1"/>
  <c r="D219"/>
  <c r="G219"/>
  <c r="H219"/>
  <c r="B220"/>
  <c r="I220" s="1"/>
  <c r="D220"/>
  <c r="G220"/>
  <c r="H220"/>
  <c r="B221"/>
  <c r="I221" s="1"/>
  <c r="D221"/>
  <c r="G221"/>
  <c r="H221"/>
  <c r="B222"/>
  <c r="I222" s="1"/>
  <c r="D222"/>
  <c r="G222"/>
  <c r="H222"/>
  <c r="B223"/>
  <c r="I223" s="1"/>
  <c r="D223"/>
  <c r="G223"/>
  <c r="H223"/>
  <c r="B224"/>
  <c r="I224" s="1"/>
  <c r="D224"/>
  <c r="G224"/>
  <c r="H224"/>
  <c r="B225"/>
  <c r="I225" s="1"/>
  <c r="D225"/>
  <c r="G225"/>
  <c r="H225"/>
  <c r="B226"/>
  <c r="I226" s="1"/>
  <c r="D226"/>
  <c r="G226"/>
  <c r="H226"/>
  <c r="B227"/>
  <c r="I227" s="1"/>
  <c r="D227"/>
  <c r="G227"/>
  <c r="H227"/>
  <c r="B228"/>
  <c r="I228" s="1"/>
  <c r="D228"/>
  <c r="G228"/>
  <c r="H228"/>
  <c r="B229"/>
  <c r="I229" s="1"/>
  <c r="D229"/>
  <c r="G229"/>
  <c r="H229"/>
  <c r="B230"/>
  <c r="I230" s="1"/>
  <c r="D230"/>
  <c r="G230"/>
  <c r="H230"/>
  <c r="B231"/>
  <c r="I231" s="1"/>
  <c r="D231"/>
  <c r="G231"/>
  <c r="H231"/>
  <c r="B232"/>
  <c r="I232" s="1"/>
  <c r="D232"/>
  <c r="G232"/>
  <c r="H232"/>
  <c r="B233"/>
  <c r="I233" s="1"/>
  <c r="D233"/>
  <c r="G233"/>
  <c r="H233"/>
  <c r="B234"/>
  <c r="I234" s="1"/>
  <c r="D234"/>
  <c r="G234"/>
  <c r="H234"/>
  <c r="B235"/>
  <c r="I235" s="1"/>
  <c r="D235"/>
  <c r="G235"/>
  <c r="H235"/>
  <c r="B236"/>
  <c r="I236" s="1"/>
  <c r="D236"/>
  <c r="G236"/>
  <c r="H236"/>
  <c r="B237"/>
  <c r="I237" s="1"/>
  <c r="D237"/>
  <c r="G237"/>
  <c r="H237"/>
  <c r="B238"/>
  <c r="I238" s="1"/>
  <c r="D238"/>
  <c r="G238"/>
  <c r="H238"/>
  <c r="B239"/>
  <c r="I239" s="1"/>
  <c r="D239"/>
  <c r="G239"/>
  <c r="H239"/>
  <c r="B240"/>
  <c r="I240" s="1"/>
  <c r="D240"/>
  <c r="G240"/>
  <c r="H240"/>
  <c r="B241"/>
  <c r="I241" s="1"/>
  <c r="D241"/>
  <c r="G241"/>
  <c r="H241"/>
  <c r="B242"/>
  <c r="I242" s="1"/>
  <c r="D242"/>
  <c r="G242"/>
  <c r="H242"/>
  <c r="B243"/>
  <c r="I243" s="1"/>
  <c r="D243"/>
  <c r="G243"/>
  <c r="H243"/>
  <c r="B244"/>
  <c r="I244" s="1"/>
  <c r="D244"/>
  <c r="G244"/>
  <c r="H244"/>
  <c r="B245"/>
  <c r="I245" s="1"/>
  <c r="D245"/>
  <c r="G245"/>
  <c r="H245"/>
  <c r="B246"/>
  <c r="I246" s="1"/>
  <c r="D246"/>
  <c r="G246"/>
  <c r="H246"/>
  <c r="B247"/>
  <c r="I247" s="1"/>
  <c r="D247"/>
  <c r="G247"/>
  <c r="H247"/>
  <c r="B248"/>
  <c r="I248" s="1"/>
  <c r="D248"/>
  <c r="G248"/>
  <c r="H248"/>
  <c r="B249"/>
  <c r="I249" s="1"/>
  <c r="D249"/>
  <c r="G249"/>
  <c r="H249"/>
  <c r="B250"/>
  <c r="I250" s="1"/>
  <c r="D250"/>
  <c r="G250"/>
  <c r="H250"/>
  <c r="B2"/>
  <c r="I2" s="1"/>
  <c r="D2"/>
  <c r="H2"/>
  <c r="B3"/>
  <c r="I3" s="1"/>
  <c r="D3"/>
  <c r="G3"/>
  <c r="H3"/>
  <c r="B4"/>
  <c r="I4" s="1"/>
  <c r="D4"/>
  <c r="G4"/>
  <c r="H4"/>
  <c r="B5"/>
  <c r="I5" s="1"/>
  <c r="D5"/>
  <c r="G5"/>
  <c r="H5"/>
  <c r="B6"/>
  <c r="I6" s="1"/>
  <c r="D6"/>
  <c r="G6"/>
  <c r="H6"/>
  <c r="B7"/>
  <c r="I7" s="1"/>
  <c r="D7"/>
  <c r="G7"/>
  <c r="H7"/>
  <c r="B8"/>
  <c r="I8" s="1"/>
  <c r="D8"/>
  <c r="G8"/>
  <c r="H8"/>
  <c r="B9"/>
  <c r="I9" s="1"/>
  <c r="D9"/>
  <c r="G9"/>
  <c r="H9"/>
  <c r="B10"/>
  <c r="I10" s="1"/>
  <c r="D10"/>
  <c r="G10"/>
  <c r="H10"/>
  <c r="B11"/>
  <c r="I11" s="1"/>
  <c r="D11"/>
  <c r="G11"/>
  <c r="H11"/>
  <c r="B12"/>
  <c r="I12" s="1"/>
  <c r="D12"/>
  <c r="G12"/>
  <c r="H12"/>
  <c r="B13"/>
  <c r="I13" s="1"/>
  <c r="D13"/>
  <c r="G13"/>
  <c r="H13"/>
  <c r="B14"/>
  <c r="I14" s="1"/>
  <c r="D14"/>
  <c r="G14"/>
  <c r="H14"/>
  <c r="B15"/>
  <c r="I15" s="1"/>
  <c r="D15"/>
  <c r="G15"/>
  <c r="H15"/>
  <c r="B16"/>
  <c r="I16" s="1"/>
  <c r="D16"/>
  <c r="G16"/>
  <c r="H16"/>
  <c r="B17"/>
  <c r="I17" s="1"/>
  <c r="D17"/>
  <c r="G17"/>
  <c r="H17"/>
  <c r="B18"/>
  <c r="I18" s="1"/>
  <c r="D18"/>
  <c r="G18"/>
  <c r="H18"/>
  <c r="B19"/>
  <c r="I19" s="1"/>
  <c r="D19"/>
  <c r="G19"/>
  <c r="H19"/>
  <c r="B20"/>
  <c r="I20" s="1"/>
  <c r="D20"/>
  <c r="G20"/>
  <c r="H20"/>
  <c r="B21"/>
  <c r="I21" s="1"/>
  <c r="D21"/>
  <c r="G21"/>
  <c r="H21"/>
  <c r="B22"/>
  <c r="I22" s="1"/>
  <c r="D22"/>
  <c r="G22"/>
  <c r="H22"/>
  <c r="B23"/>
  <c r="I23" s="1"/>
  <c r="D23"/>
  <c r="G23"/>
  <c r="H23"/>
  <c r="B24"/>
  <c r="I24" s="1"/>
  <c r="D24"/>
  <c r="G24"/>
  <c r="H24"/>
  <c r="B25"/>
  <c r="I25" s="1"/>
  <c r="D25"/>
  <c r="G25"/>
  <c r="H25"/>
  <c r="B26"/>
  <c r="I26" s="1"/>
  <c r="D26"/>
  <c r="G26"/>
  <c r="H26"/>
  <c r="H27" l="1"/>
  <c r="D2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"/>
  <c r="G9" i="28" l="1"/>
  <c r="G15"/>
  <c r="G21"/>
  <c r="G27"/>
  <c r="G33"/>
  <c r="G39"/>
  <c r="G45"/>
  <c r="G51"/>
  <c r="G57"/>
  <c r="G63"/>
  <c r="G69"/>
  <c r="G75"/>
  <c r="G81"/>
  <c r="G87"/>
  <c r="G93"/>
  <c r="G99"/>
  <c r="G105"/>
  <c r="G111"/>
  <c r="G117"/>
  <c r="G123"/>
  <c r="G129"/>
  <c r="G135"/>
  <c r="G141"/>
  <c r="G147"/>
  <c r="G153"/>
  <c r="G159"/>
  <c r="G165"/>
  <c r="G171"/>
  <c r="G177"/>
  <c r="G183"/>
  <c r="G189"/>
  <c r="G195"/>
  <c r="G201"/>
  <c r="G207"/>
  <c r="G213"/>
  <c r="G219"/>
  <c r="G225"/>
  <c r="G231"/>
  <c r="G237"/>
  <c r="G243"/>
  <c r="G249"/>
  <c r="G8"/>
  <c r="G14"/>
  <c r="G20"/>
  <c r="G26"/>
  <c r="G32"/>
  <c r="G38"/>
  <c r="G44"/>
  <c r="G50"/>
  <c r="G56"/>
  <c r="G62"/>
  <c r="G68"/>
  <c r="G74"/>
  <c r="G80"/>
  <c r="G86"/>
  <c r="G92"/>
  <c r="G98"/>
  <c r="G104"/>
  <c r="G110"/>
  <c r="G116"/>
  <c r="G122"/>
  <c r="G128"/>
  <c r="G134"/>
  <c r="G140"/>
  <c r="G146"/>
  <c r="G152"/>
  <c r="G158"/>
  <c r="G164"/>
  <c r="G170"/>
  <c r="G176"/>
  <c r="G182"/>
  <c r="G188"/>
  <c r="G194"/>
  <c r="G200"/>
  <c r="G206"/>
  <c r="G212"/>
  <c r="G218"/>
  <c r="G224"/>
  <c r="G230"/>
  <c r="G236"/>
  <c r="G242"/>
  <c r="G248"/>
  <c r="G7"/>
  <c r="G13"/>
  <c r="G19"/>
  <c r="G25"/>
  <c r="G31"/>
  <c r="G37"/>
  <c r="G43"/>
  <c r="G49"/>
  <c r="G55"/>
  <c r="G61"/>
  <c r="G67"/>
  <c r="G73"/>
  <c r="G79"/>
  <c r="G85"/>
  <c r="G91"/>
  <c r="G97"/>
  <c r="G103"/>
  <c r="G109"/>
  <c r="G115"/>
  <c r="G121"/>
  <c r="G127"/>
  <c r="G133"/>
  <c r="G139"/>
  <c r="G145"/>
  <c r="G151"/>
  <c r="G157"/>
  <c r="G163"/>
  <c r="G169"/>
  <c r="G175"/>
  <c r="G181"/>
  <c r="G187"/>
  <c r="G193"/>
  <c r="G199"/>
  <c r="G205"/>
  <c r="G211"/>
  <c r="G217"/>
  <c r="G223"/>
  <c r="G229"/>
  <c r="G235"/>
  <c r="G241"/>
  <c r="G247"/>
  <c r="G6"/>
  <c r="G12"/>
  <c r="G18"/>
  <c r="G24"/>
  <c r="G30"/>
  <c r="G36"/>
  <c r="G42"/>
  <c r="G48"/>
  <c r="G54"/>
  <c r="G60"/>
  <c r="G66"/>
  <c r="G72"/>
  <c r="G78"/>
  <c r="G84"/>
  <c r="G90"/>
  <c r="G96"/>
  <c r="G102"/>
  <c r="G108"/>
  <c r="G114"/>
  <c r="G120"/>
  <c r="G126"/>
  <c r="G132"/>
  <c r="G138"/>
  <c r="G144"/>
  <c r="G150"/>
  <c r="G156"/>
  <c r="G162"/>
  <c r="G168"/>
  <c r="G174"/>
  <c r="G180"/>
  <c r="G186"/>
  <c r="G192"/>
  <c r="G198"/>
  <c r="G204"/>
  <c r="G210"/>
  <c r="G216"/>
  <c r="G222"/>
  <c r="G228"/>
  <c r="G234"/>
  <c r="G240"/>
  <c r="G246"/>
  <c r="G5"/>
  <c r="G11"/>
  <c r="G17"/>
  <c r="G23"/>
  <c r="G29"/>
  <c r="G35"/>
  <c r="G41"/>
  <c r="G47"/>
  <c r="G53"/>
  <c r="G59"/>
  <c r="G65"/>
  <c r="G71"/>
  <c r="G77"/>
  <c r="G83"/>
  <c r="G89"/>
  <c r="G95"/>
  <c r="G101"/>
  <c r="G107"/>
  <c r="G113"/>
  <c r="G119"/>
  <c r="G125"/>
  <c r="G131"/>
  <c r="G137"/>
  <c r="G143"/>
  <c r="G149"/>
  <c r="G155"/>
  <c r="G161"/>
  <c r="G167"/>
  <c r="G173"/>
  <c r="G179"/>
  <c r="G185"/>
  <c r="G191"/>
  <c r="G197"/>
  <c r="G203"/>
  <c r="G209"/>
  <c r="G215"/>
  <c r="G221"/>
  <c r="G227"/>
  <c r="G233"/>
  <c r="G239"/>
  <c r="G245"/>
  <c r="G251"/>
  <c r="G4"/>
  <c r="G10"/>
  <c r="G16"/>
  <c r="G22"/>
  <c r="G28"/>
  <c r="G34"/>
  <c r="G40"/>
  <c r="G46"/>
  <c r="G52"/>
  <c r="G58"/>
  <c r="G64"/>
  <c r="G70"/>
  <c r="G76"/>
  <c r="G82"/>
  <c r="G88"/>
  <c r="G94"/>
  <c r="G100"/>
  <c r="G106"/>
  <c r="G112"/>
  <c r="G118"/>
  <c r="G124"/>
  <c r="G130"/>
  <c r="G136"/>
  <c r="G142"/>
  <c r="G148"/>
  <c r="G154"/>
  <c r="G160"/>
  <c r="G166"/>
  <c r="G172"/>
  <c r="G178"/>
  <c r="G184"/>
  <c r="G190"/>
  <c r="G196"/>
  <c r="G202"/>
  <c r="G208"/>
  <c r="G214"/>
  <c r="G220"/>
  <c r="G226"/>
  <c r="G232"/>
  <c r="G238"/>
  <c r="G244"/>
  <c r="G250"/>
  <c r="G3"/>
  <c r="B3"/>
  <c r="H3"/>
  <c r="H5"/>
  <c r="H10"/>
  <c r="H16"/>
  <c r="H22"/>
  <c r="H28"/>
  <c r="H34"/>
  <c r="H40"/>
  <c r="H46"/>
  <c r="H52"/>
  <c r="H58"/>
  <c r="H64"/>
  <c r="H70"/>
  <c r="H76"/>
  <c r="H82"/>
  <c r="H88"/>
  <c r="H94"/>
  <c r="H100"/>
  <c r="H106"/>
  <c r="H112"/>
  <c r="H118"/>
  <c r="H124"/>
  <c r="H130"/>
  <c r="H136"/>
  <c r="H142"/>
  <c r="H148"/>
  <c r="H154"/>
  <c r="H160"/>
  <c r="H166"/>
  <c r="H172"/>
  <c r="H178"/>
  <c r="H184"/>
  <c r="H190"/>
  <c r="H196"/>
  <c r="H202"/>
  <c r="H208"/>
  <c r="H214"/>
  <c r="H220"/>
  <c r="H226"/>
  <c r="H232"/>
  <c r="H238"/>
  <c r="H244"/>
  <c r="H250"/>
  <c r="H29"/>
  <c r="H47"/>
  <c r="H83"/>
  <c r="H113"/>
  <c r="H143"/>
  <c r="H173"/>
  <c r="H203"/>
  <c r="H233"/>
  <c r="H9"/>
  <c r="H15"/>
  <c r="H21"/>
  <c r="H27"/>
  <c r="H33"/>
  <c r="H39"/>
  <c r="H45"/>
  <c r="H51"/>
  <c r="H57"/>
  <c r="H63"/>
  <c r="H69"/>
  <c r="H75"/>
  <c r="H81"/>
  <c r="H87"/>
  <c r="H93"/>
  <c r="H99"/>
  <c r="H105"/>
  <c r="H111"/>
  <c r="H117"/>
  <c r="H123"/>
  <c r="H129"/>
  <c r="H135"/>
  <c r="H141"/>
  <c r="H147"/>
  <c r="H153"/>
  <c r="H159"/>
  <c r="H165"/>
  <c r="H171"/>
  <c r="H177"/>
  <c r="H183"/>
  <c r="H189"/>
  <c r="H195"/>
  <c r="H201"/>
  <c r="H207"/>
  <c r="H213"/>
  <c r="H219"/>
  <c r="H225"/>
  <c r="H231"/>
  <c r="H237"/>
  <c r="H243"/>
  <c r="H249"/>
  <c r="H23"/>
  <c r="H53"/>
  <c r="H71"/>
  <c r="H101"/>
  <c r="H131"/>
  <c r="H155"/>
  <c r="H185"/>
  <c r="H215"/>
  <c r="H245"/>
  <c r="H8"/>
  <c r="H14"/>
  <c r="H20"/>
  <c r="H26"/>
  <c r="H32"/>
  <c r="H38"/>
  <c r="H44"/>
  <c r="H50"/>
  <c r="H56"/>
  <c r="H62"/>
  <c r="H68"/>
  <c r="H74"/>
  <c r="H80"/>
  <c r="H86"/>
  <c r="H92"/>
  <c r="H98"/>
  <c r="H104"/>
  <c r="H110"/>
  <c r="H116"/>
  <c r="H122"/>
  <c r="H128"/>
  <c r="H134"/>
  <c r="H140"/>
  <c r="H146"/>
  <c r="H152"/>
  <c r="H158"/>
  <c r="H164"/>
  <c r="H170"/>
  <c r="H176"/>
  <c r="H182"/>
  <c r="H188"/>
  <c r="H194"/>
  <c r="H200"/>
  <c r="H206"/>
  <c r="H212"/>
  <c r="H218"/>
  <c r="H224"/>
  <c r="H230"/>
  <c r="H236"/>
  <c r="H242"/>
  <c r="H248"/>
  <c r="H11"/>
  <c r="H41"/>
  <c r="H65"/>
  <c r="H95"/>
  <c r="H119"/>
  <c r="H149"/>
  <c r="H179"/>
  <c r="H209"/>
  <c r="H239"/>
  <c r="H7"/>
  <c r="H13"/>
  <c r="H19"/>
  <c r="H25"/>
  <c r="H31"/>
  <c r="H37"/>
  <c r="H43"/>
  <c r="H49"/>
  <c r="H55"/>
  <c r="H61"/>
  <c r="H67"/>
  <c r="H73"/>
  <c r="H79"/>
  <c r="H85"/>
  <c r="H91"/>
  <c r="H97"/>
  <c r="H103"/>
  <c r="H109"/>
  <c r="H115"/>
  <c r="H121"/>
  <c r="H127"/>
  <c r="H133"/>
  <c r="H139"/>
  <c r="H145"/>
  <c r="H151"/>
  <c r="H157"/>
  <c r="H163"/>
  <c r="H169"/>
  <c r="H175"/>
  <c r="H181"/>
  <c r="H187"/>
  <c r="H193"/>
  <c r="H199"/>
  <c r="H205"/>
  <c r="H211"/>
  <c r="H217"/>
  <c r="H223"/>
  <c r="H229"/>
  <c r="H235"/>
  <c r="H241"/>
  <c r="H247"/>
  <c r="H17"/>
  <c r="H35"/>
  <c r="H59"/>
  <c r="H77"/>
  <c r="H107"/>
  <c r="H137"/>
  <c r="H167"/>
  <c r="H197"/>
  <c r="H227"/>
  <c r="H6"/>
  <c r="H12"/>
  <c r="H18"/>
  <c r="H24"/>
  <c r="H30"/>
  <c r="H36"/>
  <c r="H42"/>
  <c r="H48"/>
  <c r="H54"/>
  <c r="H60"/>
  <c r="H66"/>
  <c r="H72"/>
  <c r="H78"/>
  <c r="H84"/>
  <c r="H90"/>
  <c r="H96"/>
  <c r="H102"/>
  <c r="H108"/>
  <c r="H114"/>
  <c r="H120"/>
  <c r="H126"/>
  <c r="H132"/>
  <c r="H138"/>
  <c r="H144"/>
  <c r="H150"/>
  <c r="H156"/>
  <c r="H162"/>
  <c r="H168"/>
  <c r="H174"/>
  <c r="H180"/>
  <c r="H186"/>
  <c r="H192"/>
  <c r="H198"/>
  <c r="H204"/>
  <c r="H210"/>
  <c r="H216"/>
  <c r="H222"/>
  <c r="H228"/>
  <c r="H234"/>
  <c r="H240"/>
  <c r="H246"/>
  <c r="H89"/>
  <c r="H125"/>
  <c r="H161"/>
  <c r="H191"/>
  <c r="H221"/>
  <c r="H251"/>
  <c r="B5"/>
  <c r="B11"/>
  <c r="B17"/>
  <c r="B23"/>
  <c r="B29"/>
  <c r="B35"/>
  <c r="B41"/>
  <c r="B47"/>
  <c r="B53"/>
  <c r="B59"/>
  <c r="B65"/>
  <c r="B71"/>
  <c r="B77"/>
  <c r="B83"/>
  <c r="B89"/>
  <c r="B95"/>
  <c r="B101"/>
  <c r="B107"/>
  <c r="B113"/>
  <c r="B119"/>
  <c r="B125"/>
  <c r="B131"/>
  <c r="B137"/>
  <c r="B143"/>
  <c r="B149"/>
  <c r="B155"/>
  <c r="B167"/>
  <c r="B173"/>
  <c r="B179"/>
  <c r="B185"/>
  <c r="B191"/>
  <c r="B197"/>
  <c r="B209"/>
  <c r="B221"/>
  <c r="B233"/>
  <c r="B245"/>
  <c r="B118"/>
  <c r="B190"/>
  <c r="B208"/>
  <c r="B226"/>
  <c r="B244"/>
  <c r="B177"/>
  <c r="B225"/>
  <c r="B243"/>
  <c r="B248"/>
  <c r="B10"/>
  <c r="B16"/>
  <c r="B22"/>
  <c r="B28"/>
  <c r="B34"/>
  <c r="B40"/>
  <c r="B46"/>
  <c r="B58"/>
  <c r="B70"/>
  <c r="B82"/>
  <c r="B94"/>
  <c r="B106"/>
  <c r="B124"/>
  <c r="B142"/>
  <c r="B154"/>
  <c r="B166"/>
  <c r="B178"/>
  <c r="B196"/>
  <c r="B214"/>
  <c r="B232"/>
  <c r="B201"/>
  <c r="B9"/>
  <c r="B15"/>
  <c r="B21"/>
  <c r="B27"/>
  <c r="B33"/>
  <c r="B39"/>
  <c r="B45"/>
  <c r="B51"/>
  <c r="B57"/>
  <c r="B63"/>
  <c r="B69"/>
  <c r="B75"/>
  <c r="B81"/>
  <c r="B87"/>
  <c r="B93"/>
  <c r="B99"/>
  <c r="B105"/>
  <c r="B111"/>
  <c r="B117"/>
  <c r="B123"/>
  <c r="B129"/>
  <c r="B135"/>
  <c r="B141"/>
  <c r="B147"/>
  <c r="B153"/>
  <c r="B159"/>
  <c r="B165"/>
  <c r="B183"/>
  <c r="B189"/>
  <c r="B195"/>
  <c r="B207"/>
  <c r="B213"/>
  <c r="B231"/>
  <c r="B249"/>
  <c r="B8"/>
  <c r="B14"/>
  <c r="B20"/>
  <c r="B26"/>
  <c r="B32"/>
  <c r="B38"/>
  <c r="B44"/>
  <c r="B50"/>
  <c r="B56"/>
  <c r="B62"/>
  <c r="B68"/>
  <c r="B74"/>
  <c r="B80"/>
  <c r="B86"/>
  <c r="B92"/>
  <c r="B98"/>
  <c r="B104"/>
  <c r="B110"/>
  <c r="B116"/>
  <c r="B122"/>
  <c r="B128"/>
  <c r="B134"/>
  <c r="B140"/>
  <c r="B146"/>
  <c r="B152"/>
  <c r="B158"/>
  <c r="B164"/>
  <c r="B170"/>
  <c r="B176"/>
  <c r="B182"/>
  <c r="B188"/>
  <c r="B194"/>
  <c r="B200"/>
  <c r="B206"/>
  <c r="B212"/>
  <c r="B218"/>
  <c r="B224"/>
  <c r="B230"/>
  <c r="B236"/>
  <c r="B242"/>
  <c r="B7"/>
  <c r="B13"/>
  <c r="B19"/>
  <c r="B25"/>
  <c r="B31"/>
  <c r="B37"/>
  <c r="B43"/>
  <c r="B49"/>
  <c r="B55"/>
  <c r="B61"/>
  <c r="B67"/>
  <c r="B73"/>
  <c r="B79"/>
  <c r="B85"/>
  <c r="B91"/>
  <c r="B97"/>
  <c r="B103"/>
  <c r="B109"/>
  <c r="B115"/>
  <c r="B121"/>
  <c r="B127"/>
  <c r="B133"/>
  <c r="B139"/>
  <c r="B145"/>
  <c r="B151"/>
  <c r="B157"/>
  <c r="B163"/>
  <c r="B169"/>
  <c r="B175"/>
  <c r="B181"/>
  <c r="B187"/>
  <c r="B193"/>
  <c r="B199"/>
  <c r="B205"/>
  <c r="B211"/>
  <c r="B217"/>
  <c r="B223"/>
  <c r="B229"/>
  <c r="B235"/>
  <c r="B241"/>
  <c r="B247"/>
  <c r="H4"/>
  <c r="B6"/>
  <c r="B12"/>
  <c r="B18"/>
  <c r="B24"/>
  <c r="B30"/>
  <c r="B36"/>
  <c r="B42"/>
  <c r="B48"/>
  <c r="B54"/>
  <c r="B60"/>
  <c r="B66"/>
  <c r="B72"/>
  <c r="B78"/>
  <c r="B84"/>
  <c r="B90"/>
  <c r="B96"/>
  <c r="B102"/>
  <c r="B108"/>
  <c r="B114"/>
  <c r="B120"/>
  <c r="B126"/>
  <c r="B132"/>
  <c r="B138"/>
  <c r="B144"/>
  <c r="B150"/>
  <c r="B156"/>
  <c r="B162"/>
  <c r="B168"/>
  <c r="B174"/>
  <c r="B180"/>
  <c r="B186"/>
  <c r="B192"/>
  <c r="B198"/>
  <c r="B204"/>
  <c r="B210"/>
  <c r="B216"/>
  <c r="B222"/>
  <c r="B228"/>
  <c r="B234"/>
  <c r="B240"/>
  <c r="B246"/>
  <c r="B161"/>
  <c r="B203"/>
  <c r="B215"/>
  <c r="B227"/>
  <c r="B239"/>
  <c r="B251"/>
  <c r="B4"/>
  <c r="B52"/>
  <c r="B64"/>
  <c r="B76"/>
  <c r="B88"/>
  <c r="B100"/>
  <c r="B112"/>
  <c r="B130"/>
  <c r="B136"/>
  <c r="B148"/>
  <c r="B160"/>
  <c r="B172"/>
  <c r="B184"/>
  <c r="B202"/>
  <c r="B220"/>
  <c r="B238"/>
  <c r="B250"/>
  <c r="B171"/>
  <c r="B219"/>
  <c r="B237"/>
  <c r="J7"/>
  <c r="J10"/>
  <c r="J13"/>
  <c r="J16"/>
  <c r="J19"/>
  <c r="J22"/>
  <c r="J25"/>
  <c r="J28"/>
  <c r="J31"/>
  <c r="J34"/>
  <c r="J37"/>
  <c r="J40"/>
  <c r="J43"/>
  <c r="J46"/>
  <c r="J49"/>
  <c r="J52"/>
  <c r="J55"/>
  <c r="J58"/>
  <c r="J61"/>
  <c r="J64"/>
  <c r="J67"/>
  <c r="J70"/>
  <c r="J73"/>
  <c r="J76"/>
  <c r="J79"/>
  <c r="J82"/>
  <c r="J85"/>
  <c r="J88"/>
  <c r="J91"/>
  <c r="J94"/>
  <c r="J97"/>
  <c r="J100"/>
  <c r="J103"/>
  <c r="J106"/>
  <c r="J109"/>
  <c r="J112"/>
  <c r="J115"/>
  <c r="J118"/>
  <c r="J121"/>
  <c r="J124"/>
  <c r="J127"/>
  <c r="J130"/>
  <c r="J133"/>
  <c r="J136"/>
  <c r="J139"/>
  <c r="J142"/>
  <c r="J145"/>
  <c r="J148"/>
  <c r="J151"/>
  <c r="J154"/>
  <c r="J157"/>
  <c r="J160"/>
  <c r="J163"/>
  <c r="J166"/>
  <c r="J169"/>
  <c r="J172"/>
  <c r="J175"/>
  <c r="J178"/>
  <c r="J181"/>
  <c r="J184"/>
  <c r="J187"/>
  <c r="J190"/>
  <c r="J193"/>
  <c r="J196"/>
  <c r="J199"/>
  <c r="J202"/>
  <c r="J205"/>
  <c r="J208"/>
  <c r="J211"/>
  <c r="J214"/>
  <c r="J217"/>
  <c r="J220"/>
  <c r="J223"/>
  <c r="J226"/>
  <c r="J229"/>
  <c r="J232"/>
  <c r="J235"/>
  <c r="J238"/>
  <c r="J241"/>
  <c r="J244"/>
  <c r="J247"/>
  <c r="J250"/>
  <c r="D7"/>
  <c r="D10"/>
  <c r="F11"/>
  <c r="D13"/>
  <c r="F14"/>
  <c r="D16"/>
  <c r="F17"/>
  <c r="D19"/>
  <c r="F20"/>
  <c r="D22"/>
  <c r="F23"/>
  <c r="D25"/>
  <c r="F26"/>
  <c r="D28"/>
  <c r="F29"/>
  <c r="D31"/>
  <c r="F32"/>
  <c r="D34"/>
  <c r="F35"/>
  <c r="D37"/>
  <c r="F38"/>
  <c r="D40"/>
  <c r="F41"/>
  <c r="D43"/>
  <c r="F44"/>
  <c r="D46"/>
  <c r="F47"/>
  <c r="D49"/>
  <c r="F50"/>
  <c r="D52"/>
  <c r="F53"/>
  <c r="D55"/>
  <c r="F56"/>
  <c r="D58"/>
  <c r="F59"/>
  <c r="D61"/>
  <c r="F62"/>
  <c r="D64"/>
  <c r="F65"/>
  <c r="D67"/>
  <c r="F68"/>
  <c r="D70"/>
  <c r="F71"/>
  <c r="D73"/>
  <c r="F74"/>
  <c r="D76"/>
  <c r="F77"/>
  <c r="D79"/>
  <c r="F80"/>
  <c r="D82"/>
  <c r="F83"/>
  <c r="D85"/>
  <c r="F86"/>
  <c r="D88"/>
  <c r="F89"/>
  <c r="D91"/>
  <c r="F92"/>
  <c r="D94"/>
  <c r="F95"/>
  <c r="D97"/>
  <c r="F98"/>
  <c r="D100"/>
  <c r="F101"/>
  <c r="D103"/>
  <c r="F104"/>
  <c r="D106"/>
  <c r="F107"/>
  <c r="D109"/>
  <c r="F110"/>
  <c r="D112"/>
  <c r="F113"/>
  <c r="D115"/>
  <c r="F116"/>
  <c r="D118"/>
  <c r="F119"/>
  <c r="D121"/>
  <c r="F122"/>
  <c r="D124"/>
  <c r="F125"/>
  <c r="D127"/>
  <c r="F128"/>
  <c r="D130"/>
  <c r="F131"/>
  <c r="D133"/>
  <c r="F134"/>
  <c r="D136"/>
  <c r="F137"/>
  <c r="D139"/>
  <c r="F140"/>
  <c r="D142"/>
  <c r="F143"/>
  <c r="D145"/>
  <c r="F146"/>
  <c r="D148"/>
  <c r="F149"/>
  <c r="D151"/>
  <c r="F152"/>
  <c r="D154"/>
  <c r="F155"/>
  <c r="D157"/>
  <c r="F158"/>
  <c r="D160"/>
  <c r="F161"/>
  <c r="D163"/>
  <c r="F164"/>
  <c r="D166"/>
  <c r="F167"/>
  <c r="D169"/>
  <c r="F170"/>
  <c r="D172"/>
  <c r="F173"/>
  <c r="D175"/>
  <c r="F176"/>
  <c r="D178"/>
  <c r="F179"/>
  <c r="D181"/>
  <c r="F182"/>
  <c r="D184"/>
  <c r="F185"/>
  <c r="D187"/>
  <c r="F188"/>
  <c r="D190"/>
  <c r="F191"/>
  <c r="D193"/>
  <c r="F194"/>
  <c r="D196"/>
  <c r="F197"/>
  <c r="D199"/>
  <c r="F200"/>
  <c r="D202"/>
  <c r="F203"/>
  <c r="D205"/>
  <c r="F206"/>
  <c r="D208"/>
  <c r="F209"/>
  <c r="D211"/>
  <c r="F212"/>
  <c r="D214"/>
  <c r="F215"/>
  <c r="D217"/>
  <c r="F218"/>
  <c r="D220"/>
  <c r="F221"/>
  <c r="D223"/>
  <c r="F224"/>
  <c r="D226"/>
  <c r="F227"/>
  <c r="D229"/>
  <c r="F230"/>
  <c r="D232"/>
  <c r="F233"/>
  <c r="D235"/>
  <c r="F236"/>
  <c r="D238"/>
  <c r="F239"/>
  <c r="D241"/>
  <c r="F242"/>
  <c r="D244"/>
  <c r="F245"/>
  <c r="D247"/>
  <c r="F248"/>
  <c r="D250"/>
  <c r="F251"/>
  <c r="I7"/>
  <c r="I10"/>
  <c r="I13"/>
  <c r="I16"/>
  <c r="I19"/>
  <c r="I22"/>
  <c r="I25"/>
  <c r="I28"/>
  <c r="I31"/>
  <c r="I34"/>
  <c r="I37"/>
  <c r="I40"/>
  <c r="I43"/>
  <c r="I46"/>
  <c r="I49"/>
  <c r="I52"/>
  <c r="I55"/>
  <c r="I58"/>
  <c r="I61"/>
  <c r="I64"/>
  <c r="I67"/>
  <c r="I70"/>
  <c r="I73"/>
  <c r="I76"/>
  <c r="I79"/>
  <c r="I82"/>
  <c r="I85"/>
  <c r="I88"/>
  <c r="I91"/>
  <c r="I94"/>
  <c r="I97"/>
  <c r="I100"/>
  <c r="I103"/>
  <c r="I106"/>
  <c r="I109"/>
  <c r="I112"/>
  <c r="I115"/>
  <c r="I118"/>
  <c r="I121"/>
  <c r="I124"/>
  <c r="I127"/>
  <c r="I130"/>
  <c r="I133"/>
  <c r="I136"/>
  <c r="I139"/>
  <c r="I142"/>
  <c r="I145"/>
  <c r="I148"/>
  <c r="I151"/>
  <c r="I154"/>
  <c r="I157"/>
  <c r="I160"/>
  <c r="I163"/>
  <c r="I166"/>
  <c r="I169"/>
  <c r="I172"/>
  <c r="I175"/>
  <c r="I178"/>
  <c r="I181"/>
  <c r="I184"/>
  <c r="I187"/>
  <c r="I190"/>
  <c r="I193"/>
  <c r="I196"/>
  <c r="I199"/>
  <c r="I202"/>
  <c r="I205"/>
  <c r="I208"/>
  <c r="I211"/>
  <c r="I214"/>
  <c r="I217"/>
  <c r="I220"/>
  <c r="I223"/>
  <c r="I226"/>
  <c r="I229"/>
  <c r="I232"/>
  <c r="I235"/>
  <c r="I238"/>
  <c r="I241"/>
  <c r="I244"/>
  <c r="I247"/>
  <c r="I250"/>
  <c r="E5"/>
  <c r="C7"/>
  <c r="E8"/>
  <c r="C10"/>
  <c r="E11"/>
  <c r="C13"/>
  <c r="E14"/>
  <c r="C16"/>
  <c r="E17"/>
  <c r="C19"/>
  <c r="E20"/>
  <c r="C22"/>
  <c r="E23"/>
  <c r="C25"/>
  <c r="E26"/>
  <c r="C28"/>
  <c r="E29"/>
  <c r="C31"/>
  <c r="E32"/>
  <c r="C34"/>
  <c r="E35"/>
  <c r="C37"/>
  <c r="E38"/>
  <c r="C40"/>
  <c r="E41"/>
  <c r="C43"/>
  <c r="E44"/>
  <c r="C46"/>
  <c r="E47"/>
  <c r="C49"/>
  <c r="E50"/>
  <c r="C52"/>
  <c r="E53"/>
  <c r="C55"/>
  <c r="E56"/>
  <c r="C58"/>
  <c r="E59"/>
  <c r="C61"/>
  <c r="E62"/>
  <c r="C64"/>
  <c r="E65"/>
  <c r="C67"/>
  <c r="E68"/>
  <c r="C70"/>
  <c r="E71"/>
  <c r="C73"/>
  <c r="E74"/>
  <c r="C76"/>
  <c r="E77"/>
  <c r="C79"/>
  <c r="E80"/>
  <c r="C82"/>
  <c r="E83"/>
  <c r="C85"/>
  <c r="E86"/>
  <c r="C88"/>
  <c r="E89"/>
  <c r="C91"/>
  <c r="E92"/>
  <c r="C94"/>
  <c r="E95"/>
  <c r="C97"/>
  <c r="E98"/>
  <c r="C100"/>
  <c r="E101"/>
  <c r="C103"/>
  <c r="E104"/>
  <c r="C106"/>
  <c r="E107"/>
  <c r="C109"/>
  <c r="E110"/>
  <c r="C112"/>
  <c r="E113"/>
  <c r="C115"/>
  <c r="E116"/>
  <c r="C118"/>
  <c r="E119"/>
  <c r="C121"/>
  <c r="E122"/>
  <c r="C124"/>
  <c r="E125"/>
  <c r="C127"/>
  <c r="E128"/>
  <c r="C130"/>
  <c r="E131"/>
  <c r="C133"/>
  <c r="E134"/>
  <c r="C136"/>
  <c r="E137"/>
  <c r="C139"/>
  <c r="E140"/>
  <c r="C142"/>
  <c r="E143"/>
  <c r="C145"/>
  <c r="E146"/>
  <c r="C148"/>
  <c r="E149"/>
  <c r="C151"/>
  <c r="E152"/>
  <c r="C154"/>
  <c r="E155"/>
  <c r="C157"/>
  <c r="E158"/>
  <c r="C160"/>
  <c r="E161"/>
  <c r="C163"/>
  <c r="E164"/>
  <c r="C166"/>
  <c r="E167"/>
  <c r="C169"/>
  <c r="E170"/>
  <c r="C172"/>
  <c r="E173"/>
  <c r="C175"/>
  <c r="E176"/>
  <c r="C178"/>
  <c r="E179"/>
  <c r="C181"/>
  <c r="E182"/>
  <c r="C184"/>
  <c r="E185"/>
  <c r="C187"/>
  <c r="E188"/>
  <c r="C190"/>
  <c r="E191"/>
  <c r="C193"/>
  <c r="E194"/>
  <c r="C196"/>
  <c r="E197"/>
  <c r="C199"/>
  <c r="E200"/>
  <c r="C202"/>
  <c r="E203"/>
  <c r="C205"/>
  <c r="E206"/>
  <c r="C208"/>
  <c r="E209"/>
  <c r="C211"/>
  <c r="E212"/>
  <c r="C214"/>
  <c r="E215"/>
  <c r="C217"/>
  <c r="E218"/>
  <c r="C220"/>
  <c r="E221"/>
  <c r="C223"/>
  <c r="E224"/>
  <c r="C226"/>
  <c r="E227"/>
  <c r="C229"/>
  <c r="E230"/>
  <c r="C232"/>
  <c r="E233"/>
  <c r="C235"/>
  <c r="E236"/>
  <c r="C238"/>
  <c r="E239"/>
  <c r="C241"/>
  <c r="E242"/>
  <c r="C244"/>
  <c r="E245"/>
  <c r="C247"/>
  <c r="E248"/>
  <c r="C250"/>
  <c r="E251"/>
  <c r="J6"/>
  <c r="J9"/>
  <c r="J12"/>
  <c r="J15"/>
  <c r="J18"/>
  <c r="J21"/>
  <c r="J24"/>
  <c r="J27"/>
  <c r="J30"/>
  <c r="J33"/>
  <c r="J36"/>
  <c r="J39"/>
  <c r="J42"/>
  <c r="J45"/>
  <c r="J48"/>
  <c r="J51"/>
  <c r="J54"/>
  <c r="J57"/>
  <c r="J60"/>
  <c r="J63"/>
  <c r="J66"/>
  <c r="J69"/>
  <c r="J72"/>
  <c r="J75"/>
  <c r="J78"/>
  <c r="J81"/>
  <c r="J84"/>
  <c r="J87"/>
  <c r="J90"/>
  <c r="J93"/>
  <c r="J96"/>
  <c r="J99"/>
  <c r="J102"/>
  <c r="J105"/>
  <c r="J108"/>
  <c r="J111"/>
  <c r="J114"/>
  <c r="J117"/>
  <c r="J120"/>
  <c r="J123"/>
  <c r="J126"/>
  <c r="J129"/>
  <c r="J132"/>
  <c r="J135"/>
  <c r="J138"/>
  <c r="J141"/>
  <c r="J144"/>
  <c r="J147"/>
  <c r="J150"/>
  <c r="J153"/>
  <c r="J156"/>
  <c r="J159"/>
  <c r="J162"/>
  <c r="J165"/>
  <c r="J168"/>
  <c r="J171"/>
  <c r="J174"/>
  <c r="J177"/>
  <c r="J180"/>
  <c r="J183"/>
  <c r="J186"/>
  <c r="J189"/>
  <c r="J192"/>
  <c r="J195"/>
  <c r="J198"/>
  <c r="J201"/>
  <c r="J204"/>
  <c r="J207"/>
  <c r="J210"/>
  <c r="J213"/>
  <c r="J216"/>
  <c r="J219"/>
  <c r="J222"/>
  <c r="J225"/>
  <c r="J228"/>
  <c r="J231"/>
  <c r="J234"/>
  <c r="J237"/>
  <c r="J240"/>
  <c r="J243"/>
  <c r="J246"/>
  <c r="J249"/>
  <c r="D5"/>
  <c r="D8"/>
  <c r="D11"/>
  <c r="F12"/>
  <c r="D14"/>
  <c r="F15"/>
  <c r="D17"/>
  <c r="F18"/>
  <c r="D20"/>
  <c r="F21"/>
  <c r="D23"/>
  <c r="F24"/>
  <c r="D26"/>
  <c r="F27"/>
  <c r="D29"/>
  <c r="F30"/>
  <c r="D32"/>
  <c r="F33"/>
  <c r="D35"/>
  <c r="F36"/>
  <c r="D38"/>
  <c r="F39"/>
  <c r="D41"/>
  <c r="F42"/>
  <c r="D44"/>
  <c r="F45"/>
  <c r="D47"/>
  <c r="F48"/>
  <c r="D50"/>
  <c r="F51"/>
  <c r="D53"/>
  <c r="F54"/>
  <c r="D56"/>
  <c r="F57"/>
  <c r="D59"/>
  <c r="F60"/>
  <c r="D62"/>
  <c r="F63"/>
  <c r="D65"/>
  <c r="F66"/>
  <c r="D68"/>
  <c r="F69"/>
  <c r="D71"/>
  <c r="F72"/>
  <c r="D74"/>
  <c r="F75"/>
  <c r="D77"/>
  <c r="F78"/>
  <c r="D80"/>
  <c r="F81"/>
  <c r="D83"/>
  <c r="F84"/>
  <c r="D86"/>
  <c r="F87"/>
  <c r="D89"/>
  <c r="F90"/>
  <c r="D92"/>
  <c r="F93"/>
  <c r="D95"/>
  <c r="F96"/>
  <c r="D98"/>
  <c r="F99"/>
  <c r="D101"/>
  <c r="F102"/>
  <c r="D104"/>
  <c r="F105"/>
  <c r="D107"/>
  <c r="F108"/>
  <c r="D110"/>
  <c r="F111"/>
  <c r="D113"/>
  <c r="F114"/>
  <c r="D116"/>
  <c r="F117"/>
  <c r="D119"/>
  <c r="F120"/>
  <c r="D122"/>
  <c r="F123"/>
  <c r="D125"/>
  <c r="F126"/>
  <c r="D128"/>
  <c r="F129"/>
  <c r="D131"/>
  <c r="F132"/>
  <c r="D134"/>
  <c r="F135"/>
  <c r="D137"/>
  <c r="F138"/>
  <c r="D140"/>
  <c r="F141"/>
  <c r="D143"/>
  <c r="F144"/>
  <c r="D146"/>
  <c r="F147"/>
  <c r="D149"/>
  <c r="F150"/>
  <c r="D152"/>
  <c r="F153"/>
  <c r="D155"/>
  <c r="F156"/>
  <c r="D158"/>
  <c r="F159"/>
  <c r="D161"/>
  <c r="F162"/>
  <c r="D164"/>
  <c r="F165"/>
  <c r="D167"/>
  <c r="F168"/>
  <c r="D170"/>
  <c r="F171"/>
  <c r="D173"/>
  <c r="F174"/>
  <c r="D176"/>
  <c r="F177"/>
  <c r="D179"/>
  <c r="F180"/>
  <c r="D182"/>
  <c r="F183"/>
  <c r="D185"/>
  <c r="F186"/>
  <c r="D188"/>
  <c r="F189"/>
  <c r="D191"/>
  <c r="F192"/>
  <c r="D194"/>
  <c r="F195"/>
  <c r="D197"/>
  <c r="F198"/>
  <c r="D200"/>
  <c r="F201"/>
  <c r="D203"/>
  <c r="F204"/>
  <c r="D206"/>
  <c r="F207"/>
  <c r="D209"/>
  <c r="F210"/>
  <c r="D212"/>
  <c r="F213"/>
  <c r="D215"/>
  <c r="F216"/>
  <c r="D218"/>
  <c r="F219"/>
  <c r="D221"/>
  <c r="F222"/>
  <c r="D224"/>
  <c r="F225"/>
  <c r="D227"/>
  <c r="F228"/>
  <c r="D230"/>
  <c r="F231"/>
  <c r="D233"/>
  <c r="F234"/>
  <c r="D236"/>
  <c r="F237"/>
  <c r="D239"/>
  <c r="F240"/>
  <c r="D242"/>
  <c r="F243"/>
  <c r="D245"/>
  <c r="F246"/>
  <c r="D248"/>
  <c r="F249"/>
  <c r="D251"/>
  <c r="I6"/>
  <c r="I9"/>
  <c r="I12"/>
  <c r="I15"/>
  <c r="I18"/>
  <c r="I21"/>
  <c r="I24"/>
  <c r="I27"/>
  <c r="I30"/>
  <c r="I33"/>
  <c r="I36"/>
  <c r="I39"/>
  <c r="I42"/>
  <c r="I45"/>
  <c r="I48"/>
  <c r="I51"/>
  <c r="I54"/>
  <c r="I57"/>
  <c r="I60"/>
  <c r="I63"/>
  <c r="I66"/>
  <c r="I69"/>
  <c r="I72"/>
  <c r="I75"/>
  <c r="I78"/>
  <c r="I81"/>
  <c r="I84"/>
  <c r="I87"/>
  <c r="I90"/>
  <c r="I93"/>
  <c r="I96"/>
  <c r="I99"/>
  <c r="I102"/>
  <c r="I105"/>
  <c r="I108"/>
  <c r="I111"/>
  <c r="I114"/>
  <c r="I117"/>
  <c r="I120"/>
  <c r="I123"/>
  <c r="I126"/>
  <c r="I129"/>
  <c r="I132"/>
  <c r="I135"/>
  <c r="I138"/>
  <c r="I141"/>
  <c r="I144"/>
  <c r="I147"/>
  <c r="I150"/>
  <c r="I153"/>
  <c r="I156"/>
  <c r="I159"/>
  <c r="I162"/>
  <c r="I165"/>
  <c r="I168"/>
  <c r="I171"/>
  <c r="I174"/>
  <c r="I177"/>
  <c r="I180"/>
  <c r="I183"/>
  <c r="I186"/>
  <c r="I189"/>
  <c r="I192"/>
  <c r="I195"/>
  <c r="I198"/>
  <c r="I201"/>
  <c r="I204"/>
  <c r="I207"/>
  <c r="I210"/>
  <c r="I213"/>
  <c r="I216"/>
  <c r="I219"/>
  <c r="I222"/>
  <c r="I225"/>
  <c r="I228"/>
  <c r="I231"/>
  <c r="I234"/>
  <c r="I237"/>
  <c r="I240"/>
  <c r="I243"/>
  <c r="I246"/>
  <c r="I249"/>
  <c r="C5"/>
  <c r="E6"/>
  <c r="C8"/>
  <c r="E9"/>
  <c r="C11"/>
  <c r="E12"/>
  <c r="C14"/>
  <c r="E15"/>
  <c r="C17"/>
  <c r="E18"/>
  <c r="C20"/>
  <c r="E21"/>
  <c r="C23"/>
  <c r="E24"/>
  <c r="C26"/>
  <c r="E27"/>
  <c r="C29"/>
  <c r="E30"/>
  <c r="C32"/>
  <c r="E33"/>
  <c r="C35"/>
  <c r="E36"/>
  <c r="C38"/>
  <c r="E39"/>
  <c r="C41"/>
  <c r="E42"/>
  <c r="C44"/>
  <c r="E45"/>
  <c r="C47"/>
  <c r="E48"/>
  <c r="C50"/>
  <c r="E51"/>
  <c r="C53"/>
  <c r="E54"/>
  <c r="C56"/>
  <c r="E57"/>
  <c r="C59"/>
  <c r="E60"/>
  <c r="C62"/>
  <c r="E63"/>
  <c r="C65"/>
  <c r="E66"/>
  <c r="C68"/>
  <c r="E69"/>
  <c r="C71"/>
  <c r="E72"/>
  <c r="C74"/>
  <c r="E75"/>
  <c r="C77"/>
  <c r="E78"/>
  <c r="C80"/>
  <c r="E81"/>
  <c r="C83"/>
  <c r="E84"/>
  <c r="C86"/>
  <c r="E87"/>
  <c r="C89"/>
  <c r="E90"/>
  <c r="C92"/>
  <c r="E93"/>
  <c r="C95"/>
  <c r="E96"/>
  <c r="C98"/>
  <c r="E99"/>
  <c r="C101"/>
  <c r="E102"/>
  <c r="C104"/>
  <c r="E105"/>
  <c r="C107"/>
  <c r="E108"/>
  <c r="C110"/>
  <c r="E111"/>
  <c r="C113"/>
  <c r="E114"/>
  <c r="C116"/>
  <c r="E117"/>
  <c r="C119"/>
  <c r="E120"/>
  <c r="C122"/>
  <c r="E123"/>
  <c r="C125"/>
  <c r="E126"/>
  <c r="C128"/>
  <c r="E129"/>
  <c r="C131"/>
  <c r="E132"/>
  <c r="C134"/>
  <c r="E135"/>
  <c r="C137"/>
  <c r="E138"/>
  <c r="C140"/>
  <c r="E141"/>
  <c r="C143"/>
  <c r="E144"/>
  <c r="C146"/>
  <c r="E147"/>
  <c r="C149"/>
  <c r="E150"/>
  <c r="C152"/>
  <c r="E153"/>
  <c r="C155"/>
  <c r="E156"/>
  <c r="C158"/>
  <c r="E159"/>
  <c r="C161"/>
  <c r="E162"/>
  <c r="C164"/>
  <c r="E165"/>
  <c r="C167"/>
  <c r="E168"/>
  <c r="C170"/>
  <c r="E171"/>
  <c r="C173"/>
  <c r="E174"/>
  <c r="C176"/>
  <c r="E177"/>
  <c r="C179"/>
  <c r="E180"/>
  <c r="C182"/>
  <c r="E183"/>
  <c r="C185"/>
  <c r="E186"/>
  <c r="C188"/>
  <c r="E189"/>
  <c r="C191"/>
  <c r="E192"/>
  <c r="C194"/>
  <c r="E195"/>
  <c r="C197"/>
  <c r="E198"/>
  <c r="C200"/>
  <c r="E201"/>
  <c r="C203"/>
  <c r="E204"/>
  <c r="C206"/>
  <c r="E207"/>
  <c r="C209"/>
  <c r="E210"/>
  <c r="C212"/>
  <c r="E213"/>
  <c r="C215"/>
  <c r="E216"/>
  <c r="C218"/>
  <c r="E219"/>
  <c r="C221"/>
  <c r="E222"/>
  <c r="C224"/>
  <c r="E225"/>
  <c r="C227"/>
  <c r="E228"/>
  <c r="C230"/>
  <c r="E231"/>
  <c r="C233"/>
  <c r="E234"/>
  <c r="C236"/>
  <c r="E237"/>
  <c r="C239"/>
  <c r="E240"/>
  <c r="C242"/>
  <c r="E243"/>
  <c r="C245"/>
  <c r="E246"/>
  <c r="C248"/>
  <c r="E249"/>
  <c r="C251"/>
  <c r="J5"/>
  <c r="J8"/>
  <c r="J11"/>
  <c r="J14"/>
  <c r="J17"/>
  <c r="J20"/>
  <c r="J23"/>
  <c r="J26"/>
  <c r="J29"/>
  <c r="J32"/>
  <c r="J35"/>
  <c r="J38"/>
  <c r="J41"/>
  <c r="J44"/>
  <c r="J47"/>
  <c r="J50"/>
  <c r="J53"/>
  <c r="J56"/>
  <c r="J59"/>
  <c r="J62"/>
  <c r="J65"/>
  <c r="J68"/>
  <c r="J71"/>
  <c r="J74"/>
  <c r="J77"/>
  <c r="J80"/>
  <c r="J83"/>
  <c r="J86"/>
  <c r="J89"/>
  <c r="J92"/>
  <c r="J95"/>
  <c r="J98"/>
  <c r="J101"/>
  <c r="J104"/>
  <c r="J107"/>
  <c r="J110"/>
  <c r="J113"/>
  <c r="J116"/>
  <c r="J119"/>
  <c r="J122"/>
  <c r="J125"/>
  <c r="J128"/>
  <c r="J131"/>
  <c r="J134"/>
  <c r="J137"/>
  <c r="J140"/>
  <c r="J143"/>
  <c r="J146"/>
  <c r="J149"/>
  <c r="J152"/>
  <c r="J155"/>
  <c r="J158"/>
  <c r="J161"/>
  <c r="J164"/>
  <c r="J167"/>
  <c r="J170"/>
  <c r="J173"/>
  <c r="J176"/>
  <c r="J179"/>
  <c r="J182"/>
  <c r="J185"/>
  <c r="J188"/>
  <c r="J191"/>
  <c r="J194"/>
  <c r="J197"/>
  <c r="J200"/>
  <c r="J203"/>
  <c r="J206"/>
  <c r="J209"/>
  <c r="J212"/>
  <c r="J215"/>
  <c r="J218"/>
  <c r="J221"/>
  <c r="J224"/>
  <c r="J227"/>
  <c r="J230"/>
  <c r="J233"/>
  <c r="J236"/>
  <c r="J239"/>
  <c r="J242"/>
  <c r="J245"/>
  <c r="J248"/>
  <c r="J251"/>
  <c r="D6"/>
  <c r="D9"/>
  <c r="D12"/>
  <c r="F13"/>
  <c r="D15"/>
  <c r="F16"/>
  <c r="D18"/>
  <c r="F19"/>
  <c r="D21"/>
  <c r="F22"/>
  <c r="D24"/>
  <c r="F25"/>
  <c r="D27"/>
  <c r="F28"/>
  <c r="D30"/>
  <c r="F31"/>
  <c r="D33"/>
  <c r="F34"/>
  <c r="D36"/>
  <c r="F37"/>
  <c r="D39"/>
  <c r="F40"/>
  <c r="D42"/>
  <c r="F43"/>
  <c r="D45"/>
  <c r="F46"/>
  <c r="D48"/>
  <c r="F49"/>
  <c r="D51"/>
  <c r="F52"/>
  <c r="D54"/>
  <c r="F55"/>
  <c r="D57"/>
  <c r="F58"/>
  <c r="D60"/>
  <c r="F61"/>
  <c r="D63"/>
  <c r="F64"/>
  <c r="D66"/>
  <c r="F67"/>
  <c r="D69"/>
  <c r="F70"/>
  <c r="D72"/>
  <c r="F73"/>
  <c r="D75"/>
  <c r="F76"/>
  <c r="D78"/>
  <c r="F79"/>
  <c r="D81"/>
  <c r="F82"/>
  <c r="D84"/>
  <c r="F85"/>
  <c r="D87"/>
  <c r="F88"/>
  <c r="D90"/>
  <c r="F91"/>
  <c r="D93"/>
  <c r="F94"/>
  <c r="D96"/>
  <c r="F97"/>
  <c r="D99"/>
  <c r="F100"/>
  <c r="D102"/>
  <c r="F103"/>
  <c r="D105"/>
  <c r="F106"/>
  <c r="D108"/>
  <c r="F109"/>
  <c r="D111"/>
  <c r="F112"/>
  <c r="D114"/>
  <c r="F115"/>
  <c r="D117"/>
  <c r="F118"/>
  <c r="D120"/>
  <c r="F121"/>
  <c r="D123"/>
  <c r="F124"/>
  <c r="D126"/>
  <c r="F127"/>
  <c r="D129"/>
  <c r="F130"/>
  <c r="D132"/>
  <c r="F133"/>
  <c r="D135"/>
  <c r="F136"/>
  <c r="D138"/>
  <c r="F139"/>
  <c r="D141"/>
  <c r="F142"/>
  <c r="D144"/>
  <c r="F145"/>
  <c r="D147"/>
  <c r="F148"/>
  <c r="D150"/>
  <c r="F151"/>
  <c r="D153"/>
  <c r="F154"/>
  <c r="D156"/>
  <c r="F157"/>
  <c r="D159"/>
  <c r="F160"/>
  <c r="D162"/>
  <c r="F163"/>
  <c r="D165"/>
  <c r="F166"/>
  <c r="D168"/>
  <c r="F169"/>
  <c r="D171"/>
  <c r="F172"/>
  <c r="D174"/>
  <c r="F175"/>
  <c r="D177"/>
  <c r="F178"/>
  <c r="D180"/>
  <c r="F181"/>
  <c r="D183"/>
  <c r="F184"/>
  <c r="D186"/>
  <c r="F187"/>
  <c r="D189"/>
  <c r="F190"/>
  <c r="D192"/>
  <c r="F193"/>
  <c r="D195"/>
  <c r="F196"/>
  <c r="D198"/>
  <c r="F199"/>
  <c r="D201"/>
  <c r="F202"/>
  <c r="D204"/>
  <c r="F205"/>
  <c r="D207"/>
  <c r="F208"/>
  <c r="D210"/>
  <c r="F211"/>
  <c r="D213"/>
  <c r="F214"/>
  <c r="D216"/>
  <c r="F217"/>
  <c r="D219"/>
  <c r="F220"/>
  <c r="D222"/>
  <c r="F223"/>
  <c r="D225"/>
  <c r="F226"/>
  <c r="D228"/>
  <c r="F229"/>
  <c r="D231"/>
  <c r="F232"/>
  <c r="D234"/>
  <c r="F235"/>
  <c r="D237"/>
  <c r="F238"/>
  <c r="D240"/>
  <c r="F241"/>
  <c r="D243"/>
  <c r="F244"/>
  <c r="D246"/>
  <c r="F247"/>
  <c r="D249"/>
  <c r="F250"/>
  <c r="I5"/>
  <c r="I8"/>
  <c r="I11"/>
  <c r="I14"/>
  <c r="I17"/>
  <c r="I20"/>
  <c r="I23"/>
  <c r="I26"/>
  <c r="I29"/>
  <c r="I32"/>
  <c r="I35"/>
  <c r="I38"/>
  <c r="I41"/>
  <c r="I44"/>
  <c r="I47"/>
  <c r="I50"/>
  <c r="I53"/>
  <c r="I56"/>
  <c r="I59"/>
  <c r="I62"/>
  <c r="I65"/>
  <c r="I68"/>
  <c r="I71"/>
  <c r="I74"/>
  <c r="I77"/>
  <c r="I80"/>
  <c r="I83"/>
  <c r="I86"/>
  <c r="I89"/>
  <c r="I92"/>
  <c r="I95"/>
  <c r="I98"/>
  <c r="I101"/>
  <c r="I104"/>
  <c r="I107"/>
  <c r="I110"/>
  <c r="I113"/>
  <c r="I116"/>
  <c r="I119"/>
  <c r="I122"/>
  <c r="I125"/>
  <c r="I128"/>
  <c r="I131"/>
  <c r="I134"/>
  <c r="I137"/>
  <c r="I140"/>
  <c r="I143"/>
  <c r="I146"/>
  <c r="I149"/>
  <c r="I152"/>
  <c r="I155"/>
  <c r="I158"/>
  <c r="I161"/>
  <c r="I164"/>
  <c r="I167"/>
  <c r="I170"/>
  <c r="I173"/>
  <c r="I176"/>
  <c r="I179"/>
  <c r="I182"/>
  <c r="I185"/>
  <c r="I188"/>
  <c r="I191"/>
  <c r="I194"/>
  <c r="I197"/>
  <c r="I200"/>
  <c r="I203"/>
  <c r="I206"/>
  <c r="I209"/>
  <c r="I212"/>
  <c r="I215"/>
  <c r="I218"/>
  <c r="I221"/>
  <c r="I224"/>
  <c r="I227"/>
  <c r="I230"/>
  <c r="I233"/>
  <c r="I236"/>
  <c r="I239"/>
  <c r="I242"/>
  <c r="I245"/>
  <c r="I248"/>
  <c r="I251"/>
  <c r="C6"/>
  <c r="E7"/>
  <c r="C9"/>
  <c r="E10"/>
  <c r="C12"/>
  <c r="E13"/>
  <c r="C15"/>
  <c r="E16"/>
  <c r="C18"/>
  <c r="E19"/>
  <c r="C21"/>
  <c r="E22"/>
  <c r="C24"/>
  <c r="E25"/>
  <c r="C27"/>
  <c r="E28"/>
  <c r="C30"/>
  <c r="E31"/>
  <c r="C33"/>
  <c r="E34"/>
  <c r="C36"/>
  <c r="E37"/>
  <c r="C39"/>
  <c r="E40"/>
  <c r="C42"/>
  <c r="E43"/>
  <c r="C45"/>
  <c r="E46"/>
  <c r="C48"/>
  <c r="E49"/>
  <c r="C51"/>
  <c r="E52"/>
  <c r="C54"/>
  <c r="E55"/>
  <c r="C57"/>
  <c r="E58"/>
  <c r="C60"/>
  <c r="E61"/>
  <c r="C63"/>
  <c r="E64"/>
  <c r="C66"/>
  <c r="E67"/>
  <c r="C69"/>
  <c r="E70"/>
  <c r="C72"/>
  <c r="E73"/>
  <c r="C75"/>
  <c r="E76"/>
  <c r="C78"/>
  <c r="E79"/>
  <c r="C81"/>
  <c r="E82"/>
  <c r="C84"/>
  <c r="E85"/>
  <c r="C87"/>
  <c r="E88"/>
  <c r="C90"/>
  <c r="E91"/>
  <c r="C93"/>
  <c r="E94"/>
  <c r="C96"/>
  <c r="E97"/>
  <c r="C99"/>
  <c r="E100"/>
  <c r="C102"/>
  <c r="E103"/>
  <c r="C105"/>
  <c r="E106"/>
  <c r="C108"/>
  <c r="E109"/>
  <c r="C111"/>
  <c r="E112"/>
  <c r="C114"/>
  <c r="E115"/>
  <c r="C117"/>
  <c r="E118"/>
  <c r="C120"/>
  <c r="E121"/>
  <c r="C123"/>
  <c r="E124"/>
  <c r="C126"/>
  <c r="E127"/>
  <c r="C129"/>
  <c r="E130"/>
  <c r="C132"/>
  <c r="E133"/>
  <c r="C135"/>
  <c r="E136"/>
  <c r="C138"/>
  <c r="E139"/>
  <c r="C141"/>
  <c r="E142"/>
  <c r="C144"/>
  <c r="E145"/>
  <c r="C147"/>
  <c r="E148"/>
  <c r="C150"/>
  <c r="E151"/>
  <c r="C153"/>
  <c r="E154"/>
  <c r="C156"/>
  <c r="E157"/>
  <c r="C159"/>
  <c r="E160"/>
  <c r="C162"/>
  <c r="E163"/>
  <c r="C165"/>
  <c r="E166"/>
  <c r="C168"/>
  <c r="E169"/>
  <c r="C171"/>
  <c r="E172"/>
  <c r="C174"/>
  <c r="E175"/>
  <c r="C177"/>
  <c r="E178"/>
  <c r="C180"/>
  <c r="E181"/>
  <c r="C183"/>
  <c r="E184"/>
  <c r="C186"/>
  <c r="E187"/>
  <c r="C189"/>
  <c r="E190"/>
  <c r="C192"/>
  <c r="E193"/>
  <c r="C195"/>
  <c r="E196"/>
  <c r="C198"/>
  <c r="E199"/>
  <c r="C201"/>
  <c r="E202"/>
  <c r="C204"/>
  <c r="E205"/>
  <c r="C207"/>
  <c r="E208"/>
  <c r="C210"/>
  <c r="E211"/>
  <c r="C213"/>
  <c r="E214"/>
  <c r="C216"/>
  <c r="E217"/>
  <c r="C219"/>
  <c r="E220"/>
  <c r="C222"/>
  <c r="E223"/>
  <c r="C225"/>
  <c r="E226"/>
  <c r="C228"/>
  <c r="E229"/>
  <c r="C231"/>
  <c r="E232"/>
  <c r="C234"/>
  <c r="E235"/>
  <c r="C237"/>
  <c r="E238"/>
  <c r="C240"/>
  <c r="E241"/>
  <c r="C243"/>
  <c r="E244"/>
  <c r="C246"/>
  <c r="E247"/>
  <c r="C249"/>
  <c r="E250"/>
  <c r="I4"/>
  <c r="E3"/>
  <c r="E4"/>
  <c r="D4"/>
  <c r="I3"/>
  <c r="C4"/>
  <c r="J3"/>
  <c r="C3"/>
  <c r="J4"/>
  <c r="D3"/>
  <c r="I27" i="27"/>
  <c r="P2" i="28" l="1"/>
  <c r="Y8" i="21"/>
  <c r="Y1" l="1"/>
  <c r="Y72" s="1"/>
  <c r="Y22"/>
  <c r="Y21"/>
  <c r="Y20"/>
  <c r="Y19"/>
  <c r="Y18"/>
  <c r="Y17"/>
  <c r="Y14"/>
  <c r="Y13"/>
  <c r="Y12"/>
  <c r="Y80" s="1"/>
  <c r="Y11"/>
  <c r="Y79" s="1"/>
  <c r="Y7"/>
  <c r="Y6"/>
  <c r="Y5"/>
  <c r="Y4"/>
  <c r="Y3"/>
  <c r="AI61"/>
  <c r="AJ61"/>
  <c r="AK61"/>
  <c r="AL61"/>
  <c r="AI57" l="1"/>
  <c r="AI59" s="1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2"/>
  <c r="T3"/>
  <c r="AI58" l="1"/>
  <c r="AI60" s="1"/>
  <c r="AV32"/>
  <c r="AT32"/>
  <c r="AR32"/>
  <c r="AV19"/>
  <c r="AT19"/>
  <c r="AR19"/>
  <c r="AR2"/>
  <c r="AV2"/>
  <c r="AT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2"/>
  <c r="D2"/>
  <c r="D2" i="24"/>
  <c r="E23"/>
  <c r="U29" i="16" l="1"/>
  <c r="U71"/>
  <c r="U62"/>
  <c r="U54"/>
  <c r="U46"/>
  <c r="BJ31"/>
  <c r="U37"/>
  <c r="CE31"/>
  <c r="U22"/>
  <c r="U72"/>
  <c r="U61"/>
  <c r="U53"/>
  <c r="U45"/>
  <c r="BH31"/>
  <c r="U36"/>
  <c r="BI31"/>
  <c r="U21"/>
  <c r="U75"/>
  <c r="U73"/>
  <c r="U65"/>
  <c r="U56"/>
  <c r="U48"/>
  <c r="CD31"/>
  <c r="U39"/>
  <c r="U32"/>
  <c r="U31"/>
  <c r="U24"/>
  <c r="U66"/>
  <c r="U55"/>
  <c r="U47"/>
  <c r="CB31"/>
  <c r="U38"/>
  <c r="CC31"/>
  <c r="U30"/>
  <c r="U76"/>
  <c r="U27"/>
  <c r="U67"/>
  <c r="U58"/>
  <c r="U50"/>
  <c r="U42"/>
  <c r="U41"/>
  <c r="U33"/>
  <c r="BG31"/>
  <c r="U25"/>
  <c r="U68"/>
  <c r="U57"/>
  <c r="U49"/>
  <c r="CF31"/>
  <c r="U40"/>
  <c r="CG31"/>
  <c r="U26"/>
  <c r="U77"/>
  <c r="U23"/>
  <c r="U69"/>
  <c r="U60"/>
  <c r="U52"/>
  <c r="U44"/>
  <c r="BF31"/>
  <c r="U35"/>
  <c r="CA31"/>
  <c r="U28"/>
  <c r="U70"/>
  <c r="U59"/>
  <c r="U51"/>
  <c r="U43"/>
  <c r="BD31"/>
  <c r="U34"/>
  <c r="BE31"/>
  <c r="U74"/>
  <c r="F200" i="27"/>
  <c r="F164"/>
  <c r="F103"/>
  <c r="F87"/>
  <c r="F56"/>
  <c r="F40"/>
  <c r="F28"/>
  <c r="F198"/>
  <c r="F166"/>
  <c r="F101"/>
  <c r="F85"/>
  <c r="F54"/>
  <c r="F38"/>
  <c r="J2"/>
  <c r="F2" s="1"/>
  <c r="F232"/>
  <c r="F224"/>
  <c r="F216"/>
  <c r="F208"/>
  <c r="F135"/>
  <c r="F127"/>
  <c r="F119"/>
  <c r="F111"/>
  <c r="F72"/>
  <c r="F64"/>
  <c r="F21"/>
  <c r="F186"/>
  <c r="F154"/>
  <c r="F242"/>
  <c r="F187"/>
  <c r="F173"/>
  <c r="F165"/>
  <c r="F157"/>
  <c r="F149"/>
  <c r="F141"/>
  <c r="F102"/>
  <c r="F94"/>
  <c r="F86"/>
  <c r="F78"/>
  <c r="F53"/>
  <c r="F45"/>
  <c r="F37"/>
  <c r="F29"/>
  <c r="F196"/>
  <c r="F168"/>
  <c r="F27"/>
  <c r="F248"/>
  <c r="F193"/>
  <c r="F177"/>
  <c r="F12"/>
  <c r="F235"/>
  <c r="F227"/>
  <c r="F219"/>
  <c r="F211"/>
  <c r="F203"/>
  <c r="F132"/>
  <c r="F124"/>
  <c r="F116"/>
  <c r="F108"/>
  <c r="F67"/>
  <c r="F59"/>
  <c r="F245"/>
  <c r="F176"/>
  <c r="F138"/>
  <c r="F91"/>
  <c r="F75"/>
  <c r="F44"/>
  <c r="F30"/>
  <c r="F241"/>
  <c r="F172"/>
  <c r="F144"/>
  <c r="F89"/>
  <c r="F73"/>
  <c r="F42"/>
  <c r="F22"/>
  <c r="F234"/>
  <c r="F226"/>
  <c r="F218"/>
  <c r="F210"/>
  <c r="F202"/>
  <c r="F129"/>
  <c r="F121"/>
  <c r="F113"/>
  <c r="F105"/>
  <c r="F66"/>
  <c r="F58"/>
  <c r="F194"/>
  <c r="F162"/>
  <c r="F23"/>
  <c r="F246"/>
  <c r="F191"/>
  <c r="F175"/>
  <c r="F167"/>
  <c r="F159"/>
  <c r="F151"/>
  <c r="F143"/>
  <c r="F104"/>
  <c r="F96"/>
  <c r="F88"/>
  <c r="F80"/>
  <c r="F55"/>
  <c r="F47"/>
  <c r="F39"/>
  <c r="F31"/>
  <c r="F239"/>
  <c r="F174"/>
  <c r="F142"/>
  <c r="F197"/>
  <c r="F181"/>
  <c r="F16"/>
  <c r="F237"/>
  <c r="F229"/>
  <c r="F221"/>
  <c r="F213"/>
  <c r="F205"/>
  <c r="F134"/>
  <c r="F126"/>
  <c r="F118"/>
  <c r="F110"/>
  <c r="F69"/>
  <c r="F61"/>
  <c r="F9"/>
  <c r="F184"/>
  <c r="F152"/>
  <c r="F95"/>
  <c r="F79"/>
  <c r="F48"/>
  <c r="F32"/>
  <c r="F249"/>
  <c r="F182"/>
  <c r="F148"/>
  <c r="F93"/>
  <c r="F77"/>
  <c r="F46"/>
  <c r="F26"/>
  <c r="F236"/>
  <c r="F228"/>
  <c r="F220"/>
  <c r="F212"/>
  <c r="F204"/>
  <c r="F131"/>
  <c r="F123"/>
  <c r="F115"/>
  <c r="F107"/>
  <c r="F68"/>
  <c r="F60"/>
  <c r="F243"/>
  <c r="F170"/>
  <c r="F140"/>
  <c r="F250"/>
  <c r="F195"/>
  <c r="F179"/>
  <c r="F169"/>
  <c r="F161"/>
  <c r="F153"/>
  <c r="F145"/>
  <c r="F137"/>
  <c r="F98"/>
  <c r="F90"/>
  <c r="F82"/>
  <c r="F74"/>
  <c r="F49"/>
  <c r="F41"/>
  <c r="F33"/>
  <c r="F247"/>
  <c r="F180"/>
  <c r="F150"/>
  <c r="F11"/>
  <c r="F240"/>
  <c r="F185"/>
  <c r="F20"/>
  <c r="F4"/>
  <c r="F231"/>
  <c r="F223"/>
  <c r="F215"/>
  <c r="F207"/>
  <c r="F136"/>
  <c r="F128"/>
  <c r="F120"/>
  <c r="F112"/>
  <c r="F71"/>
  <c r="F63"/>
  <c r="F25"/>
  <c r="F192"/>
  <c r="F156"/>
  <c r="F97"/>
  <c r="F83"/>
  <c r="F52"/>
  <c r="F36"/>
  <c r="F17"/>
  <c r="F190"/>
  <c r="F160"/>
  <c r="F99"/>
  <c r="F81"/>
  <c r="F50"/>
  <c r="F34"/>
  <c r="F14"/>
  <c r="F238"/>
  <c r="F230"/>
  <c r="F222"/>
  <c r="F214"/>
  <c r="F206"/>
  <c r="F133"/>
  <c r="F125"/>
  <c r="F117"/>
  <c r="F109"/>
  <c r="F70"/>
  <c r="F62"/>
  <c r="F178"/>
  <c r="F146"/>
  <c r="F199"/>
  <c r="F183"/>
  <c r="F171"/>
  <c r="F163"/>
  <c r="F155"/>
  <c r="F147"/>
  <c r="F139"/>
  <c r="F100"/>
  <c r="F92"/>
  <c r="F84"/>
  <c r="F76"/>
  <c r="F51"/>
  <c r="F43"/>
  <c r="F35"/>
  <c r="F13"/>
  <c r="F188"/>
  <c r="F158"/>
  <c r="F19"/>
  <c r="F244"/>
  <c r="F189"/>
  <c r="F24"/>
  <c r="F233"/>
  <c r="F225"/>
  <c r="F217"/>
  <c r="F209"/>
  <c r="F201"/>
  <c r="F130"/>
  <c r="F122"/>
  <c r="F114"/>
  <c r="F106"/>
  <c r="F65"/>
  <c r="F57"/>
  <c r="Y28" i="16" l="1"/>
  <c r="Z28" s="1"/>
  <c r="AA28"/>
  <c r="Y68"/>
  <c r="Z68" s="1"/>
  <c r="AA68"/>
  <c r="Y67"/>
  <c r="Z67" s="1"/>
  <c r="AA67"/>
  <c r="Y55"/>
  <c r="Z55" s="1"/>
  <c r="AA55"/>
  <c r="AA32"/>
  <c r="Y32"/>
  <c r="Z32" s="1"/>
  <c r="Y56"/>
  <c r="Z56" s="1"/>
  <c r="AA56"/>
  <c r="Y21"/>
  <c r="Z21" s="1"/>
  <c r="U79"/>
  <c r="U80" s="1"/>
  <c r="AY80" s="1"/>
  <c r="BD43" s="1"/>
  <c r="AA21"/>
  <c r="AA45"/>
  <c r="Y45"/>
  <c r="Z45" s="1"/>
  <c r="AA22"/>
  <c r="Y22"/>
  <c r="Z22" s="1"/>
  <c r="AA46"/>
  <c r="Y46"/>
  <c r="Z46" s="1"/>
  <c r="Y29"/>
  <c r="Z29" s="1"/>
  <c r="AA29"/>
  <c r="Y43"/>
  <c r="Z43" s="1"/>
  <c r="AA43"/>
  <c r="Y40"/>
  <c r="Z40" s="1"/>
  <c r="AA40"/>
  <c r="Y41"/>
  <c r="Z41" s="1"/>
  <c r="AA41"/>
  <c r="BT31"/>
  <c r="BU31" s="1"/>
  <c r="BK31"/>
  <c r="AA70"/>
  <c r="Y70"/>
  <c r="Z70" s="1"/>
  <c r="Y69"/>
  <c r="Z69" s="1"/>
  <c r="AA69"/>
  <c r="AA57"/>
  <c r="Y57"/>
  <c r="Z57" s="1"/>
  <c r="Y33"/>
  <c r="Z33" s="1"/>
  <c r="AA33"/>
  <c r="AA58"/>
  <c r="Y58"/>
  <c r="Z58" s="1"/>
  <c r="AA30"/>
  <c r="Y30"/>
  <c r="Z30" s="1"/>
  <c r="Y47"/>
  <c r="Z47" s="1"/>
  <c r="AA47"/>
  <c r="Y31"/>
  <c r="Z31" s="1"/>
  <c r="AA31"/>
  <c r="AA48"/>
  <c r="Y48"/>
  <c r="Z48" s="1"/>
  <c r="AA75"/>
  <c r="Y75"/>
  <c r="Z75" s="1"/>
  <c r="Y72"/>
  <c r="Z72" s="1"/>
  <c r="AA72"/>
  <c r="AA71"/>
  <c r="Y71"/>
  <c r="Z71" s="1"/>
  <c r="Y44"/>
  <c r="Z44" s="1"/>
  <c r="AA44"/>
  <c r="AA34"/>
  <c r="Y34"/>
  <c r="Z34" s="1"/>
  <c r="Y59"/>
  <c r="Z59" s="1"/>
  <c r="AA59"/>
  <c r="Y35"/>
  <c r="Z35" s="1"/>
  <c r="AA35"/>
  <c r="Y60"/>
  <c r="Z60" s="1"/>
  <c r="AA60"/>
  <c r="AA26"/>
  <c r="Y26"/>
  <c r="Z26" s="1"/>
  <c r="AA49"/>
  <c r="Y49"/>
  <c r="Z49" s="1"/>
  <c r="Y50"/>
  <c r="Z50" s="1"/>
  <c r="AA50"/>
  <c r="Y76"/>
  <c r="Z76" s="1"/>
  <c r="AA76"/>
  <c r="Y24"/>
  <c r="Z24" s="1"/>
  <c r="AA24"/>
  <c r="AA73"/>
  <c r="Y73"/>
  <c r="Z73" s="1"/>
  <c r="Y36"/>
  <c r="Z36" s="1"/>
  <c r="AA36"/>
  <c r="Y61"/>
  <c r="Z61" s="1"/>
  <c r="AA61"/>
  <c r="Y37"/>
  <c r="Z37" s="1"/>
  <c r="AA37"/>
  <c r="AA62"/>
  <c r="Y62"/>
  <c r="Z62" s="1"/>
  <c r="AA74"/>
  <c r="Y74"/>
  <c r="Z74" s="1"/>
  <c r="AA23"/>
  <c r="Y23"/>
  <c r="Z23" s="1"/>
  <c r="Y51"/>
  <c r="Z51" s="1"/>
  <c r="AA51"/>
  <c r="AA52"/>
  <c r="Y52"/>
  <c r="Z52" s="1"/>
  <c r="Y77"/>
  <c r="Z77" s="1"/>
  <c r="AA77"/>
  <c r="Y25"/>
  <c r="Z25" s="1"/>
  <c r="AA25"/>
  <c r="AA42"/>
  <c r="Y42"/>
  <c r="Z42" s="1"/>
  <c r="Y27"/>
  <c r="Z27" s="1"/>
  <c r="AA27"/>
  <c r="Y38"/>
  <c r="Z38" s="1"/>
  <c r="AA38"/>
  <c r="Y66"/>
  <c r="Z66" s="1"/>
  <c r="AA66"/>
  <c r="AA39"/>
  <c r="Y39"/>
  <c r="Z39" s="1"/>
  <c r="Y65"/>
  <c r="Z65" s="1"/>
  <c r="AA65"/>
  <c r="Y53"/>
  <c r="Z53" s="1"/>
  <c r="AA53"/>
  <c r="AA54"/>
  <c r="Y54"/>
  <c r="Z54" s="1"/>
  <c r="AY25" l="1"/>
  <c r="AY67"/>
  <c r="AY28"/>
  <c r="AY56"/>
  <c r="AY55"/>
  <c r="AY66"/>
  <c r="AY27"/>
  <c r="AY76"/>
  <c r="AY60"/>
  <c r="AY44"/>
  <c r="AY39"/>
  <c r="AY42"/>
  <c r="AY74"/>
  <c r="AY26"/>
  <c r="AY54"/>
  <c r="AY52"/>
  <c r="AY23"/>
  <c r="AY62"/>
  <c r="AY73"/>
  <c r="AY48"/>
  <c r="AY58"/>
  <c r="AY57"/>
  <c r="AY70"/>
  <c r="AY46"/>
  <c r="AY45"/>
  <c r="AY77"/>
  <c r="AY37"/>
  <c r="AY24"/>
  <c r="AY50"/>
  <c r="AY35"/>
  <c r="AY31"/>
  <c r="AY33"/>
  <c r="AY69"/>
  <c r="AY40"/>
  <c r="AY29"/>
  <c r="AY53"/>
  <c r="AY38"/>
  <c r="AY36"/>
  <c r="AY32"/>
  <c r="AY68"/>
  <c r="AY65"/>
  <c r="AY61"/>
  <c r="AY59"/>
  <c r="AY41"/>
  <c r="Y79"/>
  <c r="AY49"/>
  <c r="CH31"/>
  <c r="CI31" s="1"/>
  <c r="BH44" s="1"/>
  <c r="AY51"/>
  <c r="AY34"/>
  <c r="AY71"/>
  <c r="AY75"/>
  <c r="AY30"/>
  <c r="AY22"/>
  <c r="AA79"/>
  <c r="BD48" s="1"/>
  <c r="AY72"/>
  <c r="AY47"/>
  <c r="AY43"/>
  <c r="AX56" i="21"/>
  <c r="AT56"/>
  <c r="AR52"/>
  <c r="AR50"/>
  <c r="AX28"/>
  <c r="AT2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2"/>
  <c r="BD45" i="16" l="1"/>
  <c r="BD46" s="1"/>
  <c r="BJ75" s="1"/>
  <c r="AY21"/>
  <c r="AY79" s="1"/>
  <c r="Z79"/>
  <c r="BD47" s="1"/>
  <c r="BD49" s="1"/>
  <c r="X5" i="21"/>
  <c r="BD55" i="16" l="1"/>
  <c r="BD51"/>
  <c r="BD52" s="1"/>
  <c r="BD57"/>
  <c r="K2" i="21"/>
  <c r="I3"/>
  <c r="J3"/>
  <c r="K3"/>
  <c r="L3"/>
  <c r="M3"/>
  <c r="I4"/>
  <c r="J4"/>
  <c r="K4"/>
  <c r="L4"/>
  <c r="M4"/>
  <c r="I5"/>
  <c r="J5"/>
  <c r="K5"/>
  <c r="L5"/>
  <c r="M5"/>
  <c r="I6"/>
  <c r="J6"/>
  <c r="K6"/>
  <c r="L6"/>
  <c r="M6"/>
  <c r="I7"/>
  <c r="J7"/>
  <c r="K7"/>
  <c r="L7"/>
  <c r="M7"/>
  <c r="I8"/>
  <c r="J8"/>
  <c r="K8"/>
  <c r="L8"/>
  <c r="M8"/>
  <c r="I9"/>
  <c r="J9"/>
  <c r="K9"/>
  <c r="L9"/>
  <c r="M9"/>
  <c r="I10"/>
  <c r="J10"/>
  <c r="K10"/>
  <c r="L10"/>
  <c r="M10"/>
  <c r="I11"/>
  <c r="J11"/>
  <c r="K11"/>
  <c r="L11"/>
  <c r="M11"/>
  <c r="I12"/>
  <c r="J12"/>
  <c r="K12"/>
  <c r="L12"/>
  <c r="M12"/>
  <c r="I13"/>
  <c r="J13"/>
  <c r="K13"/>
  <c r="L13"/>
  <c r="M13"/>
  <c r="I14"/>
  <c r="J14"/>
  <c r="K14"/>
  <c r="L14"/>
  <c r="M14"/>
  <c r="I15"/>
  <c r="J15"/>
  <c r="K15"/>
  <c r="L15"/>
  <c r="M15"/>
  <c r="I16"/>
  <c r="J16"/>
  <c r="K16"/>
  <c r="L16"/>
  <c r="M16"/>
  <c r="I17"/>
  <c r="J17"/>
  <c r="K17"/>
  <c r="L17"/>
  <c r="M17"/>
  <c r="I18"/>
  <c r="J18"/>
  <c r="K18"/>
  <c r="L18"/>
  <c r="M18"/>
  <c r="I19"/>
  <c r="J19"/>
  <c r="K19"/>
  <c r="L19"/>
  <c r="M19"/>
  <c r="I20"/>
  <c r="J20"/>
  <c r="K20"/>
  <c r="L20"/>
  <c r="M20"/>
  <c r="I21"/>
  <c r="J21"/>
  <c r="K21"/>
  <c r="L21"/>
  <c r="M21"/>
  <c r="I22"/>
  <c r="J22"/>
  <c r="K22"/>
  <c r="L22"/>
  <c r="M22"/>
  <c r="I23"/>
  <c r="J23"/>
  <c r="K23"/>
  <c r="L23"/>
  <c r="M23"/>
  <c r="I24"/>
  <c r="J24"/>
  <c r="K24"/>
  <c r="L24"/>
  <c r="M24"/>
  <c r="I25"/>
  <c r="J25"/>
  <c r="K25"/>
  <c r="L25"/>
  <c r="M25"/>
  <c r="I26"/>
  <c r="J26"/>
  <c r="K26"/>
  <c r="L26"/>
  <c r="M26"/>
  <c r="I27"/>
  <c r="J27"/>
  <c r="K27"/>
  <c r="L27"/>
  <c r="M27"/>
  <c r="I28"/>
  <c r="J28"/>
  <c r="K28"/>
  <c r="L28"/>
  <c r="M28"/>
  <c r="I29"/>
  <c r="J29"/>
  <c r="K29"/>
  <c r="L29"/>
  <c r="M29"/>
  <c r="I30"/>
  <c r="J30"/>
  <c r="K30"/>
  <c r="L30"/>
  <c r="M30"/>
  <c r="I31"/>
  <c r="J31"/>
  <c r="K31"/>
  <c r="L31"/>
  <c r="M31"/>
  <c r="I32"/>
  <c r="J32"/>
  <c r="K32"/>
  <c r="L32"/>
  <c r="M32"/>
  <c r="I33"/>
  <c r="J33"/>
  <c r="K33"/>
  <c r="L33"/>
  <c r="M33"/>
  <c r="I34"/>
  <c r="J34"/>
  <c r="K34"/>
  <c r="L34"/>
  <c r="M34"/>
  <c r="I35"/>
  <c r="J35"/>
  <c r="K35"/>
  <c r="L35"/>
  <c r="M35"/>
  <c r="I36"/>
  <c r="J36"/>
  <c r="K36"/>
  <c r="L36"/>
  <c r="M36"/>
  <c r="I37"/>
  <c r="J37"/>
  <c r="K37"/>
  <c r="L37"/>
  <c r="M37"/>
  <c r="I38"/>
  <c r="J38"/>
  <c r="K38"/>
  <c r="L38"/>
  <c r="M38"/>
  <c r="I39"/>
  <c r="J39"/>
  <c r="K39"/>
  <c r="L39"/>
  <c r="M39"/>
  <c r="I40"/>
  <c r="J40"/>
  <c r="K40"/>
  <c r="L40"/>
  <c r="M40"/>
  <c r="M2"/>
  <c r="L2"/>
  <c r="J2"/>
  <c r="I2"/>
  <c r="X3" l="1"/>
  <c r="X4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2"/>
  <c r="B47" i="23" l="1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3"/>
  <c r="B4"/>
  <c r="B5"/>
  <c r="B6"/>
  <c r="B7"/>
  <c r="B8"/>
  <c r="B9"/>
  <c r="B10"/>
  <c r="B11"/>
  <c r="B12"/>
  <c r="B13"/>
  <c r="B14"/>
  <c r="B15"/>
  <c r="B16"/>
  <c r="C16"/>
  <c r="B17"/>
  <c r="B18"/>
  <c r="B19"/>
  <c r="B20"/>
  <c r="B21"/>
  <c r="B22"/>
  <c r="B23"/>
  <c r="B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2"/>
  <c r="C22" l="1"/>
  <c r="C21"/>
  <c r="C20"/>
  <c r="C24"/>
  <c r="C11"/>
  <c r="C18"/>
  <c r="C19"/>
  <c r="C17"/>
  <c r="C15"/>
  <c r="C8"/>
  <c r="C6"/>
  <c r="C14"/>
  <c r="C13"/>
  <c r="C7"/>
  <c r="C10"/>
  <c r="C12"/>
  <c r="C9"/>
  <c r="C4"/>
  <c r="C5"/>
  <c r="AR96" i="22"/>
  <c r="AR89"/>
  <c r="AR88"/>
  <c r="AR87"/>
  <c r="AR86"/>
  <c r="AR85"/>
  <c r="AR84"/>
  <c r="AR83"/>
  <c r="AR82"/>
  <c r="AR81"/>
  <c r="AR80"/>
  <c r="AR79"/>
  <c r="AR78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R4"/>
  <c r="AS249" l="1"/>
  <c r="AS13"/>
  <c r="AS101"/>
  <c r="AS163"/>
  <c r="AS26"/>
  <c r="AS87"/>
  <c r="AS161"/>
  <c r="AS223"/>
  <c r="AS8"/>
  <c r="AS20"/>
  <c r="AS53"/>
  <c r="AS85"/>
  <c r="AS115"/>
  <c r="AS149"/>
  <c r="AS181"/>
  <c r="AS211"/>
  <c r="AS22"/>
  <c r="AS35"/>
  <c r="AS133"/>
  <c r="AS9"/>
  <c r="AS63"/>
  <c r="AS123"/>
  <c r="AS191"/>
  <c r="AS4"/>
  <c r="AS19"/>
  <c r="AS39"/>
  <c r="AS73"/>
  <c r="AS111"/>
  <c r="AS135"/>
  <c r="AS171"/>
  <c r="AS209"/>
  <c r="AS261"/>
  <c r="AS6"/>
  <c r="AS65"/>
  <c r="AS199"/>
  <c r="AS15"/>
  <c r="AS27"/>
  <c r="AS55"/>
  <c r="AS77"/>
  <c r="AS103"/>
  <c r="AS125"/>
  <c r="AS153"/>
  <c r="AS173"/>
  <c r="AS201"/>
  <c r="AS239"/>
  <c r="AS271"/>
  <c r="AS7"/>
  <c r="AS12"/>
  <c r="AS17"/>
  <c r="AS24"/>
  <c r="AS33"/>
  <c r="AS43"/>
  <c r="AS61"/>
  <c r="AS71"/>
  <c r="AS81"/>
  <c r="AS99"/>
  <c r="AS109"/>
  <c r="AS119"/>
  <c r="AS131"/>
  <c r="AS147"/>
  <c r="AS157"/>
  <c r="AS169"/>
  <c r="AS179"/>
  <c r="AS195"/>
  <c r="AS207"/>
  <c r="AS217"/>
  <c r="AS227"/>
  <c r="AS245"/>
  <c r="AS255"/>
  <c r="AS265"/>
  <c r="AS102"/>
  <c r="AS11"/>
  <c r="AS16"/>
  <c r="AS21"/>
  <c r="AS31"/>
  <c r="AS41"/>
  <c r="AS57"/>
  <c r="AS69"/>
  <c r="AS79"/>
  <c r="AS89"/>
  <c r="AS107"/>
  <c r="AS117"/>
  <c r="AS127"/>
  <c r="AS145"/>
  <c r="AS155"/>
  <c r="AS165"/>
  <c r="AS177"/>
  <c r="AS193"/>
  <c r="AS203"/>
  <c r="AS215"/>
  <c r="AS225"/>
  <c r="AS241"/>
  <c r="AS253"/>
  <c r="AS263"/>
  <c r="AS273"/>
  <c r="AS23"/>
  <c r="AS219"/>
  <c r="AS237"/>
  <c r="AS247"/>
  <c r="AS257"/>
  <c r="AS269"/>
  <c r="AS10"/>
  <c r="AS14"/>
  <c r="AS18"/>
  <c r="AS29"/>
  <c r="AS37"/>
  <c r="AS51"/>
  <c r="AS59"/>
  <c r="AS67"/>
  <c r="AS75"/>
  <c r="AS83"/>
  <c r="AS97"/>
  <c r="AS105"/>
  <c r="AS113"/>
  <c r="AS121"/>
  <c r="AS129"/>
  <c r="AS143"/>
  <c r="AS151"/>
  <c r="AS159"/>
  <c r="AS167"/>
  <c r="AS175"/>
  <c r="AS189"/>
  <c r="AS197"/>
  <c r="AS205"/>
  <c r="AS213"/>
  <c r="AS221"/>
  <c r="AS235"/>
  <c r="AS243"/>
  <c r="AS251"/>
  <c r="AS259"/>
  <c r="AS267"/>
  <c r="AS25"/>
  <c r="AS5"/>
  <c r="AS28"/>
  <c r="AS30"/>
  <c r="AS32"/>
  <c r="AS34"/>
  <c r="AS36"/>
  <c r="AS38"/>
  <c r="AS40"/>
  <c r="AS42"/>
  <c r="AS50"/>
  <c r="AS52"/>
  <c r="AS54"/>
  <c r="AS56"/>
  <c r="AS58"/>
  <c r="AS60"/>
  <c r="AS62"/>
  <c r="AS64"/>
  <c r="AS66"/>
  <c r="AS68"/>
  <c r="AS70"/>
  <c r="AS72"/>
  <c r="AS74"/>
  <c r="AS76"/>
  <c r="AS78"/>
  <c r="AS80"/>
  <c r="AS82"/>
  <c r="AS84"/>
  <c r="AS86"/>
  <c r="AS88"/>
  <c r="AS96"/>
  <c r="AS98"/>
  <c r="AS100"/>
  <c r="AS104"/>
  <c r="AS106"/>
  <c r="AS108"/>
  <c r="AS110"/>
  <c r="AS112"/>
  <c r="AS114"/>
  <c r="AS116"/>
  <c r="AS118"/>
  <c r="AS120"/>
  <c r="AS122"/>
  <c r="AS124"/>
  <c r="AS126"/>
  <c r="AS128"/>
  <c r="AS130"/>
  <c r="AS132"/>
  <c r="AS134"/>
  <c r="AS142"/>
  <c r="AS144"/>
  <c r="AS146"/>
  <c r="AS148"/>
  <c r="AS150"/>
  <c r="AS152"/>
  <c r="AS154"/>
  <c r="AS156"/>
  <c r="AS158"/>
  <c r="AS160"/>
  <c r="AS162"/>
  <c r="AS164"/>
  <c r="AS166"/>
  <c r="AS168"/>
  <c r="AS170"/>
  <c r="AS172"/>
  <c r="AS174"/>
  <c r="AS176"/>
  <c r="AS178"/>
  <c r="AS180"/>
  <c r="AS188"/>
  <c r="AS190"/>
  <c r="AS192"/>
  <c r="AS194"/>
  <c r="AS196"/>
  <c r="AS198"/>
  <c r="AS200"/>
  <c r="AS202"/>
  <c r="AS204"/>
  <c r="AS206"/>
  <c r="AS208"/>
  <c r="AS210"/>
  <c r="AS212"/>
  <c r="AS214"/>
  <c r="AS216"/>
  <c r="AS218"/>
  <c r="AS220"/>
  <c r="AS222"/>
  <c r="AS224"/>
  <c r="AS226"/>
  <c r="AS234"/>
  <c r="AS236"/>
  <c r="AS238"/>
  <c r="AS240"/>
  <c r="AS242"/>
  <c r="AS244"/>
  <c r="AS246"/>
  <c r="AS248"/>
  <c r="AS250"/>
  <c r="AS252"/>
  <c r="AS254"/>
  <c r="AS256"/>
  <c r="AS258"/>
  <c r="AS260"/>
  <c r="AS262"/>
  <c r="AS264"/>
  <c r="AS266"/>
  <c r="AS268"/>
  <c r="AS270"/>
  <c r="AS272"/>
  <c r="AN231" l="1"/>
  <c r="AI231"/>
  <c r="AF231"/>
  <c r="AN185"/>
  <c r="AI185"/>
  <c r="AF185"/>
  <c r="AN139"/>
  <c r="AI139"/>
  <c r="AN93"/>
  <c r="AI93"/>
  <c r="AN47"/>
  <c r="AI47"/>
  <c r="G4" l="1"/>
  <c r="A235" l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189" l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143" l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97" l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51" l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C4"/>
  <c r="E4" l="1"/>
  <c r="G4" i="20"/>
  <c r="K44" i="22" l="1"/>
  <c r="K90" s="1"/>
  <c r="K136" s="1"/>
  <c r="K182" s="1"/>
  <c r="K228" s="1"/>
  <c r="K274" s="1"/>
  <c r="E44"/>
  <c r="Z4"/>
  <c r="O44" l="1"/>
  <c r="E90"/>
  <c r="N4"/>
  <c r="M4" i="20"/>
  <c r="AK4"/>
  <c r="AD4"/>
  <c r="AA4"/>
  <c r="X4"/>
  <c r="U4"/>
  <c r="R4"/>
  <c r="O4"/>
  <c r="E4"/>
  <c r="I4"/>
  <c r="D4"/>
  <c r="C4"/>
  <c r="O90" i="22" l="1"/>
  <c r="E136"/>
  <c r="Z44"/>
  <c r="AF44"/>
  <c r="AL44"/>
  <c r="T182"/>
  <c r="Z90"/>
  <c r="T136"/>
  <c r="AF228"/>
  <c r="T90"/>
  <c r="Z274"/>
  <c r="AL182"/>
  <c r="AF182"/>
  <c r="Z136"/>
  <c r="AL274"/>
  <c r="Z228"/>
  <c r="T274"/>
  <c r="T228"/>
  <c r="AL136"/>
  <c r="AF136"/>
  <c r="AF90"/>
  <c r="AL90"/>
  <c r="AF274"/>
  <c r="AL228"/>
  <c r="Z182"/>
  <c r="T44"/>
  <c r="AP182" l="1"/>
  <c r="AP90"/>
  <c r="AP274"/>
  <c r="E182"/>
  <c r="O136"/>
  <c r="AP228"/>
  <c r="AP136"/>
  <c r="AP4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N1"/>
  <c r="AI1"/>
  <c r="E228" l="1"/>
  <c r="O182"/>
  <c r="A39"/>
  <c r="A40" s="1"/>
  <c r="A41" s="1"/>
  <c r="A42" s="1"/>
  <c r="A43" s="1"/>
  <c r="E274" l="1"/>
  <c r="O274" s="1"/>
  <c r="O228"/>
  <c r="M130" i="2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AT1" i="22" l="1"/>
  <c r="B3" i="21"/>
  <c r="C3"/>
  <c r="D3"/>
  <c r="E3"/>
  <c r="G3"/>
  <c r="N3"/>
  <c r="O3"/>
  <c r="P3"/>
  <c r="Q3"/>
  <c r="R3"/>
  <c r="B4"/>
  <c r="C4"/>
  <c r="D4"/>
  <c r="E4"/>
  <c r="G4"/>
  <c r="N4"/>
  <c r="O4"/>
  <c r="P4"/>
  <c r="Q4"/>
  <c r="R4"/>
  <c r="B5"/>
  <c r="C5"/>
  <c r="D5"/>
  <c r="E5"/>
  <c r="G5"/>
  <c r="N5"/>
  <c r="O5"/>
  <c r="P5"/>
  <c r="Q5"/>
  <c r="R5"/>
  <c r="B6"/>
  <c r="C6"/>
  <c r="D6"/>
  <c r="E6"/>
  <c r="G6"/>
  <c r="N6"/>
  <c r="O6"/>
  <c r="P6"/>
  <c r="Q6"/>
  <c r="R6"/>
  <c r="B7"/>
  <c r="C7"/>
  <c r="D7"/>
  <c r="E7"/>
  <c r="G7"/>
  <c r="N7"/>
  <c r="O7"/>
  <c r="P7"/>
  <c r="Q7"/>
  <c r="R7"/>
  <c r="B8"/>
  <c r="C8"/>
  <c r="D8"/>
  <c r="E8"/>
  <c r="G8"/>
  <c r="N8"/>
  <c r="O8"/>
  <c r="P8"/>
  <c r="Q8"/>
  <c r="R8"/>
  <c r="B9"/>
  <c r="C9"/>
  <c r="D9"/>
  <c r="E9"/>
  <c r="G9"/>
  <c r="N9"/>
  <c r="O9"/>
  <c r="P9"/>
  <c r="Q9"/>
  <c r="R9"/>
  <c r="B10"/>
  <c r="C10"/>
  <c r="D10"/>
  <c r="E10"/>
  <c r="G10"/>
  <c r="N10"/>
  <c r="O10"/>
  <c r="P10"/>
  <c r="Q10"/>
  <c r="R10"/>
  <c r="B11"/>
  <c r="C11"/>
  <c r="D11"/>
  <c r="E11"/>
  <c r="G11"/>
  <c r="N11"/>
  <c r="O11"/>
  <c r="P11"/>
  <c r="Q11"/>
  <c r="R11"/>
  <c r="B12"/>
  <c r="C12"/>
  <c r="D12"/>
  <c r="E12"/>
  <c r="G12"/>
  <c r="N12"/>
  <c r="O12"/>
  <c r="P12"/>
  <c r="Q12"/>
  <c r="R12"/>
  <c r="B13"/>
  <c r="C13"/>
  <c r="D13"/>
  <c r="E13"/>
  <c r="G13"/>
  <c r="N13"/>
  <c r="O13"/>
  <c r="P13"/>
  <c r="Q13"/>
  <c r="R13"/>
  <c r="B14"/>
  <c r="C14"/>
  <c r="D14"/>
  <c r="E14"/>
  <c r="G14"/>
  <c r="N14"/>
  <c r="O14"/>
  <c r="P14"/>
  <c r="Q14"/>
  <c r="R14"/>
  <c r="B15"/>
  <c r="C15"/>
  <c r="D15"/>
  <c r="E15"/>
  <c r="G15"/>
  <c r="N15"/>
  <c r="O15"/>
  <c r="P15"/>
  <c r="Q15"/>
  <c r="R15"/>
  <c r="B16"/>
  <c r="C16"/>
  <c r="D16"/>
  <c r="E16"/>
  <c r="G16"/>
  <c r="N16"/>
  <c r="O16"/>
  <c r="P16"/>
  <c r="Q16"/>
  <c r="R16"/>
  <c r="B17"/>
  <c r="C17"/>
  <c r="D17"/>
  <c r="E17"/>
  <c r="G17"/>
  <c r="N17"/>
  <c r="O17"/>
  <c r="P17"/>
  <c r="Q17"/>
  <c r="R17"/>
  <c r="B18"/>
  <c r="C18"/>
  <c r="D18"/>
  <c r="E18"/>
  <c r="G18"/>
  <c r="N18"/>
  <c r="O18"/>
  <c r="P18"/>
  <c r="Q18"/>
  <c r="R18"/>
  <c r="B19"/>
  <c r="C19"/>
  <c r="D19"/>
  <c r="E19"/>
  <c r="G19"/>
  <c r="N19"/>
  <c r="O19"/>
  <c r="P19"/>
  <c r="Q19"/>
  <c r="R19"/>
  <c r="B20"/>
  <c r="C20"/>
  <c r="D20"/>
  <c r="E20"/>
  <c r="G20"/>
  <c r="N20"/>
  <c r="O20"/>
  <c r="P20"/>
  <c r="Q20"/>
  <c r="R20"/>
  <c r="B21"/>
  <c r="C21"/>
  <c r="D21"/>
  <c r="E21"/>
  <c r="G21"/>
  <c r="N21"/>
  <c r="O21"/>
  <c r="P21"/>
  <c r="Q21"/>
  <c r="R21"/>
  <c r="B22"/>
  <c r="C22"/>
  <c r="D22"/>
  <c r="E22"/>
  <c r="G22"/>
  <c r="N22"/>
  <c r="O22"/>
  <c r="P22"/>
  <c r="Q22"/>
  <c r="R22"/>
  <c r="B23"/>
  <c r="C23"/>
  <c r="D23"/>
  <c r="E23"/>
  <c r="G23"/>
  <c r="N23"/>
  <c r="O23"/>
  <c r="P23"/>
  <c r="Q23"/>
  <c r="R23"/>
  <c r="B24"/>
  <c r="C24"/>
  <c r="D24"/>
  <c r="E24"/>
  <c r="G24"/>
  <c r="N24"/>
  <c r="O24"/>
  <c r="P24"/>
  <c r="Q24"/>
  <c r="R24"/>
  <c r="B25"/>
  <c r="C25"/>
  <c r="D25"/>
  <c r="E25"/>
  <c r="G25"/>
  <c r="N25"/>
  <c r="O25"/>
  <c r="P25"/>
  <c r="Q25"/>
  <c r="R25"/>
  <c r="B26"/>
  <c r="C26"/>
  <c r="D26"/>
  <c r="E26"/>
  <c r="G26"/>
  <c r="N26"/>
  <c r="O26"/>
  <c r="P26"/>
  <c r="Q26"/>
  <c r="R26"/>
  <c r="B27"/>
  <c r="C27"/>
  <c r="D27"/>
  <c r="E27"/>
  <c r="G27"/>
  <c r="N27"/>
  <c r="O27"/>
  <c r="P27"/>
  <c r="Q27"/>
  <c r="R27"/>
  <c r="B28"/>
  <c r="C28"/>
  <c r="D28"/>
  <c r="E28"/>
  <c r="G28"/>
  <c r="N28"/>
  <c r="O28"/>
  <c r="P28"/>
  <c r="Q28"/>
  <c r="R28"/>
  <c r="B29"/>
  <c r="C29"/>
  <c r="D29"/>
  <c r="E29"/>
  <c r="G29"/>
  <c r="N29"/>
  <c r="O29"/>
  <c r="P29"/>
  <c r="Q29"/>
  <c r="R29"/>
  <c r="B30"/>
  <c r="C30"/>
  <c r="D30"/>
  <c r="E30"/>
  <c r="G30"/>
  <c r="N30"/>
  <c r="O30"/>
  <c r="P30"/>
  <c r="Q30"/>
  <c r="R30"/>
  <c r="B31"/>
  <c r="C31"/>
  <c r="D31"/>
  <c r="E31"/>
  <c r="G31"/>
  <c r="N31"/>
  <c r="O31"/>
  <c r="P31"/>
  <c r="Q31"/>
  <c r="R31"/>
  <c r="B32"/>
  <c r="C32"/>
  <c r="D32"/>
  <c r="E32"/>
  <c r="G32"/>
  <c r="N32"/>
  <c r="O32"/>
  <c r="P32"/>
  <c r="Q32"/>
  <c r="R32"/>
  <c r="B33"/>
  <c r="C33"/>
  <c r="D33"/>
  <c r="E33"/>
  <c r="G33"/>
  <c r="N33"/>
  <c r="O33"/>
  <c r="P33"/>
  <c r="Q33"/>
  <c r="R33"/>
  <c r="B34"/>
  <c r="C34"/>
  <c r="D34"/>
  <c r="E34"/>
  <c r="G34"/>
  <c r="N34"/>
  <c r="O34"/>
  <c r="P34"/>
  <c r="Q34"/>
  <c r="R34"/>
  <c r="B35"/>
  <c r="C35"/>
  <c r="D35"/>
  <c r="E35"/>
  <c r="G35"/>
  <c r="N35"/>
  <c r="O35"/>
  <c r="P35"/>
  <c r="Q35"/>
  <c r="R35"/>
  <c r="B36"/>
  <c r="C36"/>
  <c r="D36"/>
  <c r="E36"/>
  <c r="G36"/>
  <c r="N36"/>
  <c r="O36"/>
  <c r="P36"/>
  <c r="Q36"/>
  <c r="R36"/>
  <c r="B37"/>
  <c r="C37"/>
  <c r="D37"/>
  <c r="E37"/>
  <c r="G37"/>
  <c r="N37"/>
  <c r="O37"/>
  <c r="P37"/>
  <c r="Q37"/>
  <c r="R37"/>
  <c r="B38"/>
  <c r="C38"/>
  <c r="D38"/>
  <c r="E38"/>
  <c r="G38"/>
  <c r="N38"/>
  <c r="O38"/>
  <c r="P38"/>
  <c r="Q38"/>
  <c r="R38"/>
  <c r="B39"/>
  <c r="C39"/>
  <c r="D39"/>
  <c r="E39"/>
  <c r="G39"/>
  <c r="N39"/>
  <c r="O39"/>
  <c r="P39"/>
  <c r="Q39"/>
  <c r="R39"/>
  <c r="B40"/>
  <c r="C40"/>
  <c r="D40"/>
  <c r="E40"/>
  <c r="G40"/>
  <c r="N40"/>
  <c r="O40"/>
  <c r="P40"/>
  <c r="Q40"/>
  <c r="R40"/>
  <c r="N2"/>
  <c r="O2"/>
  <c r="P2"/>
  <c r="Q2"/>
  <c r="R2"/>
  <c r="G2"/>
  <c r="B2"/>
  <c r="E2"/>
  <c r="C2"/>
  <c r="AM2" l="1"/>
  <c r="AL3"/>
  <c r="AV11" s="1"/>
  <c r="AK4"/>
  <c r="AJ5"/>
  <c r="AZ11" s="1"/>
  <c r="AN5"/>
  <c r="BD11" s="1"/>
  <c r="AL19"/>
  <c r="AK20"/>
  <c r="AJ21"/>
  <c r="AN21"/>
  <c r="AM22"/>
  <c r="AL32"/>
  <c r="AK33"/>
  <c r="AU52" s="1"/>
  <c r="AJ34"/>
  <c r="AN34"/>
  <c r="AM35"/>
  <c r="AJ20"/>
  <c r="AM21"/>
  <c r="AK32"/>
  <c r="AN33"/>
  <c r="AM34"/>
  <c r="AL34"/>
  <c r="AL20"/>
  <c r="AN22"/>
  <c r="AK34"/>
  <c r="AL2"/>
  <c r="AK3"/>
  <c r="AU11" s="1"/>
  <c r="AJ4"/>
  <c r="AN4"/>
  <c r="AM5"/>
  <c r="BC11" s="1"/>
  <c r="AK19"/>
  <c r="AN20"/>
  <c r="AL22"/>
  <c r="AJ33"/>
  <c r="AL35"/>
  <c r="BB52" s="1"/>
  <c r="AM19"/>
  <c r="AK21"/>
  <c r="AM32"/>
  <c r="AJ35"/>
  <c r="AK2"/>
  <c r="AJ3"/>
  <c r="AN3"/>
  <c r="AX11" s="1"/>
  <c r="AM4"/>
  <c r="AL5"/>
  <c r="BB11" s="1"/>
  <c r="AJ19"/>
  <c r="AN19"/>
  <c r="AM20"/>
  <c r="AL21"/>
  <c r="AK22"/>
  <c r="AJ32"/>
  <c r="AN32"/>
  <c r="AM33"/>
  <c r="AK35"/>
  <c r="BA52" s="1"/>
  <c r="AJ22"/>
  <c r="AL33"/>
  <c r="AN35"/>
  <c r="AJ2"/>
  <c r="AN2"/>
  <c r="AM3"/>
  <c r="AL4"/>
  <c r="AK5"/>
  <c r="BA11" s="1"/>
  <c r="AJ8"/>
  <c r="AI8" s="1"/>
  <c r="AU98"/>
  <c r="AU101"/>
  <c r="AU99"/>
  <c r="AU100"/>
  <c r="AM101"/>
  <c r="AN101"/>
  <c r="AO101"/>
  <c r="AR98"/>
  <c r="AK101"/>
  <c r="AL101"/>
  <c r="AM100"/>
  <c r="AL100"/>
  <c r="AK99"/>
  <c r="AK100"/>
  <c r="AL99"/>
  <c r="AK98"/>
  <c r="AM99"/>
  <c r="AL98"/>
  <c r="AN99"/>
  <c r="AM98"/>
  <c r="AO99"/>
  <c r="AN98"/>
  <c r="AO100"/>
  <c r="AO98"/>
  <c r="AN100"/>
  <c r="D6" i="24"/>
  <c r="D5"/>
  <c r="C5" s="1"/>
  <c r="BA101" i="21"/>
  <c r="BB101"/>
  <c r="AZ101"/>
  <c r="BC101"/>
  <c r="AG101"/>
  <c r="AH101"/>
  <c r="AD101"/>
  <c r="AF101"/>
  <c r="AE101"/>
  <c r="AZ99"/>
  <c r="AR100" s="1"/>
  <c r="BC100"/>
  <c r="BB98"/>
  <c r="BB100"/>
  <c r="AZ98"/>
  <c r="BA100"/>
  <c r="AZ100"/>
  <c r="AR101" s="1"/>
  <c r="BC98"/>
  <c r="BA99"/>
  <c r="BC99"/>
  <c r="BA98"/>
  <c r="BB99"/>
  <c r="AC65"/>
  <c r="AH100"/>
  <c r="AG100"/>
  <c r="AF100"/>
  <c r="AD99"/>
  <c r="AE100"/>
  <c r="AD100"/>
  <c r="AH99"/>
  <c r="AG99"/>
  <c r="AF99"/>
  <c r="AE99"/>
  <c r="AD98"/>
  <c r="AH98"/>
  <c r="AG98"/>
  <c r="AF98"/>
  <c r="AE98"/>
  <c r="D9" i="24"/>
  <c r="C9" s="1"/>
  <c r="D8"/>
  <c r="C8" s="1"/>
  <c r="D14"/>
  <c r="C14" s="1"/>
  <c r="D13"/>
  <c r="C13" s="1"/>
  <c r="D10"/>
  <c r="C10" s="1"/>
  <c r="D12"/>
  <c r="C12" s="1"/>
  <c r="D15"/>
  <c r="C15" s="1"/>
  <c r="D11"/>
  <c r="C11" s="1"/>
  <c r="AJ72" i="21"/>
  <c r="AI72"/>
  <c r="AK72"/>
  <c r="AL72"/>
  <c r="AJ71"/>
  <c r="AI75"/>
  <c r="AL75"/>
  <c r="AJ74"/>
  <c r="AK71"/>
  <c r="AI74"/>
  <c r="AJ76"/>
  <c r="AK74"/>
  <c r="AL71"/>
  <c r="AJ70"/>
  <c r="AK76"/>
  <c r="AL74"/>
  <c r="AI71"/>
  <c r="AK70"/>
  <c r="AL76"/>
  <c r="AK75"/>
  <c r="AJ75"/>
  <c r="AI70"/>
  <c r="AL70"/>
  <c r="AI76"/>
  <c r="AO66"/>
  <c r="AB65"/>
  <c r="AN67"/>
  <c r="AM67"/>
  <c r="AM66"/>
  <c r="AO67"/>
  <c r="AM65"/>
  <c r="AO65"/>
  <c r="AN66"/>
  <c r="AN65"/>
  <c r="AH65"/>
  <c r="AH66"/>
  <c r="AH67"/>
  <c r="AJ66"/>
  <c r="AK67"/>
  <c r="AI66"/>
  <c r="AL65"/>
  <c r="AJ67"/>
  <c r="AI65"/>
  <c r="AK65"/>
  <c r="AL66"/>
  <c r="AI67"/>
  <c r="AJ65"/>
  <c r="AK66"/>
  <c r="AL67"/>
  <c r="AC67"/>
  <c r="AB67"/>
  <c r="D17" i="24"/>
  <c r="C17" s="1"/>
  <c r="D21"/>
  <c r="C21" s="1"/>
  <c r="D16"/>
  <c r="C16" s="1"/>
  <c r="D20"/>
  <c r="C20" s="1"/>
  <c r="D7"/>
  <c r="D19"/>
  <c r="C19" s="1"/>
  <c r="D4"/>
  <c r="D18"/>
  <c r="C18" s="1"/>
  <c r="D22"/>
  <c r="C22" s="1"/>
  <c r="AW52" i="21"/>
  <c r="AX52"/>
  <c r="BC52"/>
  <c r="BD52"/>
  <c r="AZ52"/>
  <c r="AV52"/>
  <c r="AW11"/>
  <c r="AL102" l="1"/>
  <c r="AO32"/>
  <c r="AP32"/>
  <c r="AP33"/>
  <c r="AV53" s="1"/>
  <c r="AO33"/>
  <c r="AS53" s="1"/>
  <c r="BC102"/>
  <c r="AO3"/>
  <c r="AS12" s="1"/>
  <c r="AP2"/>
  <c r="AO2"/>
  <c r="AO19"/>
  <c r="AP19"/>
  <c r="AP20"/>
  <c r="AO20"/>
  <c r="AP3"/>
  <c r="AV12" s="1"/>
  <c r="AU102"/>
  <c r="AD102"/>
  <c r="AF102"/>
  <c r="BA102"/>
  <c r="BB102"/>
  <c r="AM102"/>
  <c r="AH102"/>
  <c r="AG102"/>
  <c r="AN102"/>
  <c r="AE102"/>
  <c r="AO102"/>
  <c r="AK102"/>
  <c r="AR99"/>
  <c r="AR102" s="1"/>
  <c r="AZ102"/>
  <c r="Y120"/>
  <c r="AX101"/>
  <c r="AJ101"/>
  <c r="AQ101"/>
  <c r="AW101"/>
  <c r="Y122" s="1"/>
  <c r="AW99"/>
  <c r="AW100"/>
  <c r="AW98"/>
  <c r="AX100"/>
  <c r="Y112"/>
  <c r="C7" i="24"/>
  <c r="C6"/>
  <c r="AJ100" i="21"/>
  <c r="AQ100"/>
  <c r="AJ99"/>
  <c r="AX99"/>
  <c r="C4" i="24"/>
  <c r="AF66" i="21"/>
  <c r="AP66" s="1"/>
  <c r="AF67"/>
  <c r="AF65"/>
  <c r="AO68"/>
  <c r="AJ68"/>
  <c r="AK73"/>
  <c r="AJ73"/>
  <c r="AL73"/>
  <c r="AC68"/>
  <c r="AB68"/>
  <c r="AI77"/>
  <c r="AL77"/>
  <c r="AK77"/>
  <c r="AJ77"/>
  <c r="AN68"/>
  <c r="AM68"/>
  <c r="AI73"/>
  <c r="AH68"/>
  <c r="AI68"/>
  <c r="AK68"/>
  <c r="AL68"/>
  <c r="AP67"/>
  <c r="AG67"/>
  <c r="AG65"/>
  <c r="AG66"/>
  <c r="D23" i="24"/>
  <c r="BB26" i="21"/>
  <c r="BB24"/>
  <c r="BA54"/>
  <c r="BA50"/>
  <c r="BD50"/>
  <c r="BD54"/>
  <c r="BD13"/>
  <c r="BD9"/>
  <c r="AZ26"/>
  <c r="AZ24"/>
  <c r="AX50"/>
  <c r="AX54"/>
  <c r="AZ50"/>
  <c r="AZ54"/>
  <c r="AX26"/>
  <c r="AX24"/>
  <c r="AU50"/>
  <c r="AU54"/>
  <c r="BB13"/>
  <c r="BB9"/>
  <c r="AZ13"/>
  <c r="AZ9"/>
  <c r="AT50"/>
  <c r="BC50"/>
  <c r="BC54"/>
  <c r="AT13"/>
  <c r="AT11"/>
  <c r="AT24"/>
  <c r="BC24"/>
  <c r="BC26"/>
  <c r="BB50"/>
  <c r="BB54"/>
  <c r="BA26"/>
  <c r="BA24"/>
  <c r="AW26"/>
  <c r="AW24"/>
  <c r="AV54"/>
  <c r="AV50"/>
  <c r="AU26"/>
  <c r="AU24"/>
  <c r="AX13"/>
  <c r="AX9"/>
  <c r="AV26"/>
  <c r="AV24"/>
  <c r="AW13"/>
  <c r="AW9"/>
  <c r="AT15"/>
  <c r="AX15"/>
  <c r="BA13"/>
  <c r="BA9"/>
  <c r="AU13"/>
  <c r="AU9"/>
  <c r="BD26"/>
  <c r="BD24"/>
  <c r="AT52"/>
  <c r="AT54"/>
  <c r="AV13"/>
  <c r="AV9"/>
  <c r="AT9"/>
  <c r="BC13"/>
  <c r="BC9"/>
  <c r="AT26"/>
  <c r="AW50"/>
  <c r="AW54"/>
  <c r="Y124" l="1"/>
  <c r="AW102"/>
  <c r="Y83"/>
  <c r="Y126"/>
  <c r="Y121"/>
  <c r="Y114"/>
  <c r="Y103"/>
  <c r="C23" i="24"/>
  <c r="Y113" i="21"/>
  <c r="Z85"/>
  <c r="Z86"/>
  <c r="AA86" s="1"/>
  <c r="AG68"/>
  <c r="AF68"/>
  <c r="AP65"/>
  <c r="AP68" s="1"/>
  <c r="AO69" s="1"/>
  <c r="AV25"/>
  <c r="AV27"/>
  <c r="AV55"/>
  <c r="AV51"/>
  <c r="AS25"/>
  <c r="AS27"/>
  <c r="AV10"/>
  <c r="AV14"/>
  <c r="AS10"/>
  <c r="AS14"/>
  <c r="AS51"/>
  <c r="AS55"/>
  <c r="U1"/>
  <c r="AN1" i="20"/>
  <c r="AN47" s="1"/>
  <c r="AN93" s="1"/>
  <c r="AN139" s="1"/>
  <c r="AN185" s="1"/>
  <c r="AN231" s="1"/>
  <c r="AN277" s="1"/>
  <c r="AI1"/>
  <c r="AI47" s="1"/>
  <c r="AI93" s="1"/>
  <c r="AI139" s="1"/>
  <c r="AI185" s="1"/>
  <c r="AI231" s="1"/>
  <c r="AI277" s="1"/>
  <c r="AF1"/>
  <c r="AF47" s="1"/>
  <c r="AF93" s="1"/>
  <c r="AF139" s="1"/>
  <c r="AF185" s="1"/>
  <c r="AF231" s="1"/>
  <c r="AF277" s="1"/>
  <c r="AK314"/>
  <c r="AG314"/>
  <c r="L314" s="1"/>
  <c r="AD314"/>
  <c r="AA314"/>
  <c r="X314"/>
  <c r="U314"/>
  <c r="R314"/>
  <c r="O314"/>
  <c r="N314"/>
  <c r="M314"/>
  <c r="I314"/>
  <c r="G314"/>
  <c r="E314"/>
  <c r="D314"/>
  <c r="C314"/>
  <c r="AK313"/>
  <c r="AG313"/>
  <c r="L313" s="1"/>
  <c r="AD313"/>
  <c r="AA313"/>
  <c r="X313"/>
  <c r="U313"/>
  <c r="R313"/>
  <c r="O313"/>
  <c r="N313"/>
  <c r="M313"/>
  <c r="I313"/>
  <c r="G313"/>
  <c r="E313"/>
  <c r="D313"/>
  <c r="C313"/>
  <c r="AK312"/>
  <c r="AG312"/>
  <c r="L312" s="1"/>
  <c r="AD312"/>
  <c r="AA312"/>
  <c r="X312"/>
  <c r="U312"/>
  <c r="R312"/>
  <c r="O312"/>
  <c r="N312"/>
  <c r="M312"/>
  <c r="I312"/>
  <c r="G312"/>
  <c r="E312"/>
  <c r="D312"/>
  <c r="C312"/>
  <c r="AK311"/>
  <c r="AG311"/>
  <c r="L311" s="1"/>
  <c r="AD311"/>
  <c r="AA311"/>
  <c r="X311"/>
  <c r="U311"/>
  <c r="R311"/>
  <c r="O311"/>
  <c r="N311"/>
  <c r="M311"/>
  <c r="I311"/>
  <c r="G311"/>
  <c r="E311"/>
  <c r="D311"/>
  <c r="C311"/>
  <c r="AK310"/>
  <c r="AG310"/>
  <c r="L310" s="1"/>
  <c r="AD310"/>
  <c r="AA310"/>
  <c r="X310"/>
  <c r="U310"/>
  <c r="R310"/>
  <c r="O310"/>
  <c r="N310"/>
  <c r="M310"/>
  <c r="I310"/>
  <c r="G310"/>
  <c r="E310"/>
  <c r="D310"/>
  <c r="C310"/>
  <c r="AK309"/>
  <c r="AG309"/>
  <c r="L309" s="1"/>
  <c r="AD309"/>
  <c r="AA309"/>
  <c r="X309"/>
  <c r="U309"/>
  <c r="R309"/>
  <c r="O309"/>
  <c r="N309"/>
  <c r="M309"/>
  <c r="I309"/>
  <c r="G309"/>
  <c r="E309"/>
  <c r="D309"/>
  <c r="C309"/>
  <c r="AK308"/>
  <c r="AG308"/>
  <c r="L308" s="1"/>
  <c r="AD308"/>
  <c r="AA308"/>
  <c r="X308"/>
  <c r="U308"/>
  <c r="R308"/>
  <c r="O308"/>
  <c r="N308"/>
  <c r="M308"/>
  <c r="I308"/>
  <c r="G308"/>
  <c r="E308"/>
  <c r="D308"/>
  <c r="C308"/>
  <c r="AK307"/>
  <c r="AG307"/>
  <c r="L307" s="1"/>
  <c r="AD307"/>
  <c r="AA307"/>
  <c r="X307"/>
  <c r="U307"/>
  <c r="R307"/>
  <c r="O307"/>
  <c r="N307"/>
  <c r="M307"/>
  <c r="I307"/>
  <c r="G307"/>
  <c r="E307"/>
  <c r="D307"/>
  <c r="C307"/>
  <c r="AK306"/>
  <c r="AG306"/>
  <c r="L306" s="1"/>
  <c r="AD306"/>
  <c r="AA306"/>
  <c r="X306"/>
  <c r="U306"/>
  <c r="R306"/>
  <c r="O306"/>
  <c r="N306"/>
  <c r="M306"/>
  <c r="I306"/>
  <c r="G306"/>
  <c r="E306"/>
  <c r="D306"/>
  <c r="C306"/>
  <c r="AK305"/>
  <c r="AG305"/>
  <c r="L305" s="1"/>
  <c r="AD305"/>
  <c r="AA305"/>
  <c r="X305"/>
  <c r="U305"/>
  <c r="R305"/>
  <c r="O305"/>
  <c r="N305"/>
  <c r="M305"/>
  <c r="I305"/>
  <c r="G305"/>
  <c r="E305"/>
  <c r="D305"/>
  <c r="C305"/>
  <c r="AK304"/>
  <c r="AG304"/>
  <c r="L304" s="1"/>
  <c r="AD304"/>
  <c r="AA304"/>
  <c r="X304"/>
  <c r="U304"/>
  <c r="R304"/>
  <c r="O304"/>
  <c r="N304"/>
  <c r="M304"/>
  <c r="I304"/>
  <c r="G304"/>
  <c r="E304"/>
  <c r="D304"/>
  <c r="C304"/>
  <c r="AK303"/>
  <c r="AG303"/>
  <c r="L303" s="1"/>
  <c r="AD303"/>
  <c r="AA303"/>
  <c r="X303"/>
  <c r="U303"/>
  <c r="R303"/>
  <c r="O303"/>
  <c r="N303"/>
  <c r="M303"/>
  <c r="I303"/>
  <c r="G303"/>
  <c r="E303"/>
  <c r="D303"/>
  <c r="C303"/>
  <c r="AK302"/>
  <c r="AG302"/>
  <c r="L302" s="1"/>
  <c r="AD302"/>
  <c r="AA302"/>
  <c r="X302"/>
  <c r="U302"/>
  <c r="R302"/>
  <c r="O302"/>
  <c r="N302"/>
  <c r="M302"/>
  <c r="I302"/>
  <c r="G302"/>
  <c r="E302"/>
  <c r="D302"/>
  <c r="C302"/>
  <c r="AK301"/>
  <c r="AG301"/>
  <c r="L301" s="1"/>
  <c r="AD301"/>
  <c r="AA301"/>
  <c r="X301"/>
  <c r="U301"/>
  <c r="R301"/>
  <c r="O301"/>
  <c r="N301"/>
  <c r="M301"/>
  <c r="I301"/>
  <c r="G301"/>
  <c r="E301"/>
  <c r="D301"/>
  <c r="C301"/>
  <c r="AK300"/>
  <c r="AG300"/>
  <c r="L300" s="1"/>
  <c r="AD300"/>
  <c r="AA300"/>
  <c r="X300"/>
  <c r="U300"/>
  <c r="R300"/>
  <c r="O300"/>
  <c r="N300"/>
  <c r="M300"/>
  <c r="I300"/>
  <c r="G300"/>
  <c r="E300"/>
  <c r="D300"/>
  <c r="C300"/>
  <c r="AK299"/>
  <c r="AG299"/>
  <c r="L299" s="1"/>
  <c r="AD299"/>
  <c r="AA299"/>
  <c r="X299"/>
  <c r="U299"/>
  <c r="R299"/>
  <c r="O299"/>
  <c r="N299"/>
  <c r="M299"/>
  <c r="I299"/>
  <c r="G299"/>
  <c r="E299"/>
  <c r="D299"/>
  <c r="C299"/>
  <c r="AK298"/>
  <c r="AG298"/>
  <c r="L298" s="1"/>
  <c r="AD298"/>
  <c r="AA298"/>
  <c r="X298"/>
  <c r="U298"/>
  <c r="R298"/>
  <c r="O298"/>
  <c r="N298"/>
  <c r="M298"/>
  <c r="I298"/>
  <c r="G298"/>
  <c r="E298"/>
  <c r="D298"/>
  <c r="C298"/>
  <c r="AK297"/>
  <c r="AG297"/>
  <c r="L297" s="1"/>
  <c r="AD297"/>
  <c r="AA297"/>
  <c r="X297"/>
  <c r="U297"/>
  <c r="R297"/>
  <c r="O297"/>
  <c r="N297"/>
  <c r="M297"/>
  <c r="I297"/>
  <c r="G297"/>
  <c r="E297"/>
  <c r="D297"/>
  <c r="C297"/>
  <c r="AK296"/>
  <c r="AG296"/>
  <c r="L296" s="1"/>
  <c r="AD296"/>
  <c r="AA296"/>
  <c r="X296"/>
  <c r="U296"/>
  <c r="R296"/>
  <c r="O296"/>
  <c r="N296"/>
  <c r="M296"/>
  <c r="I296"/>
  <c r="G296"/>
  <c r="E296"/>
  <c r="D296"/>
  <c r="C296"/>
  <c r="AK295"/>
  <c r="AG295"/>
  <c r="L295" s="1"/>
  <c r="AD295"/>
  <c r="AA295"/>
  <c r="X295"/>
  <c r="U295"/>
  <c r="R295"/>
  <c r="O295"/>
  <c r="N295"/>
  <c r="M295"/>
  <c r="I295"/>
  <c r="G295"/>
  <c r="E295"/>
  <c r="D295"/>
  <c r="C295"/>
  <c r="AK294"/>
  <c r="AG294"/>
  <c r="L294" s="1"/>
  <c r="AD294"/>
  <c r="AA294"/>
  <c r="X294"/>
  <c r="U294"/>
  <c r="R294"/>
  <c r="O294"/>
  <c r="N294"/>
  <c r="M294"/>
  <c r="I294"/>
  <c r="G294"/>
  <c r="E294"/>
  <c r="D294"/>
  <c r="C294"/>
  <c r="AK293"/>
  <c r="AG293"/>
  <c r="L293" s="1"/>
  <c r="AD293"/>
  <c r="AA293"/>
  <c r="X293"/>
  <c r="U293"/>
  <c r="R293"/>
  <c r="O293"/>
  <c r="N293"/>
  <c r="M293"/>
  <c r="I293"/>
  <c r="G293"/>
  <c r="E293"/>
  <c r="D293"/>
  <c r="C293"/>
  <c r="AK292"/>
  <c r="AG292"/>
  <c r="L292" s="1"/>
  <c r="AD292"/>
  <c r="AA292"/>
  <c r="X292"/>
  <c r="U292"/>
  <c r="R292"/>
  <c r="O292"/>
  <c r="N292"/>
  <c r="M292"/>
  <c r="I292"/>
  <c r="G292"/>
  <c r="E292"/>
  <c r="D292"/>
  <c r="C292"/>
  <c r="AK291"/>
  <c r="AG291"/>
  <c r="L291" s="1"/>
  <c r="AD291"/>
  <c r="AA291"/>
  <c r="X291"/>
  <c r="U291"/>
  <c r="R291"/>
  <c r="O291"/>
  <c r="N291"/>
  <c r="M291"/>
  <c r="I291"/>
  <c r="G291"/>
  <c r="E291"/>
  <c r="D291"/>
  <c r="C291"/>
  <c r="AK290"/>
  <c r="AG290"/>
  <c r="L290" s="1"/>
  <c r="AD290"/>
  <c r="AA290"/>
  <c r="X290"/>
  <c r="U290"/>
  <c r="R290"/>
  <c r="O290"/>
  <c r="N290"/>
  <c r="M290"/>
  <c r="I290"/>
  <c r="G290"/>
  <c r="E290"/>
  <c r="D290"/>
  <c r="C290"/>
  <c r="AK289"/>
  <c r="AG289"/>
  <c r="L289" s="1"/>
  <c r="AD289"/>
  <c r="AA289"/>
  <c r="X289"/>
  <c r="U289"/>
  <c r="R289"/>
  <c r="O289"/>
  <c r="N289"/>
  <c r="M289"/>
  <c r="I289"/>
  <c r="G289"/>
  <c r="E289"/>
  <c r="D289"/>
  <c r="C289"/>
  <c r="AK288"/>
  <c r="AG288"/>
  <c r="L288" s="1"/>
  <c r="AD288"/>
  <c r="AA288"/>
  <c r="X288"/>
  <c r="U288"/>
  <c r="R288"/>
  <c r="O288"/>
  <c r="N288"/>
  <c r="M288"/>
  <c r="I288"/>
  <c r="G288"/>
  <c r="E288"/>
  <c r="D288"/>
  <c r="C288"/>
  <c r="AK287"/>
  <c r="AG287"/>
  <c r="L287" s="1"/>
  <c r="AD287"/>
  <c r="AA287"/>
  <c r="X287"/>
  <c r="U287"/>
  <c r="R287"/>
  <c r="O287"/>
  <c r="N287"/>
  <c r="M287"/>
  <c r="I287"/>
  <c r="G287"/>
  <c r="E287"/>
  <c r="D287"/>
  <c r="C287"/>
  <c r="AK286"/>
  <c r="AG286"/>
  <c r="L286" s="1"/>
  <c r="AD286"/>
  <c r="AA286"/>
  <c r="X286"/>
  <c r="U286"/>
  <c r="R286"/>
  <c r="O286"/>
  <c r="N286"/>
  <c r="M286"/>
  <c r="I286"/>
  <c r="G286"/>
  <c r="E286"/>
  <c r="D286"/>
  <c r="C286"/>
  <c r="AK285"/>
  <c r="AG285"/>
  <c r="L285" s="1"/>
  <c r="AD285"/>
  <c r="AA285"/>
  <c r="X285"/>
  <c r="U285"/>
  <c r="R285"/>
  <c r="O285"/>
  <c r="N285"/>
  <c r="M285"/>
  <c r="I285"/>
  <c r="G285"/>
  <c r="E285"/>
  <c r="D285"/>
  <c r="C285"/>
  <c r="AK284"/>
  <c r="AG284"/>
  <c r="L284" s="1"/>
  <c r="AD284"/>
  <c r="AA284"/>
  <c r="X284"/>
  <c r="U284"/>
  <c r="R284"/>
  <c r="O284"/>
  <c r="N284"/>
  <c r="M284"/>
  <c r="I284"/>
  <c r="G284"/>
  <c r="E284"/>
  <c r="D284"/>
  <c r="C284"/>
  <c r="AK283"/>
  <c r="AG283"/>
  <c r="L283" s="1"/>
  <c r="AD283"/>
  <c r="AA283"/>
  <c r="X283"/>
  <c r="U283"/>
  <c r="R283"/>
  <c r="O283"/>
  <c r="N283"/>
  <c r="M283"/>
  <c r="I283"/>
  <c r="G283"/>
  <c r="E283"/>
  <c r="D283"/>
  <c r="C283"/>
  <c r="AK282"/>
  <c r="AG282"/>
  <c r="L282" s="1"/>
  <c r="AD282"/>
  <c r="AA282"/>
  <c r="X282"/>
  <c r="U282"/>
  <c r="R282"/>
  <c r="O282"/>
  <c r="N282"/>
  <c r="M282"/>
  <c r="I282"/>
  <c r="G282"/>
  <c r="E282"/>
  <c r="D282"/>
  <c r="C282"/>
  <c r="AK280"/>
  <c r="AG280"/>
  <c r="L280" s="1"/>
  <c r="AD280"/>
  <c r="AA280"/>
  <c r="X280"/>
  <c r="U280"/>
  <c r="R280"/>
  <c r="O280"/>
  <c r="N280"/>
  <c r="M280"/>
  <c r="I280"/>
  <c r="G280"/>
  <c r="E280"/>
  <c r="D280"/>
  <c r="C280"/>
  <c r="AK281"/>
  <c r="AG281"/>
  <c r="L281" s="1"/>
  <c r="AD281"/>
  <c r="AA281"/>
  <c r="X281"/>
  <c r="U281"/>
  <c r="R281"/>
  <c r="O281"/>
  <c r="N281"/>
  <c r="M281"/>
  <c r="I281"/>
  <c r="G281"/>
  <c r="E281"/>
  <c r="D281"/>
  <c r="C281"/>
  <c r="AK268"/>
  <c r="AG268"/>
  <c r="L268" s="1"/>
  <c r="AD268"/>
  <c r="AA268"/>
  <c r="X268"/>
  <c r="U268"/>
  <c r="R268"/>
  <c r="O268"/>
  <c r="N268"/>
  <c r="M268"/>
  <c r="I268"/>
  <c r="G268"/>
  <c r="E268"/>
  <c r="D268"/>
  <c r="C268"/>
  <c r="AK267"/>
  <c r="AG267"/>
  <c r="L267" s="1"/>
  <c r="AD267"/>
  <c r="AA267"/>
  <c r="X267"/>
  <c r="U267"/>
  <c r="R267"/>
  <c r="O267"/>
  <c r="N267"/>
  <c r="M267"/>
  <c r="I267"/>
  <c r="G267"/>
  <c r="E267"/>
  <c r="D267"/>
  <c r="C267"/>
  <c r="AK266"/>
  <c r="AG266"/>
  <c r="L266" s="1"/>
  <c r="AD266"/>
  <c r="AA266"/>
  <c r="X266"/>
  <c r="U266"/>
  <c r="R266"/>
  <c r="O266"/>
  <c r="N266"/>
  <c r="M266"/>
  <c r="I266"/>
  <c r="G266"/>
  <c r="E266"/>
  <c r="D266"/>
  <c r="C266"/>
  <c r="AK265"/>
  <c r="AG265"/>
  <c r="L265" s="1"/>
  <c r="AD265"/>
  <c r="AA265"/>
  <c r="X265"/>
  <c r="U265"/>
  <c r="R265"/>
  <c r="O265"/>
  <c r="N265"/>
  <c r="M265"/>
  <c r="I265"/>
  <c r="G265"/>
  <c r="E265"/>
  <c r="D265"/>
  <c r="C265"/>
  <c r="AK264"/>
  <c r="AG264"/>
  <c r="L264" s="1"/>
  <c r="AD264"/>
  <c r="AA264"/>
  <c r="X264"/>
  <c r="U264"/>
  <c r="R264"/>
  <c r="O264"/>
  <c r="N264"/>
  <c r="M264"/>
  <c r="I264"/>
  <c r="G264"/>
  <c r="E264"/>
  <c r="D264"/>
  <c r="C264"/>
  <c r="AK263"/>
  <c r="AD263"/>
  <c r="AA263"/>
  <c r="X263"/>
  <c r="U263"/>
  <c r="R263"/>
  <c r="O263"/>
  <c r="N263"/>
  <c r="M263"/>
  <c r="I263"/>
  <c r="G263"/>
  <c r="E263"/>
  <c r="D263"/>
  <c r="C263"/>
  <c r="AK262"/>
  <c r="AG262"/>
  <c r="L262" s="1"/>
  <c r="AD262"/>
  <c r="AA262"/>
  <c r="X262"/>
  <c r="U262"/>
  <c r="R262"/>
  <c r="O262"/>
  <c r="N262"/>
  <c r="M262"/>
  <c r="I262"/>
  <c r="G262"/>
  <c r="E262"/>
  <c r="D262"/>
  <c r="C262"/>
  <c r="AK261"/>
  <c r="AG261"/>
  <c r="L261" s="1"/>
  <c r="AD261"/>
  <c r="AA261"/>
  <c r="X261"/>
  <c r="U261"/>
  <c r="R261"/>
  <c r="O261"/>
  <c r="N261"/>
  <c r="M261"/>
  <c r="I261"/>
  <c r="G261"/>
  <c r="E261"/>
  <c r="D261"/>
  <c r="C261"/>
  <c r="AK260"/>
  <c r="AG260"/>
  <c r="L260" s="1"/>
  <c r="AD260"/>
  <c r="AA260"/>
  <c r="X260"/>
  <c r="U260"/>
  <c r="R260"/>
  <c r="O260"/>
  <c r="N260"/>
  <c r="M260"/>
  <c r="I260"/>
  <c r="G260"/>
  <c r="E260"/>
  <c r="D260"/>
  <c r="C260"/>
  <c r="AK259"/>
  <c r="AD259"/>
  <c r="AA259"/>
  <c r="X259"/>
  <c r="U259"/>
  <c r="R259"/>
  <c r="O259"/>
  <c r="N259"/>
  <c r="M259"/>
  <c r="I259"/>
  <c r="G259"/>
  <c r="E259"/>
  <c r="D259"/>
  <c r="C259"/>
  <c r="AK258"/>
  <c r="AG258"/>
  <c r="L258" s="1"/>
  <c r="AD258"/>
  <c r="AA258"/>
  <c r="X258"/>
  <c r="U258"/>
  <c r="R258"/>
  <c r="O258"/>
  <c r="N258"/>
  <c r="M258"/>
  <c r="I258"/>
  <c r="G258"/>
  <c r="E258"/>
  <c r="D258"/>
  <c r="C258"/>
  <c r="AK257"/>
  <c r="AG257"/>
  <c r="L257" s="1"/>
  <c r="AD257"/>
  <c r="AA257"/>
  <c r="X257"/>
  <c r="U257"/>
  <c r="R257"/>
  <c r="O257"/>
  <c r="N257"/>
  <c r="M257"/>
  <c r="I257"/>
  <c r="G257"/>
  <c r="E257"/>
  <c r="D257"/>
  <c r="C257"/>
  <c r="AK256"/>
  <c r="AG256"/>
  <c r="L256" s="1"/>
  <c r="AD256"/>
  <c r="AA256"/>
  <c r="X256"/>
  <c r="U256"/>
  <c r="R256"/>
  <c r="O256"/>
  <c r="N256"/>
  <c r="M256"/>
  <c r="I256"/>
  <c r="G256"/>
  <c r="E256"/>
  <c r="D256"/>
  <c r="C256"/>
  <c r="AK255"/>
  <c r="AD255"/>
  <c r="AA255"/>
  <c r="X255"/>
  <c r="U255"/>
  <c r="R255"/>
  <c r="O255"/>
  <c r="N255"/>
  <c r="M255"/>
  <c r="I255"/>
  <c r="G255"/>
  <c r="E255"/>
  <c r="D255"/>
  <c r="C255"/>
  <c r="AK254"/>
  <c r="AG254"/>
  <c r="L254" s="1"/>
  <c r="AD254"/>
  <c r="AA254"/>
  <c r="X254"/>
  <c r="U254"/>
  <c r="R254"/>
  <c r="O254"/>
  <c r="N254"/>
  <c r="M254"/>
  <c r="I254"/>
  <c r="G254"/>
  <c r="E254"/>
  <c r="D254"/>
  <c r="C254"/>
  <c r="AK253"/>
  <c r="AG253"/>
  <c r="L253" s="1"/>
  <c r="AD253"/>
  <c r="AA253"/>
  <c r="X253"/>
  <c r="U253"/>
  <c r="R253"/>
  <c r="O253"/>
  <c r="N253"/>
  <c r="M253"/>
  <c r="I253"/>
  <c r="G253"/>
  <c r="E253"/>
  <c r="D253"/>
  <c r="C253"/>
  <c r="AK252"/>
  <c r="AG252"/>
  <c r="L252" s="1"/>
  <c r="AD252"/>
  <c r="AA252"/>
  <c r="X252"/>
  <c r="U252"/>
  <c r="R252"/>
  <c r="O252"/>
  <c r="N252"/>
  <c r="M252"/>
  <c r="I252"/>
  <c r="G252"/>
  <c r="E252"/>
  <c r="D252"/>
  <c r="C252"/>
  <c r="AK251"/>
  <c r="AG251"/>
  <c r="L251" s="1"/>
  <c r="AD251"/>
  <c r="AA251"/>
  <c r="X251"/>
  <c r="U251"/>
  <c r="R251"/>
  <c r="O251"/>
  <c r="N251"/>
  <c r="M251"/>
  <c r="I251"/>
  <c r="G251"/>
  <c r="E251"/>
  <c r="D251"/>
  <c r="C251"/>
  <c r="AK250"/>
  <c r="AG250"/>
  <c r="L250" s="1"/>
  <c r="AD250"/>
  <c r="AA250"/>
  <c r="X250"/>
  <c r="U250"/>
  <c r="R250"/>
  <c r="O250"/>
  <c r="N250"/>
  <c r="M250"/>
  <c r="I250"/>
  <c r="G250"/>
  <c r="E250"/>
  <c r="D250"/>
  <c r="C250"/>
  <c r="AK249"/>
  <c r="AG249"/>
  <c r="L249" s="1"/>
  <c r="AD249"/>
  <c r="AA249"/>
  <c r="X249"/>
  <c r="U249"/>
  <c r="R249"/>
  <c r="O249"/>
  <c r="N249"/>
  <c r="M249"/>
  <c r="I249"/>
  <c r="G249"/>
  <c r="E249"/>
  <c r="D249"/>
  <c r="C249"/>
  <c r="AK248"/>
  <c r="AG248"/>
  <c r="L248" s="1"/>
  <c r="AD248"/>
  <c r="AA248"/>
  <c r="X248"/>
  <c r="U248"/>
  <c r="R248"/>
  <c r="O248"/>
  <c r="N248"/>
  <c r="M248"/>
  <c r="I248"/>
  <c r="G248"/>
  <c r="E248"/>
  <c r="D248"/>
  <c r="C248"/>
  <c r="AK247"/>
  <c r="AD247"/>
  <c r="AA247"/>
  <c r="X247"/>
  <c r="U247"/>
  <c r="R247"/>
  <c r="O247"/>
  <c r="N247"/>
  <c r="M247"/>
  <c r="I247"/>
  <c r="G247"/>
  <c r="E247"/>
  <c r="D247"/>
  <c r="C247"/>
  <c r="AK246"/>
  <c r="AD246"/>
  <c r="AA246"/>
  <c r="X246"/>
  <c r="U246"/>
  <c r="R246"/>
  <c r="O246"/>
  <c r="N246"/>
  <c r="M246"/>
  <c r="I246"/>
  <c r="G246"/>
  <c r="E246"/>
  <c r="D246"/>
  <c r="C246"/>
  <c r="AK245"/>
  <c r="AG245"/>
  <c r="L245" s="1"/>
  <c r="AD245"/>
  <c r="AA245"/>
  <c r="X245"/>
  <c r="U245"/>
  <c r="R245"/>
  <c r="O245"/>
  <c r="N245"/>
  <c r="M245"/>
  <c r="I245"/>
  <c r="G245"/>
  <c r="E245"/>
  <c r="D245"/>
  <c r="C245"/>
  <c r="AK244"/>
  <c r="AG244"/>
  <c r="L244" s="1"/>
  <c r="AD244"/>
  <c r="AA244"/>
  <c r="X244"/>
  <c r="U244"/>
  <c r="R244"/>
  <c r="O244"/>
  <c r="N244"/>
  <c r="M244"/>
  <c r="I244"/>
  <c r="G244"/>
  <c r="E244"/>
  <c r="D244"/>
  <c r="C244"/>
  <c r="AK243"/>
  <c r="AG243"/>
  <c r="L243" s="1"/>
  <c r="AD243"/>
  <c r="AA243"/>
  <c r="X243"/>
  <c r="U243"/>
  <c r="R243"/>
  <c r="O243"/>
  <c r="N243"/>
  <c r="M243"/>
  <c r="I243"/>
  <c r="G243"/>
  <c r="E243"/>
  <c r="D243"/>
  <c r="C243"/>
  <c r="AK242"/>
  <c r="AG242"/>
  <c r="L242" s="1"/>
  <c r="AD242"/>
  <c r="AA242"/>
  <c r="X242"/>
  <c r="U242"/>
  <c r="R242"/>
  <c r="O242"/>
  <c r="N242"/>
  <c r="M242"/>
  <c r="I242"/>
  <c r="G242"/>
  <c r="E242"/>
  <c r="D242"/>
  <c r="C242"/>
  <c r="AK241"/>
  <c r="AG241"/>
  <c r="L241" s="1"/>
  <c r="AD241"/>
  <c r="AA241"/>
  <c r="X241"/>
  <c r="U241"/>
  <c r="R241"/>
  <c r="O241"/>
  <c r="N241"/>
  <c r="M241"/>
  <c r="I241"/>
  <c r="G241"/>
  <c r="E241"/>
  <c r="D241"/>
  <c r="C241"/>
  <c r="AK240"/>
  <c r="AG240"/>
  <c r="L240" s="1"/>
  <c r="AD240"/>
  <c r="AA240"/>
  <c r="X240"/>
  <c r="U240"/>
  <c r="R240"/>
  <c r="O240"/>
  <c r="N240"/>
  <c r="M240"/>
  <c r="I240"/>
  <c r="G240"/>
  <c r="E240"/>
  <c r="D240"/>
  <c r="C240"/>
  <c r="AK239"/>
  <c r="AG239"/>
  <c r="L239" s="1"/>
  <c r="AD239"/>
  <c r="AA239"/>
  <c r="X239"/>
  <c r="U239"/>
  <c r="R239"/>
  <c r="O239"/>
  <c r="N239"/>
  <c r="M239"/>
  <c r="I239"/>
  <c r="G239"/>
  <c r="E239"/>
  <c r="D239"/>
  <c r="C239"/>
  <c r="AK238"/>
  <c r="AG238"/>
  <c r="L238" s="1"/>
  <c r="AD238"/>
  <c r="AA238"/>
  <c r="X238"/>
  <c r="U238"/>
  <c r="R238"/>
  <c r="O238"/>
  <c r="N238"/>
  <c r="M238"/>
  <c r="I238"/>
  <c r="G238"/>
  <c r="E238"/>
  <c r="D238"/>
  <c r="C238"/>
  <c r="AK237"/>
  <c r="AD237"/>
  <c r="AA237"/>
  <c r="X237"/>
  <c r="U237"/>
  <c r="R237"/>
  <c r="O237"/>
  <c r="N237"/>
  <c r="M237"/>
  <c r="I237"/>
  <c r="G237"/>
  <c r="E237"/>
  <c r="D237"/>
  <c r="C237"/>
  <c r="AK236"/>
  <c r="AD236"/>
  <c r="AA236"/>
  <c r="X236"/>
  <c r="U236"/>
  <c r="R236"/>
  <c r="O236"/>
  <c r="N236"/>
  <c r="M236"/>
  <c r="I236"/>
  <c r="G236"/>
  <c r="E236"/>
  <c r="D236"/>
  <c r="C236"/>
  <c r="AK234"/>
  <c r="AG234"/>
  <c r="L234" s="1"/>
  <c r="AD234"/>
  <c r="AA234"/>
  <c r="X234"/>
  <c r="U234"/>
  <c r="R234"/>
  <c r="O234"/>
  <c r="N234"/>
  <c r="M234"/>
  <c r="I234"/>
  <c r="G234"/>
  <c r="E234"/>
  <c r="E235"/>
  <c r="D234"/>
  <c r="C234"/>
  <c r="AK235"/>
  <c r="AG235"/>
  <c r="L235" s="1"/>
  <c r="AD235"/>
  <c r="AA235"/>
  <c r="X235"/>
  <c r="U235"/>
  <c r="R235"/>
  <c r="O235"/>
  <c r="N235"/>
  <c r="M235"/>
  <c r="I235"/>
  <c r="G235"/>
  <c r="D235"/>
  <c r="C235"/>
  <c r="AK222"/>
  <c r="AG222"/>
  <c r="L222" s="1"/>
  <c r="AD222"/>
  <c r="AA222"/>
  <c r="X222"/>
  <c r="U222"/>
  <c r="R222"/>
  <c r="O222"/>
  <c r="N222"/>
  <c r="M222"/>
  <c r="I222"/>
  <c r="G222"/>
  <c r="E222"/>
  <c r="D222"/>
  <c r="C222"/>
  <c r="AK221"/>
  <c r="AG221"/>
  <c r="L221" s="1"/>
  <c r="AD221"/>
  <c r="AA221"/>
  <c r="X221"/>
  <c r="U221"/>
  <c r="R221"/>
  <c r="O221"/>
  <c r="N221"/>
  <c r="M221"/>
  <c r="I221"/>
  <c r="G221"/>
  <c r="E221"/>
  <c r="D221"/>
  <c r="C221"/>
  <c r="AK220"/>
  <c r="AG220"/>
  <c r="L220" s="1"/>
  <c r="AD220"/>
  <c r="AA220"/>
  <c r="X220"/>
  <c r="U220"/>
  <c r="R220"/>
  <c r="O220"/>
  <c r="N220"/>
  <c r="M220"/>
  <c r="I220"/>
  <c r="G220"/>
  <c r="E220"/>
  <c r="D220"/>
  <c r="C220"/>
  <c r="AK219"/>
  <c r="AG219"/>
  <c r="L219" s="1"/>
  <c r="AD219"/>
  <c r="AA219"/>
  <c r="X219"/>
  <c r="U219"/>
  <c r="R219"/>
  <c r="O219"/>
  <c r="N219"/>
  <c r="M219"/>
  <c r="I219"/>
  <c r="G219"/>
  <c r="E219"/>
  <c r="D219"/>
  <c r="C219"/>
  <c r="AK218"/>
  <c r="AD218"/>
  <c r="AA218"/>
  <c r="X218"/>
  <c r="U218"/>
  <c r="R218"/>
  <c r="O218"/>
  <c r="N218"/>
  <c r="M218"/>
  <c r="I218"/>
  <c r="G218"/>
  <c r="E218"/>
  <c r="D218"/>
  <c r="C218"/>
  <c r="AK217"/>
  <c r="AG217"/>
  <c r="L217" s="1"/>
  <c r="AD217"/>
  <c r="AA217"/>
  <c r="X217"/>
  <c r="U217"/>
  <c r="R217"/>
  <c r="O217"/>
  <c r="N217"/>
  <c r="M217"/>
  <c r="I217"/>
  <c r="G217"/>
  <c r="E217"/>
  <c r="D217"/>
  <c r="C217"/>
  <c r="AK216"/>
  <c r="AG216"/>
  <c r="L216" s="1"/>
  <c r="AD216"/>
  <c r="AA216"/>
  <c r="X216"/>
  <c r="U216"/>
  <c r="R216"/>
  <c r="O216"/>
  <c r="N216"/>
  <c r="M216"/>
  <c r="I216"/>
  <c r="G216"/>
  <c r="E216"/>
  <c r="D216"/>
  <c r="C216"/>
  <c r="AK215"/>
  <c r="AG215"/>
  <c r="L215" s="1"/>
  <c r="AD215"/>
  <c r="AA215"/>
  <c r="X215"/>
  <c r="U215"/>
  <c r="R215"/>
  <c r="O215"/>
  <c r="N215"/>
  <c r="M215"/>
  <c r="I215"/>
  <c r="G215"/>
  <c r="E215"/>
  <c r="D215"/>
  <c r="C215"/>
  <c r="AK214"/>
  <c r="AG214"/>
  <c r="L214" s="1"/>
  <c r="AD214"/>
  <c r="AA214"/>
  <c r="X214"/>
  <c r="U214"/>
  <c r="R214"/>
  <c r="O214"/>
  <c r="N214"/>
  <c r="M214"/>
  <c r="I214"/>
  <c r="G214"/>
  <c r="E214"/>
  <c r="D214"/>
  <c r="C214"/>
  <c r="AK213"/>
  <c r="AG213"/>
  <c r="L213" s="1"/>
  <c r="AD213"/>
  <c r="AA213"/>
  <c r="X213"/>
  <c r="U213"/>
  <c r="R213"/>
  <c r="O213"/>
  <c r="N213"/>
  <c r="M213"/>
  <c r="I213"/>
  <c r="G213"/>
  <c r="E213"/>
  <c r="D213"/>
  <c r="C213"/>
  <c r="AK212"/>
  <c r="AG212"/>
  <c r="L212" s="1"/>
  <c r="AD212"/>
  <c r="AA212"/>
  <c r="X212"/>
  <c r="U212"/>
  <c r="R212"/>
  <c r="O212"/>
  <c r="N212"/>
  <c r="M212"/>
  <c r="I212"/>
  <c r="G212"/>
  <c r="E212"/>
  <c r="D212"/>
  <c r="C212"/>
  <c r="AK211"/>
  <c r="AD211"/>
  <c r="AA211"/>
  <c r="X211"/>
  <c r="U211"/>
  <c r="R211"/>
  <c r="O211"/>
  <c r="N211"/>
  <c r="M211"/>
  <c r="I211"/>
  <c r="G211"/>
  <c r="E211"/>
  <c r="D211"/>
  <c r="C211"/>
  <c r="AK210"/>
  <c r="AG210"/>
  <c r="L210" s="1"/>
  <c r="AD210"/>
  <c r="AA210"/>
  <c r="X210"/>
  <c r="U210"/>
  <c r="R210"/>
  <c r="O210"/>
  <c r="N210"/>
  <c r="M210"/>
  <c r="I210"/>
  <c r="G210"/>
  <c r="E210"/>
  <c r="D210"/>
  <c r="C210"/>
  <c r="AK209"/>
  <c r="AD209"/>
  <c r="AA209"/>
  <c r="X209"/>
  <c r="U209"/>
  <c r="R209"/>
  <c r="O209"/>
  <c r="N209"/>
  <c r="M209"/>
  <c r="I209"/>
  <c r="G209"/>
  <c r="E209"/>
  <c r="D209"/>
  <c r="C209"/>
  <c r="AK208"/>
  <c r="AD208"/>
  <c r="AA208"/>
  <c r="X208"/>
  <c r="U208"/>
  <c r="R208"/>
  <c r="O208"/>
  <c r="N208"/>
  <c r="M208"/>
  <c r="I208"/>
  <c r="G208"/>
  <c r="E208"/>
  <c r="D208"/>
  <c r="C208"/>
  <c r="AK207"/>
  <c r="AG207"/>
  <c r="L207" s="1"/>
  <c r="AD207"/>
  <c r="AA207"/>
  <c r="X207"/>
  <c r="U207"/>
  <c r="R207"/>
  <c r="O207"/>
  <c r="N207"/>
  <c r="M207"/>
  <c r="I207"/>
  <c r="G207"/>
  <c r="E207"/>
  <c r="D207"/>
  <c r="C207"/>
  <c r="AK206"/>
  <c r="AG206"/>
  <c r="L206" s="1"/>
  <c r="AD206"/>
  <c r="AA206"/>
  <c r="X206"/>
  <c r="U206"/>
  <c r="R206"/>
  <c r="O206"/>
  <c r="N206"/>
  <c r="M206"/>
  <c r="I206"/>
  <c r="G206"/>
  <c r="E206"/>
  <c r="D206"/>
  <c r="C206"/>
  <c r="AK205"/>
  <c r="AD205"/>
  <c r="AA205"/>
  <c r="X205"/>
  <c r="U205"/>
  <c r="R205"/>
  <c r="O205"/>
  <c r="N205"/>
  <c r="M205"/>
  <c r="I205"/>
  <c r="G205"/>
  <c r="E205"/>
  <c r="D205"/>
  <c r="C205"/>
  <c r="AK204"/>
  <c r="AG204"/>
  <c r="L204" s="1"/>
  <c r="AD204"/>
  <c r="AA204"/>
  <c r="X204"/>
  <c r="U204"/>
  <c r="R204"/>
  <c r="O204"/>
  <c r="N204"/>
  <c r="M204"/>
  <c r="I204"/>
  <c r="G204"/>
  <c r="E204"/>
  <c r="D204"/>
  <c r="C204"/>
  <c r="AK203"/>
  <c r="AG203"/>
  <c r="L203" s="1"/>
  <c r="AD203"/>
  <c r="AA203"/>
  <c r="X203"/>
  <c r="U203"/>
  <c r="R203"/>
  <c r="O203"/>
  <c r="N203"/>
  <c r="M203"/>
  <c r="I203"/>
  <c r="G203"/>
  <c r="E203"/>
  <c r="D203"/>
  <c r="C203"/>
  <c r="AK202"/>
  <c r="AG202"/>
  <c r="L202" s="1"/>
  <c r="AD202"/>
  <c r="AA202"/>
  <c r="X202"/>
  <c r="U202"/>
  <c r="R202"/>
  <c r="O202"/>
  <c r="N202"/>
  <c r="M202"/>
  <c r="I202"/>
  <c r="G202"/>
  <c r="E202"/>
  <c r="D202"/>
  <c r="C202"/>
  <c r="AK201"/>
  <c r="AG201"/>
  <c r="L201" s="1"/>
  <c r="AD201"/>
  <c r="AA201"/>
  <c r="X201"/>
  <c r="U201"/>
  <c r="R201"/>
  <c r="O201"/>
  <c r="N201"/>
  <c r="M201"/>
  <c r="I201"/>
  <c r="G201"/>
  <c r="E201"/>
  <c r="D201"/>
  <c r="C201"/>
  <c r="AK200"/>
  <c r="AG200"/>
  <c r="L200" s="1"/>
  <c r="AD200"/>
  <c r="AA200"/>
  <c r="X200"/>
  <c r="U200"/>
  <c r="R200"/>
  <c r="O200"/>
  <c r="N200"/>
  <c r="M200"/>
  <c r="I200"/>
  <c r="G200"/>
  <c r="E200"/>
  <c r="D200"/>
  <c r="C200"/>
  <c r="AK199"/>
  <c r="AG199"/>
  <c r="L199" s="1"/>
  <c r="AD199"/>
  <c r="AA199"/>
  <c r="X199"/>
  <c r="U199"/>
  <c r="R199"/>
  <c r="O199"/>
  <c r="N199"/>
  <c r="M199"/>
  <c r="I199"/>
  <c r="G199"/>
  <c r="E199"/>
  <c r="D199"/>
  <c r="C199"/>
  <c r="AK198"/>
  <c r="AG198"/>
  <c r="L198" s="1"/>
  <c r="AD198"/>
  <c r="AA198"/>
  <c r="X198"/>
  <c r="U198"/>
  <c r="R198"/>
  <c r="O198"/>
  <c r="N198"/>
  <c r="M198"/>
  <c r="I198"/>
  <c r="G198"/>
  <c r="E198"/>
  <c r="D198"/>
  <c r="C198"/>
  <c r="AK197"/>
  <c r="AG197"/>
  <c r="L197" s="1"/>
  <c r="AD197"/>
  <c r="AA197"/>
  <c r="X197"/>
  <c r="U197"/>
  <c r="R197"/>
  <c r="O197"/>
  <c r="N197"/>
  <c r="M197"/>
  <c r="I197"/>
  <c r="G197"/>
  <c r="E197"/>
  <c r="D197"/>
  <c r="C197"/>
  <c r="AK196"/>
  <c r="AG196"/>
  <c r="L196" s="1"/>
  <c r="AD196"/>
  <c r="AA196"/>
  <c r="X196"/>
  <c r="U196"/>
  <c r="R196"/>
  <c r="O196"/>
  <c r="N196"/>
  <c r="M196"/>
  <c r="I196"/>
  <c r="G196"/>
  <c r="E196"/>
  <c r="D196"/>
  <c r="C196"/>
  <c r="C188"/>
  <c r="C189"/>
  <c r="C190"/>
  <c r="C191"/>
  <c r="C192"/>
  <c r="C193"/>
  <c r="C194"/>
  <c r="C195"/>
  <c r="AK195"/>
  <c r="AD195"/>
  <c r="AA195"/>
  <c r="X195"/>
  <c r="U195"/>
  <c r="R195"/>
  <c r="O195"/>
  <c r="N195"/>
  <c r="M195"/>
  <c r="I195"/>
  <c r="G195"/>
  <c r="E195"/>
  <c r="D195"/>
  <c r="AK194"/>
  <c r="AG194"/>
  <c r="L194" s="1"/>
  <c r="AD194"/>
  <c r="AA194"/>
  <c r="X194"/>
  <c r="U194"/>
  <c r="R194"/>
  <c r="O194"/>
  <c r="N194"/>
  <c r="M194"/>
  <c r="I194"/>
  <c r="G194"/>
  <c r="E194"/>
  <c r="D194"/>
  <c r="AK193"/>
  <c r="AG193"/>
  <c r="L193" s="1"/>
  <c r="AD193"/>
  <c r="AA193"/>
  <c r="X193"/>
  <c r="U193"/>
  <c r="R193"/>
  <c r="O193"/>
  <c r="N193"/>
  <c r="M193"/>
  <c r="I193"/>
  <c r="G193"/>
  <c r="E193"/>
  <c r="D193"/>
  <c r="AK192"/>
  <c r="AG192"/>
  <c r="L192" s="1"/>
  <c r="AD192"/>
  <c r="AA192"/>
  <c r="X192"/>
  <c r="U192"/>
  <c r="R192"/>
  <c r="O192"/>
  <c r="N192"/>
  <c r="M192"/>
  <c r="I192"/>
  <c r="G192"/>
  <c r="E192"/>
  <c r="D192"/>
  <c r="AK191"/>
  <c r="AG191"/>
  <c r="L191" s="1"/>
  <c r="AD191"/>
  <c r="AA191"/>
  <c r="X191"/>
  <c r="U191"/>
  <c r="R191"/>
  <c r="O191"/>
  <c r="N191"/>
  <c r="M191"/>
  <c r="I191"/>
  <c r="G191"/>
  <c r="E191"/>
  <c r="D191"/>
  <c r="AK190"/>
  <c r="AG190"/>
  <c r="L190" s="1"/>
  <c r="AD190"/>
  <c r="AA190"/>
  <c r="X190"/>
  <c r="U190"/>
  <c r="R190"/>
  <c r="O190"/>
  <c r="N190"/>
  <c r="M190"/>
  <c r="I190"/>
  <c r="G190"/>
  <c r="E190"/>
  <c r="D190"/>
  <c r="AK188"/>
  <c r="AD188"/>
  <c r="AA188"/>
  <c r="X188"/>
  <c r="U188"/>
  <c r="R188"/>
  <c r="O188"/>
  <c r="N188"/>
  <c r="M188"/>
  <c r="I188"/>
  <c r="G188"/>
  <c r="E188"/>
  <c r="D188"/>
  <c r="AK189"/>
  <c r="AG189"/>
  <c r="L189" s="1"/>
  <c r="AD189"/>
  <c r="AA189"/>
  <c r="X189"/>
  <c r="U189"/>
  <c r="R189"/>
  <c r="O189"/>
  <c r="N189"/>
  <c r="M189"/>
  <c r="I189"/>
  <c r="G189"/>
  <c r="E189"/>
  <c r="D189"/>
  <c r="AK176"/>
  <c r="AG176"/>
  <c r="L176" s="1"/>
  <c r="AD176"/>
  <c r="AA176"/>
  <c r="X176"/>
  <c r="U176"/>
  <c r="R176"/>
  <c r="O176"/>
  <c r="N176"/>
  <c r="M176"/>
  <c r="I176"/>
  <c r="G176"/>
  <c r="E176"/>
  <c r="D176"/>
  <c r="C176"/>
  <c r="AK175"/>
  <c r="AG175"/>
  <c r="L175" s="1"/>
  <c r="AD175"/>
  <c r="AA175"/>
  <c r="X175"/>
  <c r="U175"/>
  <c r="R175"/>
  <c r="O175"/>
  <c r="N175"/>
  <c r="M175"/>
  <c r="I175"/>
  <c r="G175"/>
  <c r="E175"/>
  <c r="D175"/>
  <c r="C175"/>
  <c r="AK174"/>
  <c r="AG174"/>
  <c r="L174" s="1"/>
  <c r="AD174"/>
  <c r="AA174"/>
  <c r="X174"/>
  <c r="U174"/>
  <c r="R174"/>
  <c r="O174"/>
  <c r="N174"/>
  <c r="M174"/>
  <c r="I174"/>
  <c r="G174"/>
  <c r="E174"/>
  <c r="D174"/>
  <c r="C174"/>
  <c r="AK173"/>
  <c r="AD173"/>
  <c r="AA173"/>
  <c r="X173"/>
  <c r="U173"/>
  <c r="R173"/>
  <c r="O173"/>
  <c r="N173"/>
  <c r="M173"/>
  <c r="I173"/>
  <c r="G173"/>
  <c r="E173"/>
  <c r="D173"/>
  <c r="C173"/>
  <c r="AK172"/>
  <c r="AG172"/>
  <c r="L172" s="1"/>
  <c r="AD172"/>
  <c r="AA172"/>
  <c r="X172"/>
  <c r="U172"/>
  <c r="R172"/>
  <c r="O172"/>
  <c r="N172"/>
  <c r="M172"/>
  <c r="I172"/>
  <c r="G172"/>
  <c r="E172"/>
  <c r="D172"/>
  <c r="C172"/>
  <c r="AK171"/>
  <c r="AD171"/>
  <c r="AA171"/>
  <c r="X171"/>
  <c r="U171"/>
  <c r="R171"/>
  <c r="O171"/>
  <c r="N171"/>
  <c r="M171"/>
  <c r="I171"/>
  <c r="G171"/>
  <c r="E171"/>
  <c r="D171"/>
  <c r="C171"/>
  <c r="AK170"/>
  <c r="AG170"/>
  <c r="L170" s="1"/>
  <c r="AD170"/>
  <c r="AA170"/>
  <c r="X170"/>
  <c r="U170"/>
  <c r="R170"/>
  <c r="O170"/>
  <c r="N170"/>
  <c r="M170"/>
  <c r="I170"/>
  <c r="G170"/>
  <c r="E170"/>
  <c r="D170"/>
  <c r="C170"/>
  <c r="AK169"/>
  <c r="AG169"/>
  <c r="L169" s="1"/>
  <c r="AD169"/>
  <c r="AA169"/>
  <c r="X169"/>
  <c r="U169"/>
  <c r="R169"/>
  <c r="O169"/>
  <c r="N169"/>
  <c r="M169"/>
  <c r="I169"/>
  <c r="G169"/>
  <c r="E169"/>
  <c r="D169"/>
  <c r="C169"/>
  <c r="AK168"/>
  <c r="AG168"/>
  <c r="L168" s="1"/>
  <c r="AD168"/>
  <c r="AA168"/>
  <c r="X168"/>
  <c r="U168"/>
  <c r="R168"/>
  <c r="O168"/>
  <c r="N168"/>
  <c r="M168"/>
  <c r="I168"/>
  <c r="G168"/>
  <c r="E168"/>
  <c r="D168"/>
  <c r="C168"/>
  <c r="AK167"/>
  <c r="AG167"/>
  <c r="L167" s="1"/>
  <c r="AD167"/>
  <c r="AA167"/>
  <c r="X167"/>
  <c r="U167"/>
  <c r="R167"/>
  <c r="O167"/>
  <c r="N167"/>
  <c r="M167"/>
  <c r="I167"/>
  <c r="G167"/>
  <c r="E167"/>
  <c r="D167"/>
  <c r="C167"/>
  <c r="AK166"/>
  <c r="AG166"/>
  <c r="L166" s="1"/>
  <c r="AD166"/>
  <c r="AA166"/>
  <c r="X166"/>
  <c r="U166"/>
  <c r="R166"/>
  <c r="O166"/>
  <c r="N166"/>
  <c r="M166"/>
  <c r="I166"/>
  <c r="G166"/>
  <c r="E166"/>
  <c r="D166"/>
  <c r="C166"/>
  <c r="AK165"/>
  <c r="AG165"/>
  <c r="L165" s="1"/>
  <c r="AD165"/>
  <c r="AA165"/>
  <c r="X165"/>
  <c r="U165"/>
  <c r="R165"/>
  <c r="O165"/>
  <c r="N165"/>
  <c r="M165"/>
  <c r="I165"/>
  <c r="G165"/>
  <c r="E165"/>
  <c r="D165"/>
  <c r="C165"/>
  <c r="AK164"/>
  <c r="AG164"/>
  <c r="L164" s="1"/>
  <c r="AD164"/>
  <c r="AA164"/>
  <c r="X164"/>
  <c r="U164"/>
  <c r="R164"/>
  <c r="O164"/>
  <c r="N164"/>
  <c r="M164"/>
  <c r="I164"/>
  <c r="G164"/>
  <c r="E164"/>
  <c r="D164"/>
  <c r="C164"/>
  <c r="AK163"/>
  <c r="AG163"/>
  <c r="L163" s="1"/>
  <c r="AD163"/>
  <c r="AA163"/>
  <c r="X163"/>
  <c r="U163"/>
  <c r="R163"/>
  <c r="O163"/>
  <c r="N163"/>
  <c r="M163"/>
  <c r="I163"/>
  <c r="G163"/>
  <c r="E163"/>
  <c r="D163"/>
  <c r="C163"/>
  <c r="AK162"/>
  <c r="AG162"/>
  <c r="L162" s="1"/>
  <c r="AD162"/>
  <c r="AA162"/>
  <c r="X162"/>
  <c r="U162"/>
  <c r="R162"/>
  <c r="O162"/>
  <c r="N162"/>
  <c r="M162"/>
  <c r="I162"/>
  <c r="G162"/>
  <c r="E162"/>
  <c r="D162"/>
  <c r="C162"/>
  <c r="AK161"/>
  <c r="AG161"/>
  <c r="L161" s="1"/>
  <c r="AD161"/>
  <c r="AA161"/>
  <c r="X161"/>
  <c r="U161"/>
  <c r="R161"/>
  <c r="O161"/>
  <c r="N161"/>
  <c r="M161"/>
  <c r="I161"/>
  <c r="G161"/>
  <c r="E161"/>
  <c r="D161"/>
  <c r="C161"/>
  <c r="AK160"/>
  <c r="AG160"/>
  <c r="L160" s="1"/>
  <c r="AD160"/>
  <c r="AA160"/>
  <c r="X160"/>
  <c r="U160"/>
  <c r="R160"/>
  <c r="O160"/>
  <c r="N160"/>
  <c r="M160"/>
  <c r="I160"/>
  <c r="G160"/>
  <c r="E160"/>
  <c r="D160"/>
  <c r="C160"/>
  <c r="AK159"/>
  <c r="AG159"/>
  <c r="L159" s="1"/>
  <c r="AD159"/>
  <c r="AA159"/>
  <c r="X159"/>
  <c r="U159"/>
  <c r="R159"/>
  <c r="O159"/>
  <c r="N159"/>
  <c r="M159"/>
  <c r="I159"/>
  <c r="G159"/>
  <c r="E159"/>
  <c r="D159"/>
  <c r="C159"/>
  <c r="AK158"/>
  <c r="AD158"/>
  <c r="AA158"/>
  <c r="X158"/>
  <c r="U158"/>
  <c r="R158"/>
  <c r="O158"/>
  <c r="N158"/>
  <c r="M158"/>
  <c r="I158"/>
  <c r="G158"/>
  <c r="E158"/>
  <c r="D158"/>
  <c r="C158"/>
  <c r="AK157"/>
  <c r="AD157"/>
  <c r="AA157"/>
  <c r="X157"/>
  <c r="U157"/>
  <c r="R157"/>
  <c r="O157"/>
  <c r="N157"/>
  <c r="M157"/>
  <c r="I157"/>
  <c r="G157"/>
  <c r="E157"/>
  <c r="D157"/>
  <c r="C157"/>
  <c r="AK156"/>
  <c r="AG156"/>
  <c r="L156" s="1"/>
  <c r="AD156"/>
  <c r="AA156"/>
  <c r="X156"/>
  <c r="U156"/>
  <c r="R156"/>
  <c r="O156"/>
  <c r="N156"/>
  <c r="M156"/>
  <c r="I156"/>
  <c r="G156"/>
  <c r="E156"/>
  <c r="D156"/>
  <c r="C156"/>
  <c r="AK155"/>
  <c r="AG155"/>
  <c r="L155" s="1"/>
  <c r="AD155"/>
  <c r="AA155"/>
  <c r="X155"/>
  <c r="U155"/>
  <c r="R155"/>
  <c r="O155"/>
  <c r="N155"/>
  <c r="M155"/>
  <c r="I155"/>
  <c r="G155"/>
  <c r="E155"/>
  <c r="D155"/>
  <c r="C155"/>
  <c r="AK154"/>
  <c r="AG154"/>
  <c r="L154" s="1"/>
  <c r="AD154"/>
  <c r="AA154"/>
  <c r="X154"/>
  <c r="U154"/>
  <c r="R154"/>
  <c r="O154"/>
  <c r="N154"/>
  <c r="M154"/>
  <c r="I154"/>
  <c r="G154"/>
  <c r="E154"/>
  <c r="D154"/>
  <c r="C154"/>
  <c r="AK153"/>
  <c r="AG153"/>
  <c r="L153" s="1"/>
  <c r="AD153"/>
  <c r="AA153"/>
  <c r="X153"/>
  <c r="U153"/>
  <c r="R153"/>
  <c r="O153"/>
  <c r="N153"/>
  <c r="M153"/>
  <c r="I153"/>
  <c r="G153"/>
  <c r="E153"/>
  <c r="D153"/>
  <c r="C153"/>
  <c r="AK152"/>
  <c r="AG152"/>
  <c r="L152" s="1"/>
  <c r="AD152"/>
  <c r="AA152"/>
  <c r="X152"/>
  <c r="U152"/>
  <c r="R152"/>
  <c r="O152"/>
  <c r="N152"/>
  <c r="M152"/>
  <c r="I152"/>
  <c r="G152"/>
  <c r="E152"/>
  <c r="D152"/>
  <c r="C152"/>
  <c r="AK151"/>
  <c r="AG151"/>
  <c r="L151" s="1"/>
  <c r="AD151"/>
  <c r="AA151"/>
  <c r="X151"/>
  <c r="U151"/>
  <c r="R151"/>
  <c r="O151"/>
  <c r="N151"/>
  <c r="M151"/>
  <c r="I151"/>
  <c r="G151"/>
  <c r="E151"/>
  <c r="D151"/>
  <c r="C151"/>
  <c r="AK150"/>
  <c r="AG150"/>
  <c r="L150" s="1"/>
  <c r="AD150"/>
  <c r="AA150"/>
  <c r="X150"/>
  <c r="U150"/>
  <c r="R150"/>
  <c r="O150"/>
  <c r="N150"/>
  <c r="M150"/>
  <c r="I150"/>
  <c r="G150"/>
  <c r="E150"/>
  <c r="D150"/>
  <c r="C150"/>
  <c r="AK149"/>
  <c r="AG149"/>
  <c r="L149" s="1"/>
  <c r="AD149"/>
  <c r="AA149"/>
  <c r="X149"/>
  <c r="U149"/>
  <c r="R149"/>
  <c r="O149"/>
  <c r="N149"/>
  <c r="M149"/>
  <c r="I149"/>
  <c r="G149"/>
  <c r="E149"/>
  <c r="D149"/>
  <c r="C149"/>
  <c r="AK148"/>
  <c r="AG148"/>
  <c r="L148" s="1"/>
  <c r="AD148"/>
  <c r="AA148"/>
  <c r="X148"/>
  <c r="U148"/>
  <c r="R148"/>
  <c r="O148"/>
  <c r="N148"/>
  <c r="M148"/>
  <c r="I148"/>
  <c r="G148"/>
  <c r="E148"/>
  <c r="D148"/>
  <c r="C148"/>
  <c r="AK147"/>
  <c r="AG147"/>
  <c r="L147" s="1"/>
  <c r="AD147"/>
  <c r="AA147"/>
  <c r="X147"/>
  <c r="U147"/>
  <c r="R147"/>
  <c r="O147"/>
  <c r="N147"/>
  <c r="M147"/>
  <c r="I147"/>
  <c r="G147"/>
  <c r="E147"/>
  <c r="D147"/>
  <c r="C147"/>
  <c r="AK146"/>
  <c r="AG146"/>
  <c r="L146" s="1"/>
  <c r="AD146"/>
  <c r="AA146"/>
  <c r="X146"/>
  <c r="U146"/>
  <c r="R146"/>
  <c r="O146"/>
  <c r="N146"/>
  <c r="M146"/>
  <c r="I146"/>
  <c r="G146"/>
  <c r="E146"/>
  <c r="D146"/>
  <c r="C146"/>
  <c r="AK145"/>
  <c r="AG145"/>
  <c r="L145" s="1"/>
  <c r="AD145"/>
  <c r="AA145"/>
  <c r="X145"/>
  <c r="U145"/>
  <c r="R145"/>
  <c r="O145"/>
  <c r="N145"/>
  <c r="M145"/>
  <c r="I145"/>
  <c r="G145"/>
  <c r="E145"/>
  <c r="D145"/>
  <c r="C145"/>
  <c r="AK144"/>
  <c r="AG144"/>
  <c r="L144" s="1"/>
  <c r="AD144"/>
  <c r="AA144"/>
  <c r="X144"/>
  <c r="U144"/>
  <c r="R144"/>
  <c r="O144"/>
  <c r="N144"/>
  <c r="M144"/>
  <c r="I144"/>
  <c r="G144"/>
  <c r="E144"/>
  <c r="D144"/>
  <c r="C144"/>
  <c r="AK142"/>
  <c r="AG142"/>
  <c r="L142" s="1"/>
  <c r="AD142"/>
  <c r="AA142"/>
  <c r="X142"/>
  <c r="U142"/>
  <c r="R142"/>
  <c r="O142"/>
  <c r="N142"/>
  <c r="M142"/>
  <c r="I142"/>
  <c r="G142"/>
  <c r="E142"/>
  <c r="D142"/>
  <c r="D143"/>
  <c r="C142"/>
  <c r="AK143"/>
  <c r="AG143"/>
  <c r="L143" s="1"/>
  <c r="AD143"/>
  <c r="AA143"/>
  <c r="X143"/>
  <c r="U143"/>
  <c r="R143"/>
  <c r="O143"/>
  <c r="N143"/>
  <c r="M143"/>
  <c r="I143"/>
  <c r="G143"/>
  <c r="E143"/>
  <c r="C143"/>
  <c r="AK130"/>
  <c r="AG130"/>
  <c r="L130" s="1"/>
  <c r="AD130"/>
  <c r="AA130"/>
  <c r="X130"/>
  <c r="U130"/>
  <c r="R130"/>
  <c r="O130"/>
  <c r="N130"/>
  <c r="I130"/>
  <c r="G130"/>
  <c r="E130"/>
  <c r="D130"/>
  <c r="C130"/>
  <c r="AK129"/>
  <c r="AD129"/>
  <c r="AA129"/>
  <c r="X129"/>
  <c r="U129"/>
  <c r="R129"/>
  <c r="O129"/>
  <c r="N129"/>
  <c r="I129"/>
  <c r="G129"/>
  <c r="E129"/>
  <c r="D129"/>
  <c r="C129"/>
  <c r="AK128"/>
  <c r="AG128"/>
  <c r="L128" s="1"/>
  <c r="AD128"/>
  <c r="AA128"/>
  <c r="X128"/>
  <c r="U128"/>
  <c r="R128"/>
  <c r="O128"/>
  <c r="N128"/>
  <c r="I128"/>
  <c r="G128"/>
  <c r="E128"/>
  <c r="D128"/>
  <c r="C128"/>
  <c r="AK127"/>
  <c r="AG127"/>
  <c r="L127" s="1"/>
  <c r="AD127"/>
  <c r="AA127"/>
  <c r="X127"/>
  <c r="U127"/>
  <c r="R127"/>
  <c r="O127"/>
  <c r="N127"/>
  <c r="I127"/>
  <c r="G127"/>
  <c r="E127"/>
  <c r="D127"/>
  <c r="C127"/>
  <c r="AK126"/>
  <c r="AG126"/>
  <c r="L126" s="1"/>
  <c r="AD126"/>
  <c r="AA126"/>
  <c r="X126"/>
  <c r="U126"/>
  <c r="R126"/>
  <c r="O126"/>
  <c r="N126"/>
  <c r="I126"/>
  <c r="G126"/>
  <c r="E126"/>
  <c r="D126"/>
  <c r="C126"/>
  <c r="AK125"/>
  <c r="AG125"/>
  <c r="L125" s="1"/>
  <c r="AD125"/>
  <c r="AA125"/>
  <c r="X125"/>
  <c r="U125"/>
  <c r="R125"/>
  <c r="O125"/>
  <c r="N125"/>
  <c r="I125"/>
  <c r="G125"/>
  <c r="E125"/>
  <c r="D125"/>
  <c r="C125"/>
  <c r="AK124"/>
  <c r="AG124"/>
  <c r="L124" s="1"/>
  <c r="AD124"/>
  <c r="AA124"/>
  <c r="X124"/>
  <c r="U124"/>
  <c r="R124"/>
  <c r="O124"/>
  <c r="N124"/>
  <c r="I124"/>
  <c r="G124"/>
  <c r="E124"/>
  <c r="D124"/>
  <c r="C124"/>
  <c r="AK123"/>
  <c r="AD123"/>
  <c r="AA123"/>
  <c r="X123"/>
  <c r="U123"/>
  <c r="R123"/>
  <c r="O123"/>
  <c r="N123"/>
  <c r="I123"/>
  <c r="G123"/>
  <c r="E123"/>
  <c r="D123"/>
  <c r="C123"/>
  <c r="AK122"/>
  <c r="AG122"/>
  <c r="L122" s="1"/>
  <c r="AD122"/>
  <c r="AA122"/>
  <c r="X122"/>
  <c r="U122"/>
  <c r="R122"/>
  <c r="O122"/>
  <c r="N122"/>
  <c r="I122"/>
  <c r="G122"/>
  <c r="E122"/>
  <c r="D122"/>
  <c r="C122"/>
  <c r="AK121"/>
  <c r="AG121"/>
  <c r="L121" s="1"/>
  <c r="AD121"/>
  <c r="AA121"/>
  <c r="X121"/>
  <c r="U121"/>
  <c r="R121"/>
  <c r="O121"/>
  <c r="N121"/>
  <c r="I121"/>
  <c r="G121"/>
  <c r="E121"/>
  <c r="D121"/>
  <c r="C121"/>
  <c r="AK120"/>
  <c r="AD120"/>
  <c r="AA120"/>
  <c r="X120"/>
  <c r="U120"/>
  <c r="R120"/>
  <c r="O120"/>
  <c r="N120"/>
  <c r="I120"/>
  <c r="G120"/>
  <c r="E120"/>
  <c r="D120"/>
  <c r="C120"/>
  <c r="AK119"/>
  <c r="AD119"/>
  <c r="AA119"/>
  <c r="X119"/>
  <c r="U119"/>
  <c r="R119"/>
  <c r="O119"/>
  <c r="N119"/>
  <c r="I119"/>
  <c r="G119"/>
  <c r="E119"/>
  <c r="D119"/>
  <c r="C119"/>
  <c r="AK118"/>
  <c r="AG118"/>
  <c r="L118" s="1"/>
  <c r="AD118"/>
  <c r="AA118"/>
  <c r="X118"/>
  <c r="U118"/>
  <c r="R118"/>
  <c r="O118"/>
  <c r="N118"/>
  <c r="I118"/>
  <c r="G118"/>
  <c r="E118"/>
  <c r="D118"/>
  <c r="C118"/>
  <c r="AK117"/>
  <c r="AG117"/>
  <c r="L117" s="1"/>
  <c r="AD117"/>
  <c r="AA117"/>
  <c r="X117"/>
  <c r="U117"/>
  <c r="R117"/>
  <c r="O117"/>
  <c r="N117"/>
  <c r="I117"/>
  <c r="G117"/>
  <c r="E117"/>
  <c r="D117"/>
  <c r="C117"/>
  <c r="AK116"/>
  <c r="AG116"/>
  <c r="L116" s="1"/>
  <c r="AD116"/>
  <c r="AA116"/>
  <c r="X116"/>
  <c r="U116"/>
  <c r="R116"/>
  <c r="O116"/>
  <c r="N116"/>
  <c r="I116"/>
  <c r="G116"/>
  <c r="E116"/>
  <c r="D116"/>
  <c r="C116"/>
  <c r="AK115"/>
  <c r="AG115"/>
  <c r="L115" s="1"/>
  <c r="AD115"/>
  <c r="AA115"/>
  <c r="X115"/>
  <c r="U115"/>
  <c r="R115"/>
  <c r="O115"/>
  <c r="N115"/>
  <c r="I115"/>
  <c r="G115"/>
  <c r="E115"/>
  <c r="D115"/>
  <c r="C115"/>
  <c r="AK114"/>
  <c r="AG114"/>
  <c r="L114" s="1"/>
  <c r="AD114"/>
  <c r="AA114"/>
  <c r="X114"/>
  <c r="U114"/>
  <c r="R114"/>
  <c r="O114"/>
  <c r="N114"/>
  <c r="I114"/>
  <c r="G114"/>
  <c r="E114"/>
  <c r="D114"/>
  <c r="C114"/>
  <c r="AK113"/>
  <c r="AD113"/>
  <c r="AA113"/>
  <c r="X113"/>
  <c r="U113"/>
  <c r="R113"/>
  <c r="O113"/>
  <c r="N113"/>
  <c r="I113"/>
  <c r="G113"/>
  <c r="E113"/>
  <c r="D113"/>
  <c r="C113"/>
  <c r="AK112"/>
  <c r="AG112"/>
  <c r="L112" s="1"/>
  <c r="AD112"/>
  <c r="AA112"/>
  <c r="X112"/>
  <c r="U112"/>
  <c r="R112"/>
  <c r="O112"/>
  <c r="N112"/>
  <c r="I112"/>
  <c r="G112"/>
  <c r="E112"/>
  <c r="D112"/>
  <c r="C112"/>
  <c r="AK111"/>
  <c r="AD111"/>
  <c r="AA111"/>
  <c r="X111"/>
  <c r="U111"/>
  <c r="R111"/>
  <c r="O111"/>
  <c r="N111"/>
  <c r="I111"/>
  <c r="G111"/>
  <c r="E111"/>
  <c r="D111"/>
  <c r="C111"/>
  <c r="AK110"/>
  <c r="AG110"/>
  <c r="L110" s="1"/>
  <c r="AD110"/>
  <c r="AA110"/>
  <c r="X110"/>
  <c r="U110"/>
  <c r="R110"/>
  <c r="O110"/>
  <c r="N110"/>
  <c r="I110"/>
  <c r="G110"/>
  <c r="E110"/>
  <c r="D110"/>
  <c r="C110"/>
  <c r="AK109"/>
  <c r="AG109"/>
  <c r="L109" s="1"/>
  <c r="AD109"/>
  <c r="AA109"/>
  <c r="X109"/>
  <c r="U109"/>
  <c r="R109"/>
  <c r="O109"/>
  <c r="N109"/>
  <c r="I109"/>
  <c r="G109"/>
  <c r="E109"/>
  <c r="D109"/>
  <c r="C109"/>
  <c r="AK108"/>
  <c r="AG108"/>
  <c r="L108" s="1"/>
  <c r="AD108"/>
  <c r="AA108"/>
  <c r="X108"/>
  <c r="U108"/>
  <c r="R108"/>
  <c r="O108"/>
  <c r="N108"/>
  <c r="I108"/>
  <c r="G108"/>
  <c r="E108"/>
  <c r="D108"/>
  <c r="C108"/>
  <c r="AK107"/>
  <c r="AG107"/>
  <c r="L107" s="1"/>
  <c r="AD107"/>
  <c r="AA107"/>
  <c r="X107"/>
  <c r="U107"/>
  <c r="R107"/>
  <c r="O107"/>
  <c r="N107"/>
  <c r="I107"/>
  <c r="G107"/>
  <c r="E107"/>
  <c r="D107"/>
  <c r="C107"/>
  <c r="AK106"/>
  <c r="AD106"/>
  <c r="AA106"/>
  <c r="X106"/>
  <c r="U106"/>
  <c r="R106"/>
  <c r="O106"/>
  <c r="N106"/>
  <c r="I106"/>
  <c r="G106"/>
  <c r="E106"/>
  <c r="D106"/>
  <c r="C106"/>
  <c r="AK105"/>
  <c r="AD105"/>
  <c r="AA105"/>
  <c r="X105"/>
  <c r="U105"/>
  <c r="R105"/>
  <c r="O105"/>
  <c r="N105"/>
  <c r="I105"/>
  <c r="G105"/>
  <c r="E105"/>
  <c r="D105"/>
  <c r="C105"/>
  <c r="AK104"/>
  <c r="AG104"/>
  <c r="L104" s="1"/>
  <c r="AD104"/>
  <c r="AA104"/>
  <c r="X104"/>
  <c r="U104"/>
  <c r="R104"/>
  <c r="O104"/>
  <c r="N104"/>
  <c r="I104"/>
  <c r="G104"/>
  <c r="E104"/>
  <c r="D104"/>
  <c r="C104"/>
  <c r="AK103"/>
  <c r="AG103"/>
  <c r="L103" s="1"/>
  <c r="AD103"/>
  <c r="AA103"/>
  <c r="X103"/>
  <c r="U103"/>
  <c r="R103"/>
  <c r="O103"/>
  <c r="N103"/>
  <c r="I103"/>
  <c r="G103"/>
  <c r="E103"/>
  <c r="D103"/>
  <c r="C103"/>
  <c r="AK102"/>
  <c r="AG102"/>
  <c r="L102" s="1"/>
  <c r="AD102"/>
  <c r="AA102"/>
  <c r="X102"/>
  <c r="U102"/>
  <c r="R102"/>
  <c r="O102"/>
  <c r="N102"/>
  <c r="I102"/>
  <c r="G102"/>
  <c r="E102"/>
  <c r="D102"/>
  <c r="C102"/>
  <c r="AK101"/>
  <c r="AG101"/>
  <c r="L101" s="1"/>
  <c r="AD101"/>
  <c r="AA101"/>
  <c r="X101"/>
  <c r="U101"/>
  <c r="R101"/>
  <c r="O101"/>
  <c r="N101"/>
  <c r="I101"/>
  <c r="G101"/>
  <c r="E101"/>
  <c r="D101"/>
  <c r="C101"/>
  <c r="AK100"/>
  <c r="AG100"/>
  <c r="L100" s="1"/>
  <c r="AD100"/>
  <c r="AA100"/>
  <c r="X100"/>
  <c r="U100"/>
  <c r="R100"/>
  <c r="O100"/>
  <c r="N100"/>
  <c r="I100"/>
  <c r="G100"/>
  <c r="E100"/>
  <c r="D100"/>
  <c r="C100"/>
  <c r="AK99"/>
  <c r="AD99"/>
  <c r="AA99"/>
  <c r="X99"/>
  <c r="U99"/>
  <c r="R99"/>
  <c r="O99"/>
  <c r="N99"/>
  <c r="I99"/>
  <c r="G99"/>
  <c r="E99"/>
  <c r="D99"/>
  <c r="C99"/>
  <c r="AK98"/>
  <c r="AG98"/>
  <c r="L98" s="1"/>
  <c r="AD98"/>
  <c r="AA98"/>
  <c r="X98"/>
  <c r="U98"/>
  <c r="R98"/>
  <c r="O98"/>
  <c r="N98"/>
  <c r="I98"/>
  <c r="G98"/>
  <c r="E98"/>
  <c r="D98"/>
  <c r="C98"/>
  <c r="AK96"/>
  <c r="AD96"/>
  <c r="AA96"/>
  <c r="X96"/>
  <c r="U96"/>
  <c r="R96"/>
  <c r="O96"/>
  <c r="N96"/>
  <c r="M96"/>
  <c r="I96"/>
  <c r="G96"/>
  <c r="E96"/>
  <c r="D96"/>
  <c r="C96"/>
  <c r="C97"/>
  <c r="AK97"/>
  <c r="AD97"/>
  <c r="AA97"/>
  <c r="X97"/>
  <c r="U97"/>
  <c r="R97"/>
  <c r="O97"/>
  <c r="N97"/>
  <c r="I97"/>
  <c r="G97"/>
  <c r="E97"/>
  <c r="D97"/>
  <c r="A48"/>
  <c r="A94" s="1"/>
  <c r="A140" s="1"/>
  <c r="A186" s="1"/>
  <c r="A232" s="1"/>
  <c r="A278" s="1"/>
  <c r="N84"/>
  <c r="M84"/>
  <c r="I84"/>
  <c r="G84"/>
  <c r="E84"/>
  <c r="D84"/>
  <c r="C84"/>
  <c r="N83"/>
  <c r="M83"/>
  <c r="I83"/>
  <c r="G83"/>
  <c r="E83"/>
  <c r="D83"/>
  <c r="C83"/>
  <c r="N82"/>
  <c r="M82"/>
  <c r="I82"/>
  <c r="G82"/>
  <c r="E82"/>
  <c r="D82"/>
  <c r="C82"/>
  <c r="N81"/>
  <c r="M81"/>
  <c r="I81"/>
  <c r="G81"/>
  <c r="E81"/>
  <c r="D81"/>
  <c r="C81"/>
  <c r="N80"/>
  <c r="M80"/>
  <c r="I80"/>
  <c r="G80"/>
  <c r="E80"/>
  <c r="D80"/>
  <c r="C80"/>
  <c r="N79"/>
  <c r="M79"/>
  <c r="I79"/>
  <c r="G79"/>
  <c r="E79"/>
  <c r="D79"/>
  <c r="C79"/>
  <c r="N78"/>
  <c r="M78"/>
  <c r="I78"/>
  <c r="G78"/>
  <c r="E78"/>
  <c r="D78"/>
  <c r="C78"/>
  <c r="N77"/>
  <c r="M77"/>
  <c r="I77"/>
  <c r="G77"/>
  <c r="E77"/>
  <c r="D77"/>
  <c r="C77"/>
  <c r="N76"/>
  <c r="M76"/>
  <c r="I76"/>
  <c r="G76"/>
  <c r="E76"/>
  <c r="D76"/>
  <c r="C76"/>
  <c r="N75"/>
  <c r="M75"/>
  <c r="I75"/>
  <c r="G75"/>
  <c r="E75"/>
  <c r="D75"/>
  <c r="C75"/>
  <c r="N74"/>
  <c r="M74"/>
  <c r="I74"/>
  <c r="G74"/>
  <c r="E74"/>
  <c r="D74"/>
  <c r="C74"/>
  <c r="N73"/>
  <c r="M73"/>
  <c r="I73"/>
  <c r="G73"/>
  <c r="E73"/>
  <c r="D73"/>
  <c r="C73"/>
  <c r="N72"/>
  <c r="M72"/>
  <c r="I72"/>
  <c r="G72"/>
  <c r="E72"/>
  <c r="D72"/>
  <c r="C72"/>
  <c r="N71"/>
  <c r="M71"/>
  <c r="I71"/>
  <c r="G71"/>
  <c r="E71"/>
  <c r="D71"/>
  <c r="C71"/>
  <c r="N70"/>
  <c r="M70"/>
  <c r="I70"/>
  <c r="G70"/>
  <c r="E70"/>
  <c r="D70"/>
  <c r="C70"/>
  <c r="N69"/>
  <c r="M69"/>
  <c r="I69"/>
  <c r="G69"/>
  <c r="E69"/>
  <c r="D69"/>
  <c r="C69"/>
  <c r="N68"/>
  <c r="M68"/>
  <c r="I68"/>
  <c r="G68"/>
  <c r="E68"/>
  <c r="D68"/>
  <c r="C68"/>
  <c r="N67"/>
  <c r="M67"/>
  <c r="I67"/>
  <c r="G67"/>
  <c r="E67"/>
  <c r="D67"/>
  <c r="C67"/>
  <c r="N66"/>
  <c r="M66"/>
  <c r="I66"/>
  <c r="G66"/>
  <c r="E66"/>
  <c r="D66"/>
  <c r="C66"/>
  <c r="N65"/>
  <c r="M65"/>
  <c r="I65"/>
  <c r="G65"/>
  <c r="E65"/>
  <c r="D65"/>
  <c r="C65"/>
  <c r="N64"/>
  <c r="M64"/>
  <c r="I64"/>
  <c r="G64"/>
  <c r="E64"/>
  <c r="D64"/>
  <c r="C64"/>
  <c r="N63"/>
  <c r="M63"/>
  <c r="I63"/>
  <c r="G63"/>
  <c r="E63"/>
  <c r="D63"/>
  <c r="C63"/>
  <c r="N62"/>
  <c r="M62"/>
  <c r="I62"/>
  <c r="G62"/>
  <c r="E62"/>
  <c r="D62"/>
  <c r="C62"/>
  <c r="N61"/>
  <c r="M61"/>
  <c r="I61"/>
  <c r="G61"/>
  <c r="E61"/>
  <c r="D61"/>
  <c r="C61"/>
  <c r="N60"/>
  <c r="M60"/>
  <c r="I60"/>
  <c r="G60"/>
  <c r="E60"/>
  <c r="D60"/>
  <c r="C60"/>
  <c r="N59"/>
  <c r="M59"/>
  <c r="I59"/>
  <c r="G59"/>
  <c r="E59"/>
  <c r="D59"/>
  <c r="C59"/>
  <c r="N58"/>
  <c r="M58"/>
  <c r="I58"/>
  <c r="G58"/>
  <c r="E58"/>
  <c r="D58"/>
  <c r="C58"/>
  <c r="N57"/>
  <c r="M57"/>
  <c r="I57"/>
  <c r="G57"/>
  <c r="E57"/>
  <c r="D57"/>
  <c r="C57"/>
  <c r="C50"/>
  <c r="C51"/>
  <c r="C52"/>
  <c r="C53"/>
  <c r="C54"/>
  <c r="C55"/>
  <c r="C56"/>
  <c r="N56"/>
  <c r="M56"/>
  <c r="I56"/>
  <c r="G56"/>
  <c r="E56"/>
  <c r="D56"/>
  <c r="N55"/>
  <c r="M55"/>
  <c r="I55"/>
  <c r="G55"/>
  <c r="E55"/>
  <c r="D55"/>
  <c r="N54"/>
  <c r="M54"/>
  <c r="I54"/>
  <c r="G54"/>
  <c r="E54"/>
  <c r="D54"/>
  <c r="N53"/>
  <c r="M53"/>
  <c r="I53"/>
  <c r="G53"/>
  <c r="E53"/>
  <c r="D53"/>
  <c r="N52"/>
  <c r="M52"/>
  <c r="I52"/>
  <c r="G52"/>
  <c r="E52"/>
  <c r="D52"/>
  <c r="N50"/>
  <c r="M50"/>
  <c r="I50"/>
  <c r="G50"/>
  <c r="E50"/>
  <c r="D50"/>
  <c r="N51"/>
  <c r="M51"/>
  <c r="I51"/>
  <c r="G51"/>
  <c r="E51"/>
  <c r="D51"/>
  <c r="I38"/>
  <c r="G38"/>
  <c r="E38"/>
  <c r="I37"/>
  <c r="G37"/>
  <c r="E37"/>
  <c r="I36"/>
  <c r="G36"/>
  <c r="E36"/>
  <c r="I35"/>
  <c r="G35"/>
  <c r="E35"/>
  <c r="I34"/>
  <c r="G34"/>
  <c r="E34"/>
  <c r="I33"/>
  <c r="G33"/>
  <c r="E33"/>
  <c r="I32"/>
  <c r="G32"/>
  <c r="E32"/>
  <c r="I31"/>
  <c r="G31"/>
  <c r="E31"/>
  <c r="I30"/>
  <c r="G30"/>
  <c r="E30"/>
  <c r="I29"/>
  <c r="G29"/>
  <c r="E29"/>
  <c r="I28"/>
  <c r="G28"/>
  <c r="E28"/>
  <c r="I27"/>
  <c r="G27"/>
  <c r="E27"/>
  <c r="I26"/>
  <c r="G26"/>
  <c r="E26"/>
  <c r="I25"/>
  <c r="G25"/>
  <c r="E25"/>
  <c r="I24"/>
  <c r="G24"/>
  <c r="E24"/>
  <c r="I23"/>
  <c r="G23"/>
  <c r="E23"/>
  <c r="I22"/>
  <c r="G22"/>
  <c r="E22"/>
  <c r="I21"/>
  <c r="G21"/>
  <c r="E21"/>
  <c r="I20"/>
  <c r="G20"/>
  <c r="E20"/>
  <c r="I19"/>
  <c r="G19"/>
  <c r="E19"/>
  <c r="I18"/>
  <c r="G18"/>
  <c r="E18"/>
  <c r="I17"/>
  <c r="G17"/>
  <c r="E17"/>
  <c r="I16"/>
  <c r="G16"/>
  <c r="E16"/>
  <c r="I15"/>
  <c r="G15"/>
  <c r="E15"/>
  <c r="I14"/>
  <c r="G14"/>
  <c r="E14"/>
  <c r="I13"/>
  <c r="G13"/>
  <c r="E13"/>
  <c r="I12"/>
  <c r="G12"/>
  <c r="E12"/>
  <c r="I11"/>
  <c r="G11"/>
  <c r="E11"/>
  <c r="I10"/>
  <c r="G10"/>
  <c r="E10"/>
  <c r="I9"/>
  <c r="G9"/>
  <c r="E9"/>
  <c r="I8"/>
  <c r="G8"/>
  <c r="E8"/>
  <c r="I7"/>
  <c r="G7"/>
  <c r="E7"/>
  <c r="I6"/>
  <c r="G6"/>
  <c r="E6"/>
  <c r="I5"/>
  <c r="G5"/>
  <c r="E5"/>
  <c r="D6"/>
  <c r="C6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5"/>
  <c r="C5"/>
  <c r="N36"/>
  <c r="M36"/>
  <c r="N35"/>
  <c r="M35"/>
  <c r="N34"/>
  <c r="M34"/>
  <c r="N33"/>
  <c r="M33"/>
  <c r="N32"/>
  <c r="M32"/>
  <c r="N31"/>
  <c r="M31"/>
  <c r="N30"/>
  <c r="M30"/>
  <c r="N29"/>
  <c r="M29"/>
  <c r="N28"/>
  <c r="M28"/>
  <c r="N27"/>
  <c r="M27"/>
  <c r="N26"/>
  <c r="M26"/>
  <c r="N25"/>
  <c r="M25"/>
  <c r="N24"/>
  <c r="M24"/>
  <c r="N23"/>
  <c r="M23"/>
  <c r="N22"/>
  <c r="M22"/>
  <c r="N21"/>
  <c r="M21"/>
  <c r="N20"/>
  <c r="M20"/>
  <c r="N19"/>
  <c r="M19"/>
  <c r="N18"/>
  <c r="M18"/>
  <c r="N17"/>
  <c r="M17"/>
  <c r="N16"/>
  <c r="M16"/>
  <c r="N15"/>
  <c r="M15"/>
  <c r="N14"/>
  <c r="M14"/>
  <c r="N13"/>
  <c r="M13"/>
  <c r="N12"/>
  <c r="M12"/>
  <c r="N11"/>
  <c r="M11"/>
  <c r="N10"/>
  <c r="M10"/>
  <c r="N9"/>
  <c r="M9"/>
  <c r="N8"/>
  <c r="M8"/>
  <c r="N7"/>
  <c r="M7"/>
  <c r="N6"/>
  <c r="M6"/>
  <c r="N5"/>
  <c r="M5"/>
  <c r="N4"/>
  <c r="N38"/>
  <c r="M38"/>
  <c r="N37"/>
  <c r="M37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50"/>
  <c r="AD51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A51"/>
  <c r="X51"/>
  <c r="U51"/>
  <c r="R51"/>
  <c r="O51"/>
  <c r="AA38"/>
  <c r="X38"/>
  <c r="U38"/>
  <c r="R38"/>
  <c r="O38"/>
  <c r="AA37"/>
  <c r="X37"/>
  <c r="U37"/>
  <c r="R37"/>
  <c r="O37"/>
  <c r="AA36"/>
  <c r="X36"/>
  <c r="U36"/>
  <c r="R36"/>
  <c r="O36"/>
  <c r="AA35"/>
  <c r="X35"/>
  <c r="U35"/>
  <c r="R35"/>
  <c r="O35"/>
  <c r="AA34"/>
  <c r="X34"/>
  <c r="U34"/>
  <c r="R34"/>
  <c r="O34"/>
  <c r="AA33"/>
  <c r="X33"/>
  <c r="U33"/>
  <c r="R33"/>
  <c r="O33"/>
  <c r="AA32"/>
  <c r="X32"/>
  <c r="U32"/>
  <c r="R32"/>
  <c r="O32"/>
  <c r="AA31"/>
  <c r="X31"/>
  <c r="U31"/>
  <c r="R31"/>
  <c r="O31"/>
  <c r="AA30"/>
  <c r="X30"/>
  <c r="U30"/>
  <c r="R30"/>
  <c r="O30"/>
  <c r="AA29"/>
  <c r="X29"/>
  <c r="U29"/>
  <c r="R29"/>
  <c r="O29"/>
  <c r="AA28"/>
  <c r="X28"/>
  <c r="U28"/>
  <c r="R28"/>
  <c r="O28"/>
  <c r="AA27"/>
  <c r="X27"/>
  <c r="U27"/>
  <c r="R27"/>
  <c r="O27"/>
  <c r="AA26"/>
  <c r="X26"/>
  <c r="U26"/>
  <c r="R26"/>
  <c r="O26"/>
  <c r="AA25"/>
  <c r="X25"/>
  <c r="U25"/>
  <c r="R25"/>
  <c r="O25"/>
  <c r="AA24"/>
  <c r="X24"/>
  <c r="U24"/>
  <c r="R24"/>
  <c r="O24"/>
  <c r="AA23"/>
  <c r="X23"/>
  <c r="U23"/>
  <c r="R23"/>
  <c r="O23"/>
  <c r="AA22"/>
  <c r="X22"/>
  <c r="U22"/>
  <c r="R22"/>
  <c r="O22"/>
  <c r="AA21"/>
  <c r="X21"/>
  <c r="U21"/>
  <c r="R21"/>
  <c r="O21"/>
  <c r="AA20"/>
  <c r="X20"/>
  <c r="U20"/>
  <c r="R20"/>
  <c r="O20"/>
  <c r="AA19"/>
  <c r="X19"/>
  <c r="U19"/>
  <c r="R19"/>
  <c r="O19"/>
  <c r="AA18"/>
  <c r="X18"/>
  <c r="U18"/>
  <c r="R18"/>
  <c r="O18"/>
  <c r="AA17"/>
  <c r="X17"/>
  <c r="U17"/>
  <c r="R17"/>
  <c r="O17"/>
  <c r="AA16"/>
  <c r="X16"/>
  <c r="U16"/>
  <c r="R16"/>
  <c r="O16"/>
  <c r="AA15"/>
  <c r="X15"/>
  <c r="U15"/>
  <c r="R15"/>
  <c r="O15"/>
  <c r="AA14"/>
  <c r="X14"/>
  <c r="U14"/>
  <c r="R14"/>
  <c r="O14"/>
  <c r="AA13"/>
  <c r="X13"/>
  <c r="U13"/>
  <c r="R13"/>
  <c r="O13"/>
  <c r="AA12"/>
  <c r="X12"/>
  <c r="U12"/>
  <c r="R12"/>
  <c r="O12"/>
  <c r="AA11"/>
  <c r="X11"/>
  <c r="U11"/>
  <c r="R11"/>
  <c r="O11"/>
  <c r="AA10"/>
  <c r="X10"/>
  <c r="U10"/>
  <c r="R10"/>
  <c r="O10"/>
  <c r="AA9"/>
  <c r="X9"/>
  <c r="U9"/>
  <c r="R9"/>
  <c r="O9"/>
  <c r="AA8"/>
  <c r="X8"/>
  <c r="U8"/>
  <c r="R8"/>
  <c r="O8"/>
  <c r="AA7"/>
  <c r="X7"/>
  <c r="U7"/>
  <c r="R7"/>
  <c r="O7"/>
  <c r="AA6"/>
  <c r="X6"/>
  <c r="U6"/>
  <c r="R6"/>
  <c r="O6"/>
  <c r="AA5"/>
  <c r="X5"/>
  <c r="U5"/>
  <c r="R5"/>
  <c r="O5"/>
  <c r="AK84"/>
  <c r="AG84"/>
  <c r="L84" s="1"/>
  <c r="AK83"/>
  <c r="AG83"/>
  <c r="L83" s="1"/>
  <c r="AK82"/>
  <c r="AG82"/>
  <c r="L82" s="1"/>
  <c r="AK81"/>
  <c r="AG81"/>
  <c r="L81" s="1"/>
  <c r="AK80"/>
  <c r="AG80"/>
  <c r="L80" s="1"/>
  <c r="AK79"/>
  <c r="AG79"/>
  <c r="L79" s="1"/>
  <c r="AK78"/>
  <c r="AG78"/>
  <c r="L78" s="1"/>
  <c r="AK77"/>
  <c r="AK76"/>
  <c r="AG76"/>
  <c r="L76" s="1"/>
  <c r="AK75"/>
  <c r="AG75"/>
  <c r="L75" s="1"/>
  <c r="AK74"/>
  <c r="AG74"/>
  <c r="L74" s="1"/>
  <c r="AK73"/>
  <c r="AK72"/>
  <c r="AK71"/>
  <c r="AK70"/>
  <c r="AG70"/>
  <c r="L70" s="1"/>
  <c r="AK69"/>
  <c r="AG69"/>
  <c r="L69" s="1"/>
  <c r="AK68"/>
  <c r="AG68"/>
  <c r="L68" s="1"/>
  <c r="AK67"/>
  <c r="AK66"/>
  <c r="AG66"/>
  <c r="L66" s="1"/>
  <c r="AK65"/>
  <c r="AK64"/>
  <c r="AG64"/>
  <c r="L64" s="1"/>
  <c r="AK63"/>
  <c r="AG63"/>
  <c r="L63" s="1"/>
  <c r="AK62"/>
  <c r="AG62"/>
  <c r="L62" s="1"/>
  <c r="AK61"/>
  <c r="AK60"/>
  <c r="AG60"/>
  <c r="L60" s="1"/>
  <c r="AK59"/>
  <c r="AG59"/>
  <c r="L59" s="1"/>
  <c r="AK58"/>
  <c r="AG58"/>
  <c r="L58" s="1"/>
  <c r="AK57"/>
  <c r="AG57"/>
  <c r="L57" s="1"/>
  <c r="AK56"/>
  <c r="AG56"/>
  <c r="L56" s="1"/>
  <c r="AK55"/>
  <c r="AK54"/>
  <c r="AK53"/>
  <c r="AK52"/>
  <c r="AG52"/>
  <c r="L52" s="1"/>
  <c r="AK50"/>
  <c r="AG50"/>
  <c r="L50" s="1"/>
  <c r="AK51"/>
  <c r="AG51"/>
  <c r="L51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96" s="1"/>
  <c r="A97" s="1"/>
  <c r="A98" s="1"/>
  <c r="A99" s="1"/>
  <c r="AK38"/>
  <c r="AG38"/>
  <c r="L38" s="1"/>
  <c r="AK37"/>
  <c r="AG37"/>
  <c r="L37" s="1"/>
  <c r="AK36"/>
  <c r="AG36"/>
  <c r="L36" s="1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G111"/>
  <c r="L111" s="1"/>
  <c r="AG33"/>
  <c r="L33" s="1"/>
  <c r="AG195"/>
  <c r="L195" s="1"/>
  <c r="AG34"/>
  <c r="L34" s="1"/>
  <c r="AG209"/>
  <c r="L209" s="1"/>
  <c r="V1" i="21"/>
  <c r="A100" i="20"/>
  <c r="A101" s="1"/>
  <c r="A102" s="1"/>
  <c r="A103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G65"/>
  <c r="L65" s="1"/>
  <c r="AG77"/>
  <c r="L77" s="1"/>
  <c r="AG73"/>
  <c r="L73" s="1"/>
  <c r="AG32"/>
  <c r="L32" s="1"/>
  <c r="AG54"/>
  <c r="L54" s="1"/>
  <c r="AG35"/>
  <c r="L35" s="1"/>
  <c r="AG246"/>
  <c r="AG211"/>
  <c r="AG97"/>
  <c r="AG96"/>
  <c r="AG129"/>
  <c r="AG247"/>
  <c r="AG218"/>
  <c r="AG205"/>
  <c r="AG171"/>
  <c r="AG255"/>
  <c r="AG236"/>
  <c r="AG113"/>
  <c r="AG123"/>
  <c r="AG173"/>
  <c r="AG263"/>
  <c r="AG237"/>
  <c r="AG119"/>
  <c r="AG71"/>
  <c r="AG61"/>
  <c r="AG72"/>
  <c r="AG188"/>
  <c r="AG99"/>
  <c r="AG120"/>
  <c r="AG158"/>
  <c r="AG105"/>
  <c r="AG55"/>
  <c r="AG106"/>
  <c r="AG259"/>
  <c r="AG208"/>
  <c r="AG157"/>
  <c r="AG53"/>
  <c r="AG67"/>
  <c r="AG25"/>
  <c r="AG16"/>
  <c r="AG15"/>
  <c r="AG6"/>
  <c r="AG31"/>
  <c r="AG29"/>
  <c r="AG27"/>
  <c r="AG30"/>
  <c r="AG28"/>
  <c r="AG24"/>
  <c r="AG23"/>
  <c r="AG22"/>
  <c r="AG21"/>
  <c r="AG20"/>
  <c r="AG19"/>
  <c r="AG18"/>
  <c r="AG17"/>
  <c r="AG26"/>
  <c r="AG8"/>
  <c r="AG13"/>
  <c r="AG12"/>
  <c r="AG11"/>
  <c r="AG10"/>
  <c r="AG9"/>
  <c r="AG14"/>
  <c r="AG5"/>
  <c r="AG4"/>
  <c r="AG7"/>
  <c r="O63"/>
  <c r="AA52"/>
  <c r="U72"/>
  <c r="AA57"/>
  <c r="X69"/>
  <c r="X76"/>
  <c r="U70"/>
  <c r="AA63"/>
  <c r="R67"/>
  <c r="O84"/>
  <c r="AA83"/>
  <c r="U58"/>
  <c r="O62"/>
  <c r="X66"/>
  <c r="X80"/>
  <c r="U74"/>
  <c r="O64"/>
  <c r="AA55"/>
  <c r="AA56"/>
  <c r="O53"/>
  <c r="U53"/>
  <c r="R68"/>
  <c r="AA73"/>
  <c r="R62"/>
  <c r="AA71"/>
  <c r="X57"/>
  <c r="X73"/>
  <c r="R52"/>
  <c r="R72"/>
  <c r="R83"/>
  <c r="U73"/>
  <c r="AA53"/>
  <c r="U83"/>
  <c r="O75"/>
  <c r="AA54"/>
  <c r="O65"/>
  <c r="AA70"/>
  <c r="O67"/>
  <c r="X56"/>
  <c r="X70"/>
  <c r="R65"/>
  <c r="AA60"/>
  <c r="AA67"/>
  <c r="AA79"/>
  <c r="X79"/>
  <c r="O56"/>
  <c r="X78"/>
  <c r="X58"/>
  <c r="X62"/>
  <c r="X60"/>
  <c r="U55"/>
  <c r="U75"/>
  <c r="U62"/>
  <c r="AA64"/>
  <c r="U69"/>
  <c r="AA82"/>
  <c r="R66"/>
  <c r="O60"/>
  <c r="X84"/>
  <c r="U76"/>
  <c r="U56"/>
  <c r="U54"/>
  <c r="R71"/>
  <c r="U81"/>
  <c r="R54"/>
  <c r="U79"/>
  <c r="R55"/>
  <c r="X64"/>
  <c r="AA66"/>
  <c r="O68"/>
  <c r="AA65"/>
  <c r="AA81"/>
  <c r="R82"/>
  <c r="R76"/>
  <c r="AA62"/>
  <c r="U82"/>
  <c r="R57"/>
  <c r="X82"/>
  <c r="U71"/>
  <c r="U68"/>
  <c r="U50"/>
  <c r="AA59"/>
  <c r="O70"/>
  <c r="AA69"/>
  <c r="U64"/>
  <c r="O81"/>
  <c r="R79"/>
  <c r="R56"/>
  <c r="U60"/>
  <c r="R60"/>
  <c r="AA50"/>
  <c r="AA68"/>
  <c r="R75"/>
  <c r="R74"/>
  <c r="X65"/>
  <c r="R59"/>
  <c r="X74"/>
  <c r="U63"/>
  <c r="R81"/>
  <c r="R84"/>
  <c r="R77"/>
  <c r="AA78"/>
  <c r="R61"/>
  <c r="O57"/>
  <c r="U52"/>
  <c r="R63"/>
  <c r="X55"/>
  <c r="R78"/>
  <c r="X50"/>
  <c r="R80"/>
  <c r="O59"/>
  <c r="X83"/>
  <c r="O83"/>
  <c r="O58"/>
  <c r="U77"/>
  <c r="U61"/>
  <c r="U59"/>
  <c r="O52"/>
  <c r="R73"/>
  <c r="O80"/>
  <c r="R70"/>
  <c r="O55"/>
  <c r="X77"/>
  <c r="O78"/>
  <c r="X67"/>
  <c r="O74"/>
  <c r="O66"/>
  <c r="U78"/>
  <c r="U57"/>
  <c r="AA80"/>
  <c r="AA84"/>
  <c r="X63"/>
  <c r="X72"/>
  <c r="X54"/>
  <c r="O73"/>
  <c r="AA76"/>
  <c r="O82"/>
  <c r="U67"/>
  <c r="U66"/>
  <c r="AA58"/>
  <c r="U65"/>
  <c r="X68"/>
  <c r="X75"/>
  <c r="R53"/>
  <c r="AA74"/>
  <c r="O71"/>
  <c r="O76"/>
  <c r="X81"/>
  <c r="O72"/>
  <c r="R58"/>
  <c r="R64"/>
  <c r="AA72"/>
  <c r="O54"/>
  <c r="AA77"/>
  <c r="X52"/>
  <c r="O61"/>
  <c r="X53"/>
  <c r="AA61"/>
  <c r="U80"/>
  <c r="X59"/>
  <c r="U84"/>
  <c r="O50"/>
  <c r="X61"/>
  <c r="AA75"/>
  <c r="O79"/>
  <c r="R50"/>
  <c r="X71"/>
  <c r="R69"/>
  <c r="O77"/>
  <c r="O69"/>
  <c r="L31" l="1"/>
  <c r="L30"/>
  <c r="L28"/>
  <c r="L22"/>
  <c r="L25"/>
  <c r="L26"/>
  <c r="L67"/>
  <c r="L53"/>
  <c r="L106"/>
  <c r="L55"/>
  <c r="L105"/>
  <c r="L158"/>
  <c r="L157"/>
  <c r="L208"/>
  <c r="L259"/>
  <c r="L23"/>
  <c r="L20"/>
  <c r="Y84" i="21"/>
  <c r="L19" i="20"/>
  <c r="L18"/>
  <c r="L16"/>
  <c r="F18" i="27"/>
  <c r="F10" i="28" s="1"/>
  <c r="F15" i="27"/>
  <c r="F9" i="28" s="1"/>
  <c r="F10" i="27"/>
  <c r="F8" i="28" s="1"/>
  <c r="F7" i="27"/>
  <c r="F8"/>
  <c r="F3"/>
  <c r="F6"/>
  <c r="F5" i="28" s="1"/>
  <c r="F5" i="27"/>
  <c r="L120" i="20"/>
  <c r="L188"/>
  <c r="L99"/>
  <c r="Y86" i="21"/>
  <c r="L29" i="20"/>
  <c r="AA85" i="21"/>
  <c r="Y85" s="1"/>
  <c r="AC86"/>
  <c r="L17" i="20"/>
  <c r="L4"/>
  <c r="L24"/>
  <c r="L27"/>
  <c r="L12"/>
  <c r="Y230" i="22"/>
  <c r="Q184"/>
  <c r="L9" i="20"/>
  <c r="K272"/>
  <c r="L14"/>
  <c r="L21"/>
  <c r="L6"/>
  <c r="L10"/>
  <c r="M180"/>
  <c r="W318"/>
  <c r="K180"/>
  <c r="S180"/>
  <c r="E272"/>
  <c r="S318"/>
  <c r="E318"/>
  <c r="G318"/>
  <c r="C134"/>
  <c r="Q276" i="22"/>
  <c r="Q230"/>
  <c r="Q92"/>
  <c r="I180" i="20"/>
  <c r="C318"/>
  <c r="C272"/>
  <c r="L8"/>
  <c r="L7"/>
  <c r="L5"/>
  <c r="L237"/>
  <c r="L263"/>
  <c r="L236"/>
  <c r="L255"/>
  <c r="L247"/>
  <c r="L246"/>
  <c r="L205"/>
  <c r="L218"/>
  <c r="L211"/>
  <c r="L173"/>
  <c r="L171"/>
  <c r="L119"/>
  <c r="L123"/>
  <c r="L113"/>
  <c r="L129"/>
  <c r="L97"/>
  <c r="L96"/>
  <c r="L72"/>
  <c r="L61"/>
  <c r="L71"/>
  <c r="L15"/>
  <c r="L13"/>
  <c r="L11"/>
  <c r="G272"/>
  <c r="O180"/>
  <c r="C180"/>
  <c r="G226"/>
  <c r="K318"/>
  <c r="M88"/>
  <c r="U134"/>
  <c r="S226"/>
  <c r="Q42"/>
  <c r="E42"/>
  <c r="K42"/>
  <c r="S272"/>
  <c r="O42"/>
  <c r="C42"/>
  <c r="M318"/>
  <c r="I318"/>
  <c r="S42"/>
  <c r="U180"/>
  <c r="Q180"/>
  <c r="M272"/>
  <c r="I272"/>
  <c r="W180"/>
  <c r="I88"/>
  <c r="Q88"/>
  <c r="E88"/>
  <c r="I226"/>
  <c r="O134"/>
  <c r="K134"/>
  <c r="M226"/>
  <c r="Q226"/>
  <c r="C226"/>
  <c r="Q272"/>
  <c r="Q318"/>
  <c r="M134"/>
  <c r="Q134"/>
  <c r="O226"/>
  <c r="K226"/>
  <c r="O272"/>
  <c r="O318"/>
  <c r="G134"/>
  <c r="W226"/>
  <c r="W42"/>
  <c r="S88"/>
  <c r="G88"/>
  <c r="S134"/>
  <c r="I134"/>
  <c r="U226"/>
  <c r="U272"/>
  <c r="U318"/>
  <c r="W134"/>
  <c r="U42"/>
  <c r="W88"/>
  <c r="O88"/>
  <c r="K88"/>
  <c r="U88"/>
  <c r="M42"/>
  <c r="E134"/>
  <c r="E226"/>
  <c r="I42"/>
  <c r="W272"/>
  <c r="G180"/>
  <c r="E180"/>
  <c r="C88"/>
  <c r="G42"/>
  <c r="F4" i="28" l="1"/>
  <c r="F3"/>
  <c r="F6"/>
  <c r="F7"/>
  <c r="C271" i="20"/>
  <c r="Y230" s="1"/>
  <c r="Y322"/>
  <c r="Q322"/>
  <c r="Y276" i="22"/>
  <c r="Q138"/>
  <c r="Q46"/>
  <c r="G179" i="20"/>
  <c r="Y138" i="22"/>
  <c r="Y92"/>
  <c r="Y184"/>
  <c r="Y46"/>
  <c r="C179" i="20"/>
  <c r="Y138" s="1"/>
  <c r="G271"/>
  <c r="C133"/>
  <c r="Y92" s="1"/>
  <c r="C317"/>
  <c r="C87"/>
  <c r="Y46" s="1"/>
  <c r="C41"/>
  <c r="G225"/>
  <c r="O179"/>
  <c r="C225"/>
  <c r="Q184" s="1"/>
  <c r="O317"/>
  <c r="O87"/>
  <c r="O225"/>
  <c r="G317"/>
  <c r="G87"/>
  <c r="G133"/>
  <c r="O133"/>
  <c r="O41"/>
  <c r="O271"/>
  <c r="G41"/>
  <c r="C23" i="23" l="1"/>
  <c r="Q230" i="20"/>
  <c r="Q138"/>
  <c r="Q92"/>
  <c r="Q276"/>
  <c r="Y276"/>
  <c r="C3" i="23"/>
  <c r="C2"/>
  <c r="Q46" i="20"/>
  <c r="Y184"/>
  <c r="I276" i="22" l="1"/>
  <c r="I230"/>
  <c r="I184"/>
  <c r="I138"/>
  <c r="I92"/>
  <c r="I46"/>
  <c r="I92" i="20"/>
  <c r="I184"/>
  <c r="I276"/>
  <c r="I46"/>
  <c r="I322"/>
  <c r="I230"/>
  <c r="I138"/>
  <c r="A276" i="22" l="1"/>
  <c r="AG276" s="1"/>
  <c r="L1" i="12"/>
  <c r="A276" i="20"/>
  <c r="AG276" s="1"/>
  <c r="A230" i="22"/>
  <c r="AG230" s="1"/>
  <c r="A230" i="20"/>
  <c r="AG230" s="1"/>
  <c r="A138" i="22"/>
  <c r="AG138" s="1"/>
  <c r="A46" i="20"/>
  <c r="AG46" s="1"/>
  <c r="A46" i="22"/>
  <c r="AG46" s="1"/>
  <c r="A138" i="20"/>
  <c r="AG138" s="1"/>
  <c r="A184" i="22"/>
  <c r="AG184" s="1"/>
  <c r="A92" i="20"/>
  <c r="AG92" s="1"/>
  <c r="A184"/>
  <c r="AG184" s="1"/>
  <c r="A322"/>
  <c r="AG322" s="1"/>
  <c r="A92" i="22"/>
  <c r="AG92" s="1"/>
  <c r="X1" i="12" l="1"/>
  <c r="AJ98" i="21" l="1"/>
  <c r="AJ102" s="1"/>
  <c r="AX98"/>
  <c r="AX102" s="1"/>
  <c r="Y125" l="1"/>
  <c r="Y92"/>
  <c r="Y102"/>
  <c r="Y101"/>
  <c r="AQ98"/>
  <c r="AQ99"/>
  <c r="AQ102" l="1"/>
</calcChain>
</file>

<file path=xl/comments1.xml><?xml version="1.0" encoding="utf-8"?>
<comments xmlns="http://schemas.openxmlformats.org/spreadsheetml/2006/main">
  <authors>
    <author>user</author>
  </authors>
  <commentList>
    <comment ref="AM1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・CARD利用時はAL列に●を付ける。
・現カード払…　現金とカード併用時で
現金支払い金額を入力する。
</t>
        </r>
      </text>
    </comment>
  </commentList>
</comments>
</file>

<file path=xl/comments2.xml><?xml version="1.0" encoding="utf-8"?>
<comments xmlns="http://schemas.openxmlformats.org/spreadsheetml/2006/main">
  <authors>
    <author>Windows ユーザー</author>
  </authors>
  <commentList>
    <comment ref="Z79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1200前受けの女の子+1130出勤の女の子
</t>
        </r>
      </text>
    </comment>
    <comment ref="Z118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9時前受けの女の子の数
</t>
        </r>
      </text>
    </comment>
  </commentList>
</comments>
</file>

<file path=xl/sharedStrings.xml><?xml version="1.0" encoding="utf-8"?>
<sst xmlns="http://schemas.openxmlformats.org/spreadsheetml/2006/main" count="3376" uniqueCount="486">
  <si>
    <t>写</t>
    <rPh sb="0" eb="1">
      <t>シャ</t>
    </rPh>
    <phoneticPr fontId="4"/>
  </si>
  <si>
    <t>キャスト名</t>
    <rPh sb="4" eb="5">
      <t>メイ</t>
    </rPh>
    <phoneticPr fontId="4"/>
  </si>
  <si>
    <t>割引</t>
    <rPh sb="0" eb="2">
      <t>ワリビキ</t>
    </rPh>
    <phoneticPr fontId="4"/>
  </si>
  <si>
    <t>R</t>
    <phoneticPr fontId="4"/>
  </si>
  <si>
    <t>N</t>
    <phoneticPr fontId="4"/>
  </si>
  <si>
    <t>本</t>
    <rPh sb="0" eb="1">
      <t>ホン</t>
    </rPh>
    <phoneticPr fontId="4"/>
  </si>
  <si>
    <t>番号</t>
    <rPh sb="0" eb="2">
      <t>バンゴウ</t>
    </rPh>
    <phoneticPr fontId="4"/>
  </si>
  <si>
    <t>指名</t>
    <rPh sb="0" eb="2">
      <t>シメイ</t>
    </rPh>
    <phoneticPr fontId="4"/>
  </si>
  <si>
    <t>コース</t>
    <phoneticPr fontId="4"/>
  </si>
  <si>
    <t>無</t>
    <rPh sb="0" eb="1">
      <t>ム</t>
    </rPh>
    <phoneticPr fontId="4"/>
  </si>
  <si>
    <t>半</t>
    <rPh sb="0" eb="1">
      <t>ハン</t>
    </rPh>
    <phoneticPr fontId="4"/>
  </si>
  <si>
    <t>N/R</t>
    <phoneticPr fontId="4"/>
  </si>
  <si>
    <t>キャスト</t>
    <phoneticPr fontId="4"/>
  </si>
  <si>
    <t>ネ</t>
  </si>
  <si>
    <t>姫</t>
    <rPh sb="0" eb="1">
      <t>ヒメ</t>
    </rPh>
    <phoneticPr fontId="4"/>
  </si>
  <si>
    <t>オプション管理</t>
    <rPh sb="5" eb="7">
      <t>カンリ</t>
    </rPh>
    <phoneticPr fontId="4"/>
  </si>
  <si>
    <t>オプション名</t>
    <rPh sb="5" eb="6">
      <t>メイ</t>
    </rPh>
    <phoneticPr fontId="4"/>
  </si>
  <si>
    <t>金額</t>
    <rPh sb="0" eb="2">
      <t>キンガク</t>
    </rPh>
    <phoneticPr fontId="4"/>
  </si>
  <si>
    <t>NO</t>
    <phoneticPr fontId="4"/>
  </si>
  <si>
    <t>割引名</t>
    <rPh sb="0" eb="2">
      <t>ワリビキ</t>
    </rPh>
    <rPh sb="2" eb="3">
      <t>メイ</t>
    </rPh>
    <phoneticPr fontId="4"/>
  </si>
  <si>
    <t>済</t>
    <rPh sb="0" eb="1">
      <t>スミ</t>
    </rPh>
    <phoneticPr fontId="4"/>
  </si>
  <si>
    <t>２輪</t>
    <rPh sb="1" eb="2">
      <t>ワ</t>
    </rPh>
    <phoneticPr fontId="4"/>
  </si>
  <si>
    <t>OP1</t>
    <phoneticPr fontId="4"/>
  </si>
  <si>
    <t>OP2</t>
  </si>
  <si>
    <t>OP4</t>
  </si>
  <si>
    <t>OP5</t>
  </si>
  <si>
    <t>OP6</t>
  </si>
  <si>
    <t>2輪キャスト</t>
    <rPh sb="1" eb="2">
      <t>ワ</t>
    </rPh>
    <phoneticPr fontId="4"/>
  </si>
  <si>
    <t>CARD利用</t>
    <rPh sb="4" eb="6">
      <t>リヨウ</t>
    </rPh>
    <phoneticPr fontId="4"/>
  </si>
  <si>
    <t>現カード払</t>
    <rPh sb="0" eb="1">
      <t>ゲン</t>
    </rPh>
    <rPh sb="4" eb="5">
      <t>バライ</t>
    </rPh>
    <phoneticPr fontId="4"/>
  </si>
  <si>
    <t>特殊割引</t>
    <rPh sb="0" eb="2">
      <t>トクシュ</t>
    </rPh>
    <rPh sb="2" eb="4">
      <t>ワリビキ</t>
    </rPh>
    <phoneticPr fontId="4"/>
  </si>
  <si>
    <t>送迎一覧</t>
    <rPh sb="0" eb="2">
      <t>ソウゲイ</t>
    </rPh>
    <rPh sb="2" eb="4">
      <t>イチラン</t>
    </rPh>
    <phoneticPr fontId="9"/>
  </si>
  <si>
    <t>金額</t>
    <rPh sb="0" eb="2">
      <t>キンガク</t>
    </rPh>
    <phoneticPr fontId="9"/>
  </si>
  <si>
    <t>時間</t>
    <rPh sb="0" eb="2">
      <t>ジカン</t>
    </rPh>
    <phoneticPr fontId="9"/>
  </si>
  <si>
    <t>フロント</t>
    <phoneticPr fontId="9"/>
  </si>
  <si>
    <t>持出人</t>
    <rPh sb="0" eb="2">
      <t>モチダシ</t>
    </rPh>
    <rPh sb="2" eb="3">
      <t>ニン</t>
    </rPh>
    <phoneticPr fontId="9"/>
  </si>
  <si>
    <t>受取人</t>
    <rPh sb="0" eb="2">
      <t>ウケトリ</t>
    </rPh>
    <rPh sb="2" eb="3">
      <t>ニン</t>
    </rPh>
    <phoneticPr fontId="9"/>
  </si>
  <si>
    <t>合計</t>
    <rPh sb="0" eb="2">
      <t>ゴウケイ</t>
    </rPh>
    <phoneticPr fontId="9"/>
  </si>
  <si>
    <t>入浴料</t>
    <rPh sb="0" eb="2">
      <t>ニュウヨク</t>
    </rPh>
    <rPh sb="2" eb="3">
      <t>リョウ</t>
    </rPh>
    <phoneticPr fontId="9"/>
  </si>
  <si>
    <t>金庫金</t>
    <rPh sb="0" eb="2">
      <t>キンコ</t>
    </rPh>
    <rPh sb="2" eb="3">
      <t>キン</t>
    </rPh>
    <phoneticPr fontId="9"/>
  </si>
  <si>
    <t>本指名</t>
    <rPh sb="0" eb="1">
      <t>ホン</t>
    </rPh>
    <rPh sb="1" eb="3">
      <t>シメイ</t>
    </rPh>
    <phoneticPr fontId="9"/>
  </si>
  <si>
    <t>雑費</t>
    <rPh sb="0" eb="2">
      <t>ザッピ</t>
    </rPh>
    <phoneticPr fontId="9"/>
  </si>
  <si>
    <t>総額</t>
    <rPh sb="0" eb="2">
      <t>ソウガク</t>
    </rPh>
    <phoneticPr fontId="9"/>
  </si>
  <si>
    <t>金額6</t>
    <rPh sb="0" eb="2">
      <t>キンガク</t>
    </rPh>
    <phoneticPr fontId="9"/>
  </si>
  <si>
    <t>金額7</t>
    <rPh sb="0" eb="2">
      <t>キンガク</t>
    </rPh>
    <phoneticPr fontId="9"/>
  </si>
  <si>
    <t>金額8</t>
    <rPh sb="0" eb="2">
      <t>キンガク</t>
    </rPh>
    <phoneticPr fontId="9"/>
  </si>
  <si>
    <t>金額9</t>
    <rPh sb="0" eb="2">
      <t>キンガク</t>
    </rPh>
    <phoneticPr fontId="9"/>
  </si>
  <si>
    <t>金額10</t>
    <rPh sb="0" eb="2">
      <t>キンガク</t>
    </rPh>
    <phoneticPr fontId="9"/>
  </si>
  <si>
    <t>海綿</t>
    <rPh sb="0" eb="2">
      <t>カイメン</t>
    </rPh>
    <phoneticPr fontId="9"/>
  </si>
  <si>
    <t>S箱</t>
    <rPh sb="1" eb="2">
      <t>ハコ</t>
    </rPh>
    <phoneticPr fontId="9"/>
  </si>
  <si>
    <t>M箱</t>
    <rPh sb="1" eb="2">
      <t>ハコ</t>
    </rPh>
    <phoneticPr fontId="9"/>
  </si>
  <si>
    <t>L箱</t>
    <rPh sb="1" eb="2">
      <t>ハコ</t>
    </rPh>
    <phoneticPr fontId="9"/>
  </si>
  <si>
    <t>WT箱</t>
    <rPh sb="2" eb="3">
      <t>ハコ</t>
    </rPh>
    <phoneticPr fontId="9"/>
  </si>
  <si>
    <t>衣装</t>
    <rPh sb="0" eb="2">
      <t>イショウ</t>
    </rPh>
    <phoneticPr fontId="9"/>
  </si>
  <si>
    <t>靴</t>
    <rPh sb="0" eb="1">
      <t>クツ</t>
    </rPh>
    <phoneticPr fontId="9"/>
  </si>
  <si>
    <t>下着</t>
    <rPh sb="0" eb="2">
      <t>シタギ</t>
    </rPh>
    <phoneticPr fontId="9"/>
  </si>
  <si>
    <t>下着2</t>
    <rPh sb="0" eb="2">
      <t>シタギ</t>
    </rPh>
    <phoneticPr fontId="9"/>
  </si>
  <si>
    <t>名刺</t>
    <rPh sb="0" eb="2">
      <t>メイシ</t>
    </rPh>
    <phoneticPr fontId="9"/>
  </si>
  <si>
    <t>名刺OP</t>
    <rPh sb="0" eb="2">
      <t>メイシ</t>
    </rPh>
    <phoneticPr fontId="9"/>
  </si>
  <si>
    <t>空名刺</t>
    <rPh sb="0" eb="1">
      <t>カラ</t>
    </rPh>
    <rPh sb="1" eb="3">
      <t>メイシ</t>
    </rPh>
    <phoneticPr fontId="9"/>
  </si>
  <si>
    <t>備品小計</t>
    <rPh sb="0" eb="2">
      <t>ビヒン</t>
    </rPh>
    <rPh sb="2" eb="4">
      <t>ショウケイ</t>
    </rPh>
    <phoneticPr fontId="9"/>
  </si>
  <si>
    <t>女の子</t>
    <rPh sb="0" eb="1">
      <t>オンナ</t>
    </rPh>
    <rPh sb="2" eb="3">
      <t>コ</t>
    </rPh>
    <phoneticPr fontId="9"/>
  </si>
  <si>
    <t>本指</t>
    <rPh sb="0" eb="1">
      <t>ホン</t>
    </rPh>
    <rPh sb="1" eb="2">
      <t>シ</t>
    </rPh>
    <phoneticPr fontId="9"/>
  </si>
  <si>
    <t>本指</t>
    <rPh sb="0" eb="1">
      <t>ホン</t>
    </rPh>
    <rPh sb="1" eb="2">
      <t>ユビ</t>
    </rPh>
    <phoneticPr fontId="9"/>
  </si>
  <si>
    <t>小計</t>
    <rPh sb="0" eb="2">
      <t>ショウケイ</t>
    </rPh>
    <phoneticPr fontId="9"/>
  </si>
  <si>
    <t>備1</t>
    <rPh sb="0" eb="1">
      <t>ビ</t>
    </rPh>
    <phoneticPr fontId="9"/>
  </si>
  <si>
    <t>備2</t>
    <rPh sb="0" eb="1">
      <t>ビ</t>
    </rPh>
    <phoneticPr fontId="9"/>
  </si>
  <si>
    <t>備3</t>
    <rPh sb="0" eb="1">
      <t>ビ</t>
    </rPh>
    <phoneticPr fontId="9"/>
  </si>
  <si>
    <t>備4</t>
    <rPh sb="0" eb="1">
      <t>ビ</t>
    </rPh>
    <phoneticPr fontId="9"/>
  </si>
  <si>
    <t>備5</t>
    <rPh sb="0" eb="1">
      <t>ビ</t>
    </rPh>
    <phoneticPr fontId="9"/>
  </si>
  <si>
    <t>備6</t>
    <rPh sb="0" eb="1">
      <t>ビ</t>
    </rPh>
    <phoneticPr fontId="9"/>
  </si>
  <si>
    <t>備7</t>
    <rPh sb="0" eb="1">
      <t>ビ</t>
    </rPh>
    <phoneticPr fontId="9"/>
  </si>
  <si>
    <t>備8</t>
    <rPh sb="0" eb="1">
      <t>ビ</t>
    </rPh>
    <phoneticPr fontId="9"/>
  </si>
  <si>
    <t>備9</t>
    <rPh sb="0" eb="1">
      <t>ビ</t>
    </rPh>
    <phoneticPr fontId="9"/>
  </si>
  <si>
    <t>備10</t>
    <rPh sb="0" eb="1">
      <t>ビ</t>
    </rPh>
    <phoneticPr fontId="9"/>
  </si>
  <si>
    <t>備11</t>
    <rPh sb="0" eb="1">
      <t>ビ</t>
    </rPh>
    <phoneticPr fontId="9"/>
  </si>
  <si>
    <t>備12</t>
    <rPh sb="0" eb="1">
      <t>ビ</t>
    </rPh>
    <phoneticPr fontId="9"/>
  </si>
  <si>
    <t>備13</t>
    <rPh sb="0" eb="1">
      <t>ビ</t>
    </rPh>
    <phoneticPr fontId="9"/>
  </si>
  <si>
    <t>備14</t>
    <rPh sb="0" eb="1">
      <t>ビ</t>
    </rPh>
    <phoneticPr fontId="9"/>
  </si>
  <si>
    <t>備15</t>
    <rPh sb="0" eb="1">
      <t>ビ</t>
    </rPh>
    <phoneticPr fontId="9"/>
  </si>
  <si>
    <t>備16</t>
    <rPh sb="0" eb="1">
      <t>ビ</t>
    </rPh>
    <phoneticPr fontId="9"/>
  </si>
  <si>
    <t>備17</t>
    <rPh sb="0" eb="1">
      <t>ビ</t>
    </rPh>
    <phoneticPr fontId="9"/>
  </si>
  <si>
    <t>備18</t>
    <rPh sb="0" eb="1">
      <t>ビ</t>
    </rPh>
    <phoneticPr fontId="9"/>
  </si>
  <si>
    <t>備19</t>
    <rPh sb="0" eb="1">
      <t>ビ</t>
    </rPh>
    <phoneticPr fontId="9"/>
  </si>
  <si>
    <t>備20</t>
    <rPh sb="0" eb="1">
      <t>ビ</t>
    </rPh>
    <phoneticPr fontId="9"/>
  </si>
  <si>
    <t>送迎</t>
    <rPh sb="0" eb="2">
      <t>ソウゲイ</t>
    </rPh>
    <phoneticPr fontId="9"/>
  </si>
  <si>
    <t>送迎金額</t>
    <rPh sb="0" eb="2">
      <t>ソウゲイ</t>
    </rPh>
    <rPh sb="2" eb="4">
      <t>キンガク</t>
    </rPh>
    <phoneticPr fontId="9"/>
  </si>
  <si>
    <t>45分</t>
    <rPh sb="2" eb="3">
      <t>フン</t>
    </rPh>
    <phoneticPr fontId="9"/>
  </si>
  <si>
    <t>60分</t>
    <rPh sb="2" eb="3">
      <t>フン</t>
    </rPh>
    <phoneticPr fontId="9"/>
  </si>
  <si>
    <t>90分</t>
    <rPh sb="2" eb="3">
      <t>フン</t>
    </rPh>
    <phoneticPr fontId="9"/>
  </si>
  <si>
    <t>金額設定</t>
    <rPh sb="0" eb="2">
      <t>キンガク</t>
    </rPh>
    <rPh sb="2" eb="4">
      <t>セッテイ</t>
    </rPh>
    <phoneticPr fontId="9"/>
  </si>
  <si>
    <t>イベント合計</t>
    <rPh sb="4" eb="6">
      <t>ゴウケイ</t>
    </rPh>
    <phoneticPr fontId="9"/>
  </si>
  <si>
    <t>カード払い</t>
    <rPh sb="3" eb="4">
      <t>バラ</t>
    </rPh>
    <phoneticPr fontId="9"/>
  </si>
  <si>
    <t>OPクレジットカード払い</t>
    <rPh sb="10" eb="11">
      <t>ハラ</t>
    </rPh>
    <phoneticPr fontId="9"/>
  </si>
  <si>
    <t>カード合計</t>
    <rPh sb="3" eb="5">
      <t>ゴウケイ</t>
    </rPh>
    <phoneticPr fontId="9"/>
  </si>
  <si>
    <t>総本数</t>
    <rPh sb="0" eb="1">
      <t>ソウ</t>
    </rPh>
    <rPh sb="1" eb="3">
      <t>ホンスウ</t>
    </rPh>
    <phoneticPr fontId="9"/>
  </si>
  <si>
    <t>稼働率</t>
    <rPh sb="0" eb="2">
      <t>カドウ</t>
    </rPh>
    <rPh sb="2" eb="3">
      <t>リツ</t>
    </rPh>
    <phoneticPr fontId="9"/>
  </si>
  <si>
    <t>カード現金払い</t>
    <rPh sb="3" eb="5">
      <t>ゲンキン</t>
    </rPh>
    <rPh sb="5" eb="6">
      <t>バラ</t>
    </rPh>
    <phoneticPr fontId="9"/>
  </si>
  <si>
    <t>クレジットカード売上金額</t>
    <rPh sb="8" eb="10">
      <t>ウリアゲ</t>
    </rPh>
    <rPh sb="10" eb="12">
      <t>キンガク</t>
    </rPh>
    <phoneticPr fontId="9"/>
  </si>
  <si>
    <t>総売上</t>
    <rPh sb="0" eb="1">
      <t>ソウ</t>
    </rPh>
    <rPh sb="1" eb="2">
      <t>ウ</t>
    </rPh>
    <rPh sb="2" eb="3">
      <t>ア</t>
    </rPh>
    <phoneticPr fontId="9"/>
  </si>
  <si>
    <t>カード利用</t>
    <rPh sb="3" eb="5">
      <t>リヨウ</t>
    </rPh>
    <phoneticPr fontId="9"/>
  </si>
  <si>
    <t>イベント集計</t>
    <rPh sb="4" eb="6">
      <t>シュウケイ</t>
    </rPh>
    <phoneticPr fontId="9"/>
  </si>
  <si>
    <t>①現金総売上</t>
    <rPh sb="1" eb="3">
      <t>ゲンキン</t>
    </rPh>
    <rPh sb="3" eb="4">
      <t>ソウ</t>
    </rPh>
    <rPh sb="4" eb="5">
      <t>ウ</t>
    </rPh>
    <rPh sb="5" eb="6">
      <t>ア</t>
    </rPh>
    <phoneticPr fontId="9"/>
  </si>
  <si>
    <t>仮受金</t>
    <rPh sb="0" eb="1">
      <t>カリ</t>
    </rPh>
    <rPh sb="1" eb="2">
      <t>ウ</t>
    </rPh>
    <rPh sb="2" eb="3">
      <t>キン</t>
    </rPh>
    <phoneticPr fontId="9"/>
  </si>
  <si>
    <t>雑費計</t>
    <rPh sb="0" eb="2">
      <t>ザッピ</t>
    </rPh>
    <rPh sb="2" eb="3">
      <t>ケイ</t>
    </rPh>
    <phoneticPr fontId="9"/>
  </si>
  <si>
    <t>②仮受金（A金）</t>
    <rPh sb="1" eb="2">
      <t>カリ</t>
    </rPh>
    <rPh sb="2" eb="3">
      <t>ウ</t>
    </rPh>
    <rPh sb="3" eb="4">
      <t>キン</t>
    </rPh>
    <rPh sb="6" eb="7">
      <t>キン</t>
    </rPh>
    <phoneticPr fontId="9"/>
  </si>
  <si>
    <t>③経費合計</t>
    <rPh sb="1" eb="3">
      <t>ケイヒ</t>
    </rPh>
    <rPh sb="3" eb="5">
      <t>ゴウケイ</t>
    </rPh>
    <phoneticPr fontId="9"/>
  </si>
  <si>
    <t>レジ金</t>
    <rPh sb="2" eb="3">
      <t>キン</t>
    </rPh>
    <phoneticPr fontId="9"/>
  </si>
  <si>
    <t>支払い後レジ金</t>
    <rPh sb="0" eb="2">
      <t>シハラ</t>
    </rPh>
    <rPh sb="3" eb="4">
      <t>ゴ</t>
    </rPh>
    <rPh sb="6" eb="7">
      <t>キン</t>
    </rPh>
    <phoneticPr fontId="9"/>
  </si>
  <si>
    <t>事務所金</t>
    <rPh sb="0" eb="2">
      <t>ジム</t>
    </rPh>
    <rPh sb="2" eb="3">
      <t>ショ</t>
    </rPh>
    <rPh sb="3" eb="4">
      <t>キン</t>
    </rPh>
    <phoneticPr fontId="9"/>
  </si>
  <si>
    <t>支払い後事務所金</t>
    <rPh sb="0" eb="2">
      <t>シハラ</t>
    </rPh>
    <rPh sb="3" eb="4">
      <t>ゴ</t>
    </rPh>
    <rPh sb="4" eb="6">
      <t>ジム</t>
    </rPh>
    <rPh sb="6" eb="7">
      <t>ショ</t>
    </rPh>
    <rPh sb="7" eb="8">
      <t>キン</t>
    </rPh>
    <phoneticPr fontId="9"/>
  </si>
  <si>
    <t>売上</t>
    <rPh sb="0" eb="2">
      <t>ウリアゲ</t>
    </rPh>
    <phoneticPr fontId="9"/>
  </si>
  <si>
    <t>備品</t>
    <rPh sb="0" eb="2">
      <t>ビヒン</t>
    </rPh>
    <phoneticPr fontId="9"/>
  </si>
  <si>
    <t>寮費</t>
    <rPh sb="0" eb="2">
      <t>リョウヒ</t>
    </rPh>
    <phoneticPr fontId="9"/>
  </si>
  <si>
    <t>在籍金</t>
    <rPh sb="0" eb="2">
      <t>ザイセキ</t>
    </rPh>
    <rPh sb="2" eb="3">
      <t>キン</t>
    </rPh>
    <phoneticPr fontId="9"/>
  </si>
  <si>
    <t>経費合計</t>
    <rPh sb="0" eb="2">
      <t>ケイヒ</t>
    </rPh>
    <rPh sb="2" eb="4">
      <t>ゴウケイ</t>
    </rPh>
    <phoneticPr fontId="9"/>
  </si>
  <si>
    <t>入金＆お釣り</t>
    <rPh sb="0" eb="2">
      <t>ニュウキン</t>
    </rPh>
    <rPh sb="4" eb="5">
      <t>ツ</t>
    </rPh>
    <phoneticPr fontId="9"/>
  </si>
  <si>
    <t>精算+経費</t>
    <rPh sb="0" eb="2">
      <t>セイサン</t>
    </rPh>
    <rPh sb="3" eb="5">
      <t>ケイヒ</t>
    </rPh>
    <phoneticPr fontId="9"/>
  </si>
  <si>
    <t>現金総額</t>
    <rPh sb="0" eb="2">
      <t>ゲンキン</t>
    </rPh>
    <rPh sb="2" eb="4">
      <t>ソウガク</t>
    </rPh>
    <phoneticPr fontId="9"/>
  </si>
  <si>
    <t>フロント合計金額</t>
    <rPh sb="4" eb="6">
      <t>ゴウケイ</t>
    </rPh>
    <rPh sb="6" eb="8">
      <t>キンガク</t>
    </rPh>
    <phoneticPr fontId="9"/>
  </si>
  <si>
    <t>差額</t>
    <rPh sb="0" eb="2">
      <t>サガク</t>
    </rPh>
    <phoneticPr fontId="9"/>
  </si>
  <si>
    <t>大宮ラブピ</t>
  </si>
  <si>
    <t>番号は選択方式にする。（１～６０番）但し抜け番号もあるので、管理シートで管理できるようにする。</t>
  </si>
  <si>
    <t>（欠番は×にして選択不可とする）</t>
  </si>
  <si>
    <t>足元帳の「済」はB列に移動、C列には番号を設定する。</t>
  </si>
  <si>
    <t>現金カード払いの対応　→　回答待ち</t>
  </si>
  <si>
    <t>割引のパターン　→　割引５の欄（AC列）　1,000円×個数　の選択小窓方式にする。</t>
  </si>
  <si>
    <t>（管理シートで設定できるようにする）</t>
  </si>
  <si>
    <t>足下帳AA1～AI1と精算表BC21～BC29は紐付け</t>
  </si>
  <si>
    <t>BC21～BC29に入力されている文字を引っ張ってきてほしいです。</t>
  </si>
  <si>
    <t>精算表BD30～BJ30に入っている文字列を</t>
  </si>
  <si>
    <t>リスト形式で選べる形にしてほしいです</t>
  </si>
  <si>
    <t>コースもその形で45、60、70、90、110、150、180</t>
  </si>
  <si>
    <t>C20、E20・・・</t>
  </si>
  <si>
    <t>の形で引っ張ってきていただけると</t>
  </si>
  <si>
    <t>あと、足下帳には姫がありますが、これは本指名扱い、姫が入力されたら本指名にカウントしてください</t>
  </si>
  <si>
    <t>姫は出力（日報）時に必要になります。</t>
  </si>
  <si>
    <t>現カード払いはBD41、合計金額を出力していただきたいです。</t>
  </si>
  <si>
    <t>※未使用</t>
    <rPh sb="1" eb="4">
      <t>ミシヨウ</t>
    </rPh>
    <phoneticPr fontId="4"/>
  </si>
  <si>
    <t>※消さないで下さい。</t>
    <rPh sb="1" eb="2">
      <t>ケ</t>
    </rPh>
    <rPh sb="6" eb="7">
      <t>クダ</t>
    </rPh>
    <phoneticPr fontId="4"/>
  </si>
  <si>
    <t>並び替え</t>
    <rPh sb="0" eb="1">
      <t>ナラ</t>
    </rPh>
    <rPh sb="2" eb="3">
      <t>カ</t>
    </rPh>
    <phoneticPr fontId="4"/>
  </si>
  <si>
    <t>事務所用</t>
    <rPh sb="0" eb="2">
      <t>ジム</t>
    </rPh>
    <rPh sb="2" eb="3">
      <t>ショ</t>
    </rPh>
    <rPh sb="3" eb="4">
      <t>ヨウ</t>
    </rPh>
    <phoneticPr fontId="4"/>
  </si>
  <si>
    <t>平成</t>
    <rPh sb="0" eb="2">
      <t>ヘイセイ</t>
    </rPh>
    <phoneticPr fontId="4"/>
  </si>
  <si>
    <t>年</t>
    <rPh sb="0" eb="1">
      <t>ネン</t>
    </rPh>
    <phoneticPr fontId="4"/>
  </si>
  <si>
    <t>月</t>
    <rPh sb="0" eb="1">
      <t>ツキ</t>
    </rPh>
    <phoneticPr fontId="4"/>
  </si>
  <si>
    <t>日</t>
    <rPh sb="0" eb="1">
      <t>ニチ</t>
    </rPh>
    <phoneticPr fontId="4"/>
  </si>
  <si>
    <t>件数</t>
    <rPh sb="0" eb="2">
      <t>ケンスウ</t>
    </rPh>
    <phoneticPr fontId="4"/>
  </si>
  <si>
    <t>媒体</t>
    <rPh sb="0" eb="2">
      <t>バイタイ</t>
    </rPh>
    <phoneticPr fontId="4"/>
  </si>
  <si>
    <t>名前</t>
    <rPh sb="0" eb="2">
      <t>ナマエ</t>
    </rPh>
    <phoneticPr fontId="4"/>
  </si>
  <si>
    <t>クレジット</t>
    <phoneticPr fontId="4"/>
  </si>
  <si>
    <t>二輪</t>
    <rPh sb="0" eb="2">
      <t>ニリン</t>
    </rPh>
    <phoneticPr fontId="4"/>
  </si>
  <si>
    <t>備考</t>
    <rPh sb="0" eb="2">
      <t>ビコウ</t>
    </rPh>
    <phoneticPr fontId="4"/>
  </si>
  <si>
    <t>ネ</t>
    <phoneticPr fontId="4"/>
  </si>
  <si>
    <t>コース種別</t>
    <rPh sb="3" eb="5">
      <t>シュベツ</t>
    </rPh>
    <phoneticPr fontId="4"/>
  </si>
  <si>
    <t>コース</t>
    <phoneticPr fontId="4"/>
  </si>
  <si>
    <t>OP</t>
    <phoneticPr fontId="4"/>
  </si>
  <si>
    <t>ポイント割</t>
    <rPh sb="4" eb="5">
      <t>ワ</t>
    </rPh>
    <phoneticPr fontId="4"/>
  </si>
  <si>
    <t>クレジットカード</t>
    <phoneticPr fontId="4"/>
  </si>
  <si>
    <t>小計</t>
    <rPh sb="0" eb="2">
      <t>ショウケイ</t>
    </rPh>
    <phoneticPr fontId="4"/>
  </si>
  <si>
    <t>合計</t>
    <rPh sb="0" eb="2">
      <t>ゴウケイ</t>
    </rPh>
    <phoneticPr fontId="4"/>
  </si>
  <si>
    <t>①現金総売上</t>
    <rPh sb="1" eb="3">
      <t>ゲンキン</t>
    </rPh>
    <rPh sb="3" eb="4">
      <t>ソウ</t>
    </rPh>
    <rPh sb="4" eb="6">
      <t>ウリアゲ</t>
    </rPh>
    <phoneticPr fontId="4"/>
  </si>
  <si>
    <t>-</t>
    <phoneticPr fontId="4"/>
  </si>
  <si>
    <t>②仮受金</t>
    <rPh sb="1" eb="3">
      <t>カリウケ</t>
    </rPh>
    <rPh sb="3" eb="4">
      <t>キン</t>
    </rPh>
    <phoneticPr fontId="4"/>
  </si>
  <si>
    <t>③経費</t>
    <rPh sb="1" eb="3">
      <t>ケイヒ</t>
    </rPh>
    <phoneticPr fontId="4"/>
  </si>
  <si>
    <t>+</t>
    <phoneticPr fontId="4"/>
  </si>
  <si>
    <t>④備品・寮費等</t>
    <rPh sb="1" eb="3">
      <t>ビヒン</t>
    </rPh>
    <rPh sb="4" eb="6">
      <t>リョウヒ</t>
    </rPh>
    <rPh sb="6" eb="7">
      <t>トウ</t>
    </rPh>
    <phoneticPr fontId="4"/>
  </si>
  <si>
    <t>=</t>
    <phoneticPr fontId="4"/>
  </si>
  <si>
    <t>⑤総現金売上</t>
    <rPh sb="1" eb="2">
      <t>ソウ</t>
    </rPh>
    <rPh sb="2" eb="4">
      <t>ゲンキン</t>
    </rPh>
    <rPh sb="4" eb="6">
      <t>ウリアゲ</t>
    </rPh>
    <phoneticPr fontId="4"/>
  </si>
  <si>
    <t>コスプレ6個分の枠</t>
    <rPh sb="5" eb="7">
      <t>コブン</t>
    </rPh>
    <rPh sb="8" eb="9">
      <t>ワク</t>
    </rPh>
    <phoneticPr fontId="4"/>
  </si>
  <si>
    <t>備考入力規則</t>
    <rPh sb="0" eb="2">
      <t>ビコウ</t>
    </rPh>
    <rPh sb="2" eb="4">
      <t>ニュウリョク</t>
    </rPh>
    <rPh sb="4" eb="6">
      <t>キソク</t>
    </rPh>
    <phoneticPr fontId="4"/>
  </si>
  <si>
    <t>複合</t>
    <rPh sb="0" eb="2">
      <t>フクゴウ</t>
    </rPh>
    <phoneticPr fontId="4"/>
  </si>
  <si>
    <t>OP1</t>
    <phoneticPr fontId="4"/>
  </si>
  <si>
    <t>コスプレ</t>
    <phoneticPr fontId="4"/>
  </si>
  <si>
    <t>日付</t>
    <rPh sb="0" eb="2">
      <t>ヒヅケ</t>
    </rPh>
    <phoneticPr fontId="4"/>
  </si>
  <si>
    <t>N・R</t>
    <phoneticPr fontId="4"/>
  </si>
  <si>
    <t>女の子</t>
    <rPh sb="0" eb="1">
      <t>オンナ</t>
    </rPh>
    <rPh sb="2" eb="3">
      <t>コ</t>
    </rPh>
    <phoneticPr fontId="4"/>
  </si>
  <si>
    <t>コース</t>
    <phoneticPr fontId="4"/>
  </si>
  <si>
    <t>時間帯</t>
    <rPh sb="0" eb="3">
      <t>ジカンタイ</t>
    </rPh>
    <phoneticPr fontId="4"/>
  </si>
  <si>
    <t>コスプレ</t>
    <phoneticPr fontId="4"/>
  </si>
  <si>
    <t>入無</t>
    <rPh sb="0" eb="1">
      <t>イ</t>
    </rPh>
    <rPh sb="1" eb="2">
      <t>ム</t>
    </rPh>
    <phoneticPr fontId="4"/>
  </si>
  <si>
    <t>コース</t>
    <phoneticPr fontId="4"/>
  </si>
  <si>
    <t>コスプレ</t>
    <phoneticPr fontId="4"/>
  </si>
  <si>
    <t>カード</t>
    <phoneticPr fontId="4"/>
  </si>
  <si>
    <t>N</t>
    <phoneticPr fontId="4"/>
  </si>
  <si>
    <t>(</t>
    <phoneticPr fontId="4"/>
  </si>
  <si>
    <t>)</t>
    <phoneticPr fontId="4"/>
  </si>
  <si>
    <t>+</t>
    <phoneticPr fontId="4"/>
  </si>
  <si>
    <t>R</t>
    <phoneticPr fontId="4"/>
  </si>
  <si>
    <t>＝</t>
    <phoneticPr fontId="4"/>
  </si>
  <si>
    <t>（</t>
    <phoneticPr fontId="4"/>
  </si>
  <si>
    <t>）</t>
    <phoneticPr fontId="4"/>
  </si>
  <si>
    <t>ネ</t>
    <phoneticPr fontId="4"/>
  </si>
  <si>
    <t>-</t>
    <phoneticPr fontId="4"/>
  </si>
  <si>
    <t>④備品・寮費等</t>
    <rPh sb="1" eb="3">
      <t>ビヒン</t>
    </rPh>
    <rPh sb="4" eb="6">
      <t>リョウヒ</t>
    </rPh>
    <rPh sb="6" eb="7">
      <t>ナド</t>
    </rPh>
    <phoneticPr fontId="9"/>
  </si>
  <si>
    <t>⑤総現金売上</t>
    <rPh sb="1" eb="2">
      <t>ソウ</t>
    </rPh>
    <rPh sb="2" eb="4">
      <t>ゲンキン</t>
    </rPh>
    <rPh sb="4" eb="5">
      <t>ウ</t>
    </rPh>
    <rPh sb="5" eb="6">
      <t>ア</t>
    </rPh>
    <phoneticPr fontId="9"/>
  </si>
  <si>
    <t>名前</t>
    <rPh sb="0" eb="2">
      <t>ナマエ</t>
    </rPh>
    <phoneticPr fontId="4"/>
  </si>
  <si>
    <t>小計</t>
    <rPh sb="0" eb="2">
      <t>ショウケイ</t>
    </rPh>
    <phoneticPr fontId="4"/>
  </si>
  <si>
    <t>カードイベント合計</t>
    <rPh sb="7" eb="9">
      <t>ゴウケイ</t>
    </rPh>
    <phoneticPr fontId="4"/>
  </si>
  <si>
    <t>内イベント利用</t>
    <rPh sb="0" eb="1">
      <t>ウチ</t>
    </rPh>
    <rPh sb="5" eb="7">
      <t>リヨウ</t>
    </rPh>
    <phoneticPr fontId="4"/>
  </si>
  <si>
    <t>How to</t>
    <phoneticPr fontId="4"/>
  </si>
  <si>
    <t>MP</t>
    <phoneticPr fontId="4"/>
  </si>
  <si>
    <t>店頭本指名</t>
    <rPh sb="0" eb="2">
      <t>テントウ</t>
    </rPh>
    <rPh sb="2" eb="3">
      <t>ホン</t>
    </rPh>
    <rPh sb="3" eb="4">
      <t>シ</t>
    </rPh>
    <rPh sb="4" eb="5">
      <t>メイ</t>
    </rPh>
    <phoneticPr fontId="4"/>
  </si>
  <si>
    <t>LOVE*2</t>
  </si>
  <si>
    <t>How to</t>
  </si>
  <si>
    <t>MP</t>
  </si>
  <si>
    <t>LOVE*2</t>
    <phoneticPr fontId="4"/>
  </si>
  <si>
    <t>姫(通常)</t>
    <rPh sb="0" eb="1">
      <t>ヒメ</t>
    </rPh>
    <rPh sb="2" eb="4">
      <t>ツウジョウ</t>
    </rPh>
    <phoneticPr fontId="9"/>
  </si>
  <si>
    <t>本指</t>
    <rPh sb="0" eb="1">
      <t>ホン</t>
    </rPh>
    <rPh sb="1" eb="2">
      <t>ユビ</t>
    </rPh>
    <phoneticPr fontId="4"/>
  </si>
  <si>
    <t>外出(雑無)</t>
    <rPh sb="3" eb="4">
      <t>ザツ</t>
    </rPh>
    <rPh sb="4" eb="5">
      <t>ム</t>
    </rPh>
    <phoneticPr fontId="4"/>
  </si>
  <si>
    <t>姫</t>
    <rPh sb="0" eb="1">
      <t>ヒメ</t>
    </rPh>
    <phoneticPr fontId="9"/>
  </si>
  <si>
    <t>本数</t>
  </si>
  <si>
    <t>ポイント</t>
  </si>
  <si>
    <t>通常</t>
  </si>
  <si>
    <t>月</t>
  </si>
  <si>
    <t>日</t>
  </si>
  <si>
    <t>早朝の結果報告です。</t>
  </si>
  <si>
    <t>　6時出勤　　名</t>
  </si>
  <si>
    <t>半額</t>
  </si>
  <si>
    <t>-</t>
  </si>
  <si>
    <t>　6.5時出勤　　名</t>
  </si>
  <si>
    <t>　7時出勤　　名</t>
  </si>
  <si>
    <t>　7.5時出勤　　名</t>
  </si>
  <si>
    <t>予約</t>
  </si>
  <si>
    <t>来店</t>
  </si>
  <si>
    <t>　早朝受付人数　　名</t>
  </si>
  <si>
    <t>内訳</t>
  </si>
  <si>
    <t>　6</t>
  </si>
  <si>
    <t>時</t>
  </si>
  <si>
    <t>（</t>
  </si>
  <si>
    <t>）</t>
  </si>
  <si>
    <t>　　</t>
  </si>
  <si>
    <t>本</t>
  </si>
  <si>
    <t>PT</t>
  </si>
  <si>
    <t>　7</t>
  </si>
  <si>
    <t>　合計</t>
  </si>
  <si>
    <t>件</t>
  </si>
  <si>
    <t>以上です。宜しくお願いします。</t>
  </si>
  <si>
    <t>プレミアムWEEKの結果報告です。</t>
  </si>
  <si>
    <t>　8時出勤　　名</t>
  </si>
  <si>
    <t>　9時出勤　　名</t>
  </si>
  <si>
    <t>出勤人数</t>
    <rPh sb="0" eb="2">
      <t>シュッキン</t>
    </rPh>
    <rPh sb="2" eb="4">
      <t>ニンズウ</t>
    </rPh>
    <phoneticPr fontId="9"/>
  </si>
  <si>
    <t>来店</t>
    <rPh sb="0" eb="2">
      <t>ライテン</t>
    </rPh>
    <phoneticPr fontId="9"/>
  </si>
  <si>
    <t>決定</t>
    <rPh sb="0" eb="2">
      <t>ケッテイ</t>
    </rPh>
    <phoneticPr fontId="9"/>
  </si>
  <si>
    <t>帰客</t>
    <rPh sb="0" eb="1">
      <t>カエ</t>
    </rPh>
    <rPh sb="1" eb="2">
      <t>キャク</t>
    </rPh>
    <phoneticPr fontId="9"/>
  </si>
  <si>
    <t>即部屋</t>
    <rPh sb="0" eb="1">
      <t>ソク</t>
    </rPh>
    <rPh sb="1" eb="3">
      <t>ベヤ</t>
    </rPh>
    <phoneticPr fontId="9"/>
  </si>
  <si>
    <t>担当</t>
    <rPh sb="0" eb="2">
      <t>タントウ</t>
    </rPh>
    <phoneticPr fontId="9"/>
  </si>
  <si>
    <t>ラスト待機</t>
    <rPh sb="3" eb="5">
      <t>タイキ</t>
    </rPh>
    <phoneticPr fontId="9"/>
  </si>
  <si>
    <t>人数</t>
    <rPh sb="0" eb="2">
      <t>ニンズウ</t>
    </rPh>
    <phoneticPr fontId="9"/>
  </si>
  <si>
    <t>内訳</t>
    <rPh sb="0" eb="2">
      <t>ウチワケ</t>
    </rPh>
    <phoneticPr fontId="9"/>
  </si>
  <si>
    <t>ラブゲッチュ～　時間別来店管理表</t>
    <rPh sb="8" eb="10">
      <t>ジカン</t>
    </rPh>
    <rPh sb="10" eb="11">
      <t>ベツ</t>
    </rPh>
    <rPh sb="11" eb="13">
      <t>ライテン</t>
    </rPh>
    <rPh sb="13" eb="15">
      <t>カンリ</t>
    </rPh>
    <rPh sb="15" eb="16">
      <t>ヒョウ</t>
    </rPh>
    <phoneticPr fontId="9"/>
  </si>
  <si>
    <t>オプション</t>
    <phoneticPr fontId="4"/>
  </si>
  <si>
    <t>備考</t>
    <rPh sb="0" eb="2">
      <t>ビコウ</t>
    </rPh>
    <phoneticPr fontId="4"/>
  </si>
  <si>
    <t>ブレザー</t>
    <phoneticPr fontId="4"/>
  </si>
  <si>
    <t>花魁</t>
    <rPh sb="0" eb="2">
      <t>オイラン</t>
    </rPh>
    <phoneticPr fontId="4"/>
  </si>
  <si>
    <t>午前割</t>
    <rPh sb="0" eb="2">
      <t>ゴゼン</t>
    </rPh>
    <rPh sb="2" eb="3">
      <t>ワリ</t>
    </rPh>
    <phoneticPr fontId="4"/>
  </si>
  <si>
    <t>昨日までのポイント</t>
    <rPh sb="0" eb="2">
      <t>キノウ</t>
    </rPh>
    <phoneticPr fontId="4"/>
  </si>
  <si>
    <t>明日の目標</t>
    <rPh sb="0" eb="2">
      <t>アシタ</t>
    </rPh>
    <rPh sb="3" eb="5">
      <t>モクヒョウ</t>
    </rPh>
    <phoneticPr fontId="4"/>
  </si>
  <si>
    <t>今日の目標</t>
    <rPh sb="0" eb="2">
      <t>キョウ</t>
    </rPh>
    <rPh sb="3" eb="5">
      <t>モクヒョウ</t>
    </rPh>
    <phoneticPr fontId="4"/>
  </si>
  <si>
    <t>昨日までの予算比</t>
    <rPh sb="0" eb="2">
      <t>キノウ</t>
    </rPh>
    <rPh sb="5" eb="7">
      <t>ヨサン</t>
    </rPh>
    <rPh sb="7" eb="8">
      <t>ヒ</t>
    </rPh>
    <phoneticPr fontId="4"/>
  </si>
  <si>
    <t xml:space="preserve">ラブゲッチュー出勤情報です。   </t>
    <phoneticPr fontId="4"/>
  </si>
  <si>
    <t>明日の全部屋稼働の時間</t>
    <rPh sb="0" eb="2">
      <t>アス</t>
    </rPh>
    <rPh sb="3" eb="6">
      <t>ゼンヘヤ</t>
    </rPh>
    <rPh sb="6" eb="8">
      <t>カドウ</t>
    </rPh>
    <rPh sb="9" eb="11">
      <t>ジカン</t>
    </rPh>
    <phoneticPr fontId="4"/>
  </si>
  <si>
    <t>在籍人数</t>
    <rPh sb="0" eb="2">
      <t>ザイセキ</t>
    </rPh>
    <rPh sb="2" eb="4">
      <t>ニンズウ</t>
    </rPh>
    <phoneticPr fontId="4"/>
  </si>
  <si>
    <t>写真</t>
  </si>
  <si>
    <t>午前割</t>
  </si>
  <si>
    <t>午前割　無料コス</t>
    <rPh sb="0" eb="2">
      <t>ゴゼン</t>
    </rPh>
    <rPh sb="2" eb="3">
      <t>ワリ</t>
    </rPh>
    <rPh sb="4" eb="6">
      <t>ムリョウ</t>
    </rPh>
    <phoneticPr fontId="4"/>
  </si>
  <si>
    <t>⬅⬅いじらない➡</t>
    <phoneticPr fontId="4"/>
  </si>
  <si>
    <t>➡</t>
    <phoneticPr fontId="4"/>
  </si>
  <si>
    <t>⬇⬇⬇⬇</t>
    <phoneticPr fontId="4"/>
  </si>
  <si>
    <t>NET</t>
    <phoneticPr fontId="4"/>
  </si>
  <si>
    <t>枠の中いじらないでください</t>
    <rPh sb="0" eb="1">
      <t>ワク</t>
    </rPh>
    <rPh sb="2" eb="3">
      <t>ナカ</t>
    </rPh>
    <phoneticPr fontId="4"/>
  </si>
  <si>
    <t>写真</t>
    <rPh sb="0" eb="2">
      <t>シャシン</t>
    </rPh>
    <phoneticPr fontId="4"/>
  </si>
  <si>
    <t>NET</t>
    <phoneticPr fontId="4"/>
  </si>
  <si>
    <t>本指名</t>
    <rPh sb="0" eb="3">
      <t>ホンシメイ</t>
    </rPh>
    <phoneticPr fontId="4"/>
  </si>
  <si>
    <t>姫</t>
    <rPh sb="0" eb="1">
      <t>ヒメ</t>
    </rPh>
    <phoneticPr fontId="4"/>
  </si>
  <si>
    <t>本数</t>
    <rPh sb="0" eb="2">
      <t>ホンスウ</t>
    </rPh>
    <phoneticPr fontId="4"/>
  </si>
  <si>
    <t>計</t>
    <rPh sb="0" eb="1">
      <t>ケイ</t>
    </rPh>
    <phoneticPr fontId="4"/>
  </si>
  <si>
    <t>新人メルマガ</t>
    <rPh sb="0" eb="2">
      <t>シンジン</t>
    </rPh>
    <phoneticPr fontId="4"/>
  </si>
  <si>
    <t>新人メルマガ　無料コス</t>
    <rPh sb="0" eb="2">
      <t>シンジン</t>
    </rPh>
    <rPh sb="7" eb="9">
      <t>ムリョウ</t>
    </rPh>
    <phoneticPr fontId="4"/>
  </si>
  <si>
    <t>連番</t>
    <rPh sb="0" eb="2">
      <t>レンバン</t>
    </rPh>
    <phoneticPr fontId="4"/>
  </si>
  <si>
    <t>イベント内容</t>
    <rPh sb="4" eb="6">
      <t>ナイヨウ</t>
    </rPh>
    <phoneticPr fontId="4"/>
  </si>
  <si>
    <t>コース</t>
    <phoneticPr fontId="4"/>
  </si>
  <si>
    <t>割引額</t>
    <rPh sb="0" eb="3">
      <t>ワリビキガク</t>
    </rPh>
    <phoneticPr fontId="4"/>
  </si>
  <si>
    <t>読み込み内容</t>
    <rPh sb="0" eb="1">
      <t>ヨ</t>
    </rPh>
    <rPh sb="2" eb="3">
      <t>コ</t>
    </rPh>
    <rPh sb="4" eb="6">
      <t>ナイヨウ</t>
    </rPh>
    <phoneticPr fontId="4"/>
  </si>
  <si>
    <t>メルマガ</t>
    <phoneticPr fontId="4"/>
  </si>
  <si>
    <t>ご案内額</t>
    <rPh sb="1" eb="3">
      <t>アンナイ</t>
    </rPh>
    <rPh sb="3" eb="4">
      <t>ガク</t>
    </rPh>
    <phoneticPr fontId="4"/>
  </si>
  <si>
    <t>担当</t>
    <rPh sb="0" eb="2">
      <t>タントウ</t>
    </rPh>
    <phoneticPr fontId="4"/>
  </si>
  <si>
    <t>担当者</t>
    <rPh sb="0" eb="3">
      <t>タントウシャ</t>
    </rPh>
    <phoneticPr fontId="4"/>
  </si>
  <si>
    <t>ご来店時間</t>
    <rPh sb="1" eb="3">
      <t>ライテン</t>
    </rPh>
    <rPh sb="3" eb="5">
      <t>ジカン</t>
    </rPh>
    <phoneticPr fontId="4"/>
  </si>
  <si>
    <t>カード利用</t>
    <rPh sb="3" eb="5">
      <t>リヨウ</t>
    </rPh>
    <phoneticPr fontId="4"/>
  </si>
  <si>
    <t>カード</t>
    <phoneticPr fontId="4"/>
  </si>
  <si>
    <t>スタッフ名</t>
    <rPh sb="4" eb="5">
      <t>メイ</t>
    </rPh>
    <phoneticPr fontId="4"/>
  </si>
  <si>
    <t>木佐貫</t>
    <rPh sb="0" eb="3">
      <t>キサヌキ</t>
    </rPh>
    <phoneticPr fontId="4"/>
  </si>
  <si>
    <t>石田</t>
    <rPh sb="0" eb="2">
      <t>イシダ</t>
    </rPh>
    <phoneticPr fontId="4"/>
  </si>
  <si>
    <t>小林</t>
    <rPh sb="0" eb="2">
      <t>コバヤシ</t>
    </rPh>
    <phoneticPr fontId="4"/>
  </si>
  <si>
    <t>⇓平日用⇓</t>
    <rPh sb="1" eb="3">
      <t>ヘイジツ</t>
    </rPh>
    <rPh sb="3" eb="4">
      <t>ヨウ</t>
    </rPh>
    <phoneticPr fontId="4"/>
  </si>
  <si>
    <t>超早朝割</t>
    <rPh sb="0" eb="3">
      <t>チョウソウチョウ</t>
    </rPh>
    <rPh sb="3" eb="4">
      <t>ワリ</t>
    </rPh>
    <phoneticPr fontId="4"/>
  </si>
  <si>
    <t>早朝割</t>
    <rPh sb="0" eb="2">
      <t>ソウチョウ</t>
    </rPh>
    <rPh sb="2" eb="3">
      <t>ワリ</t>
    </rPh>
    <phoneticPr fontId="4"/>
  </si>
  <si>
    <t>西暦</t>
    <rPh sb="0" eb="2">
      <t>セイレキ</t>
    </rPh>
    <phoneticPr fontId="4"/>
  </si>
  <si>
    <t>ベスト</t>
  </si>
  <si>
    <t>セーラー</t>
  </si>
  <si>
    <t>ブルマ</t>
  </si>
  <si>
    <t>チアガール</t>
  </si>
  <si>
    <t>エプロン</t>
  </si>
  <si>
    <t>チャイナ</t>
  </si>
  <si>
    <t>MB</t>
  </si>
  <si>
    <t>網タイツ</t>
    <rPh sb="0" eb="1">
      <t>アミ</t>
    </rPh>
    <phoneticPr fontId="4"/>
  </si>
  <si>
    <t>ナース</t>
  </si>
  <si>
    <t>チャリティーコス</t>
  </si>
  <si>
    <t>早朝結果報告です。</t>
    <rPh sb="0" eb="2">
      <t>ソウチョウ</t>
    </rPh>
    <rPh sb="2" eb="4">
      <t>ケッカ</t>
    </rPh>
    <rPh sb="4" eb="6">
      <t>ホウコク</t>
    </rPh>
    <phoneticPr fontId="5"/>
  </si>
  <si>
    <t>・出勤</t>
    <rPh sb="1" eb="3">
      <t>シュッキン</t>
    </rPh>
    <phoneticPr fontId="5"/>
  </si>
  <si>
    <t>・本数</t>
    <rPh sb="1" eb="3">
      <t>ホンスウ</t>
    </rPh>
    <phoneticPr fontId="5"/>
  </si>
  <si>
    <t>以上、宜しくお願い致します。</t>
    <rPh sb="0" eb="2">
      <t>イジョウ</t>
    </rPh>
    <rPh sb="3" eb="4">
      <t>ヨロ</t>
    </rPh>
    <rPh sb="7" eb="8">
      <t>ネガ</t>
    </rPh>
    <rPh sb="9" eb="10">
      <t>イタ</t>
    </rPh>
    <phoneticPr fontId="5"/>
  </si>
  <si>
    <t>総本数</t>
    <rPh sb="0" eb="3">
      <t>ソウホンスウ</t>
    </rPh>
    <phoneticPr fontId="4"/>
  </si>
  <si>
    <t>内割引本数</t>
    <rPh sb="0" eb="1">
      <t>ウチ</t>
    </rPh>
    <rPh sb="1" eb="3">
      <t>ワリビキ</t>
    </rPh>
    <rPh sb="3" eb="5">
      <t>ホンスウ</t>
    </rPh>
    <phoneticPr fontId="4"/>
  </si>
  <si>
    <t>来店数</t>
    <rPh sb="0" eb="3">
      <t>ライテンスウ</t>
    </rPh>
    <phoneticPr fontId="4"/>
  </si>
  <si>
    <t>予約数</t>
    <rPh sb="0" eb="3">
      <t>ヨヤクスウ</t>
    </rPh>
    <phoneticPr fontId="4"/>
  </si>
  <si>
    <t>合計pt</t>
    <rPh sb="0" eb="2">
      <t>ゴウケイ</t>
    </rPh>
    <phoneticPr fontId="4"/>
  </si>
  <si>
    <t>6:00-6.59</t>
    <phoneticPr fontId="4"/>
  </si>
  <si>
    <t>7:00-7:59</t>
    <phoneticPr fontId="4"/>
  </si>
  <si>
    <t>8:00-8.59</t>
    <phoneticPr fontId="4"/>
  </si>
  <si>
    <t>早朝結果報告用</t>
    <rPh sb="0" eb="2">
      <t>ソウチョウ</t>
    </rPh>
    <rPh sb="2" eb="6">
      <t>ケッカホウコク</t>
    </rPh>
    <rPh sb="6" eb="7">
      <t>ヨウ</t>
    </rPh>
    <phoneticPr fontId="4"/>
  </si>
  <si>
    <t>6時</t>
    <rPh sb="1" eb="2">
      <t>ジ</t>
    </rPh>
    <phoneticPr fontId="4"/>
  </si>
  <si>
    <t>6.5時</t>
    <rPh sb="3" eb="4">
      <t>ジ</t>
    </rPh>
    <phoneticPr fontId="4"/>
  </si>
  <si>
    <t>7時</t>
    <rPh sb="1" eb="2">
      <t>ジ</t>
    </rPh>
    <phoneticPr fontId="4"/>
  </si>
  <si>
    <t>7.5時</t>
    <rPh sb="3" eb="4">
      <t>ジ</t>
    </rPh>
    <phoneticPr fontId="4"/>
  </si>
  <si>
    <t>大塚</t>
    <rPh sb="0" eb="2">
      <t>オオツカ</t>
    </rPh>
    <phoneticPr fontId="4"/>
  </si>
  <si>
    <t>知人割</t>
    <rPh sb="0" eb="2">
      <t>チジン</t>
    </rPh>
    <rPh sb="2" eb="3">
      <t>ワリ</t>
    </rPh>
    <phoneticPr fontId="4"/>
  </si>
  <si>
    <t>入無</t>
    <rPh sb="0" eb="2">
      <t>ニュウム</t>
    </rPh>
    <phoneticPr fontId="4"/>
  </si>
  <si>
    <t>姫</t>
    <rPh sb="0" eb="1">
      <t>ヒメ</t>
    </rPh>
    <phoneticPr fontId="4"/>
  </si>
  <si>
    <t>NET</t>
    <phoneticPr fontId="4"/>
  </si>
  <si>
    <t>本指名</t>
    <rPh sb="0" eb="3">
      <t>ホンシメイ</t>
    </rPh>
    <phoneticPr fontId="4"/>
  </si>
  <si>
    <t>写真</t>
    <rPh sb="0" eb="2">
      <t>シャシン</t>
    </rPh>
    <phoneticPr fontId="4"/>
  </si>
  <si>
    <t>内割引</t>
    <rPh sb="0" eb="1">
      <t>ウチ</t>
    </rPh>
    <rPh sb="1" eb="3">
      <t>ワリビキ</t>
    </rPh>
    <phoneticPr fontId="4"/>
  </si>
  <si>
    <t>合計</t>
    <rPh sb="0" eb="2">
      <t>ゴウケイ</t>
    </rPh>
    <phoneticPr fontId="4"/>
  </si>
  <si>
    <t>9:00-9:59</t>
    <phoneticPr fontId="4"/>
  </si>
  <si>
    <t>【9:00-9:59】</t>
    <phoneticPr fontId="4"/>
  </si>
  <si>
    <t>【早朝合計】</t>
    <phoneticPr fontId="4"/>
  </si>
  <si>
    <t>・本数</t>
    <phoneticPr fontId="4"/>
  </si>
  <si>
    <t>OFF</t>
  </si>
  <si>
    <t>ON</t>
  </si>
  <si>
    <t>フォーム拡大率</t>
    <rPh sb="4" eb="7">
      <t>カクダイリツ</t>
    </rPh>
    <phoneticPr fontId="4"/>
  </si>
  <si>
    <t>フォームX</t>
    <phoneticPr fontId="4"/>
  </si>
  <si>
    <t>フォームY</t>
    <phoneticPr fontId="4"/>
  </si>
  <si>
    <t>状態フォーム X</t>
    <rPh sb="0" eb="2">
      <t>ジョウタイ</t>
    </rPh>
    <phoneticPr fontId="4"/>
  </si>
  <si>
    <t>状態フォーム Y</t>
    <rPh sb="0" eb="2">
      <t>ジョウタイ</t>
    </rPh>
    <phoneticPr fontId="4"/>
  </si>
  <si>
    <t>午前割引結果報告です。</t>
  </si>
  <si>
    <t>渡辺</t>
    <rPh sb="0" eb="2">
      <t>ワタナベ</t>
    </rPh>
    <phoneticPr fontId="4"/>
  </si>
  <si>
    <t>【6:00-6:59】</t>
    <phoneticPr fontId="4"/>
  </si>
  <si>
    <t>【7:00-8:59】</t>
    <phoneticPr fontId="4"/>
  </si>
  <si>
    <t>表示ON</t>
    <rPh sb="0" eb="2">
      <t>ヒョウジ</t>
    </rPh>
    <phoneticPr fontId="4"/>
  </si>
  <si>
    <t>バック</t>
    <phoneticPr fontId="9"/>
  </si>
  <si>
    <t>S</t>
    <phoneticPr fontId="9"/>
  </si>
  <si>
    <t>M</t>
    <phoneticPr fontId="9"/>
  </si>
  <si>
    <t>L</t>
    <phoneticPr fontId="9"/>
  </si>
  <si>
    <t>LL</t>
    <phoneticPr fontId="9"/>
  </si>
  <si>
    <t>WT</t>
    <phoneticPr fontId="9"/>
  </si>
  <si>
    <t>OD</t>
    <phoneticPr fontId="9"/>
  </si>
  <si>
    <t>セペ</t>
    <phoneticPr fontId="9"/>
  </si>
  <si>
    <t>BP</t>
    <phoneticPr fontId="9"/>
  </si>
  <si>
    <t>OP</t>
    <phoneticPr fontId="9"/>
  </si>
  <si>
    <t>ラブゲッチュー</t>
    <phoneticPr fontId="4"/>
  </si>
  <si>
    <t>外出</t>
    <rPh sb="0" eb="2">
      <t>ガイシュツ</t>
    </rPh>
    <phoneticPr fontId="4"/>
  </si>
  <si>
    <t>75分</t>
    <rPh sb="2" eb="3">
      <t>フン</t>
    </rPh>
    <phoneticPr fontId="9"/>
  </si>
  <si>
    <t>120分</t>
    <rPh sb="3" eb="4">
      <t>フン</t>
    </rPh>
    <phoneticPr fontId="4"/>
  </si>
  <si>
    <t>-</t>
    <phoneticPr fontId="9"/>
  </si>
  <si>
    <t>特殊</t>
    <rPh sb="0" eb="2">
      <t>トクシュ</t>
    </rPh>
    <phoneticPr fontId="9"/>
  </si>
  <si>
    <t>特殊2</t>
    <rPh sb="0" eb="2">
      <t>トクシュ</t>
    </rPh>
    <phoneticPr fontId="9"/>
  </si>
  <si>
    <t>特殊3</t>
    <rPh sb="0" eb="2">
      <t>トクシュ</t>
    </rPh>
    <phoneticPr fontId="9"/>
  </si>
  <si>
    <t>特殊4</t>
    <rPh sb="0" eb="2">
      <t>トクシュ</t>
    </rPh>
    <phoneticPr fontId="9"/>
  </si>
  <si>
    <t>特殊5</t>
    <rPh sb="0" eb="2">
      <t>トクシュ</t>
    </rPh>
    <phoneticPr fontId="9"/>
  </si>
  <si>
    <t>特殊6</t>
    <rPh sb="0" eb="2">
      <t>トクシュ</t>
    </rPh>
    <phoneticPr fontId="9"/>
  </si>
  <si>
    <t>特殊7</t>
    <rPh sb="0" eb="2">
      <t>トクシュ</t>
    </rPh>
    <phoneticPr fontId="9"/>
  </si>
  <si>
    <t>120分</t>
    <rPh sb="3" eb="4">
      <t>フン</t>
    </rPh>
    <phoneticPr fontId="9"/>
  </si>
  <si>
    <t>-</t>
    <phoneticPr fontId="4"/>
  </si>
  <si>
    <t>ポイント</t>
    <phoneticPr fontId="9"/>
  </si>
  <si>
    <t>PL</t>
    <phoneticPr fontId="4"/>
  </si>
  <si>
    <t>撮影</t>
    <rPh sb="0" eb="2">
      <t>サツエイ</t>
    </rPh>
    <phoneticPr fontId="4"/>
  </si>
  <si>
    <t>撮影PL</t>
    <rPh sb="0" eb="2">
      <t>サツエイ</t>
    </rPh>
    <phoneticPr fontId="4"/>
  </si>
  <si>
    <t>レジ未入金</t>
    <rPh sb="2" eb="5">
      <t>ミニュウキン</t>
    </rPh>
    <phoneticPr fontId="9"/>
  </si>
  <si>
    <t>備品等</t>
    <rPh sb="0" eb="2">
      <t>ビヒン</t>
    </rPh>
    <rPh sb="2" eb="3">
      <t>ナド</t>
    </rPh>
    <phoneticPr fontId="9"/>
  </si>
  <si>
    <t>OP</t>
    <phoneticPr fontId="9"/>
  </si>
  <si>
    <t>島野</t>
    <rPh sb="0" eb="2">
      <t>シマノ</t>
    </rPh>
    <phoneticPr fontId="4"/>
  </si>
  <si>
    <t>井口</t>
    <rPh sb="0" eb="2">
      <t>イグチ</t>
    </rPh>
    <phoneticPr fontId="4"/>
  </si>
  <si>
    <t>キャンペーン</t>
    <phoneticPr fontId="4"/>
  </si>
  <si>
    <t>+</t>
    <phoneticPr fontId="4"/>
  </si>
  <si>
    <t>（</t>
    <phoneticPr fontId="4"/>
  </si>
  <si>
    <t>・締め作業者</t>
    <rPh sb="1" eb="2">
      <t>シ</t>
    </rPh>
    <phoneticPr fontId="4"/>
  </si>
  <si>
    <t>フロント作業者</t>
    <rPh sb="4" eb="6">
      <t>サギョウ</t>
    </rPh>
    <rPh sb="6" eb="7">
      <t>シャ</t>
    </rPh>
    <phoneticPr fontId="4"/>
  </si>
  <si>
    <t>2輪入無</t>
    <rPh sb="1" eb="2">
      <t>リン</t>
    </rPh>
    <rPh sb="2" eb="3">
      <t>ニュウ</t>
    </rPh>
    <rPh sb="3" eb="4">
      <t>ム</t>
    </rPh>
    <phoneticPr fontId="4"/>
  </si>
  <si>
    <t>2輪入無</t>
    <rPh sb="1" eb="2">
      <t>リン</t>
    </rPh>
    <rPh sb="2" eb="4">
      <t>n</t>
    </rPh>
    <phoneticPr fontId="4"/>
  </si>
  <si>
    <t>以上、宜しくお願い致します。</t>
    <rPh sb="0" eb="2">
      <t>イジョウ</t>
    </rPh>
    <rPh sb="3" eb="4">
      <t>ヨロ</t>
    </rPh>
    <rPh sb="7" eb="8">
      <t>ネガ</t>
    </rPh>
    <rPh sb="9" eb="10">
      <t>イタ</t>
    </rPh>
    <phoneticPr fontId="4"/>
  </si>
  <si>
    <t>新人割</t>
    <rPh sb="0" eb="2">
      <t>シンジン</t>
    </rPh>
    <rPh sb="2" eb="3">
      <t>ワリ</t>
    </rPh>
    <phoneticPr fontId="4"/>
  </si>
  <si>
    <t>チケットIN</t>
    <phoneticPr fontId="4"/>
  </si>
  <si>
    <t>チケットOUT</t>
    <phoneticPr fontId="4"/>
  </si>
  <si>
    <t>協力店優待券</t>
    <rPh sb="0" eb="2">
      <t>キョウリョク</t>
    </rPh>
    <rPh sb="2" eb="3">
      <t>テン</t>
    </rPh>
    <rPh sb="3" eb="6">
      <t>ユウタイケン</t>
    </rPh>
    <phoneticPr fontId="4"/>
  </si>
  <si>
    <t>還元チケット</t>
    <rPh sb="0" eb="2">
      <t>カンゲン</t>
    </rPh>
    <phoneticPr fontId="4"/>
  </si>
  <si>
    <t>還チケ</t>
    <rPh sb="0" eb="1">
      <t>カン</t>
    </rPh>
    <phoneticPr fontId="4"/>
  </si>
  <si>
    <t>協力店優待券</t>
    <rPh sb="0" eb="2">
      <t>キョウリョク</t>
    </rPh>
    <rPh sb="2" eb="3">
      <t>テン</t>
    </rPh>
    <rPh sb="3" eb="6">
      <t>ユウタイケン</t>
    </rPh>
    <phoneticPr fontId="4"/>
  </si>
  <si>
    <t>L G C精算表</t>
    <rPh sb="5" eb="6">
      <t>セイ</t>
    </rPh>
    <rPh sb="6" eb="7">
      <t>サン</t>
    </rPh>
    <rPh sb="7" eb="8">
      <t>ヒョウ</t>
    </rPh>
    <phoneticPr fontId="9"/>
  </si>
  <si>
    <t>7000円</t>
  </si>
  <si>
    <t>7000円</t>
    <rPh sb="4" eb="5">
      <t>エン</t>
    </rPh>
    <phoneticPr fontId="4"/>
  </si>
  <si>
    <t>10000円</t>
    <rPh sb="5" eb="6">
      <t>エン</t>
    </rPh>
    <phoneticPr fontId="4"/>
  </si>
  <si>
    <t>8000円</t>
    <rPh sb="4" eb="5">
      <t>エン</t>
    </rPh>
    <phoneticPr fontId="4"/>
  </si>
  <si>
    <t>6000円</t>
  </si>
  <si>
    <t>6000円</t>
    <rPh sb="4" eb="5">
      <t>エン</t>
    </rPh>
    <phoneticPr fontId="4"/>
  </si>
  <si>
    <t>5000円</t>
  </si>
  <si>
    <t>5000円</t>
    <phoneticPr fontId="4"/>
  </si>
  <si>
    <t>6000円</t>
    <phoneticPr fontId="4"/>
  </si>
  <si>
    <t>7000円</t>
    <phoneticPr fontId="4"/>
  </si>
  <si>
    <t>9000円</t>
  </si>
  <si>
    <t>9000円</t>
    <phoneticPr fontId="4"/>
  </si>
  <si>
    <t>3000円</t>
    <phoneticPr fontId="4"/>
  </si>
  <si>
    <t>4000円</t>
    <phoneticPr fontId="4"/>
  </si>
  <si>
    <t>2000円</t>
    <phoneticPr fontId="4"/>
  </si>
  <si>
    <t>メルマガ</t>
    <phoneticPr fontId="4"/>
  </si>
  <si>
    <t>OUT</t>
    <phoneticPr fontId="4"/>
  </si>
  <si>
    <t>チケット</t>
  </si>
  <si>
    <t>優待</t>
  </si>
  <si>
    <t>IN</t>
  </si>
  <si>
    <t>OUT</t>
  </si>
  <si>
    <t xml:space="preserve">入店2ヶ月までの女の子はメルマガ会員様限定45分・本指名適用外　　　
2/14～チャリコス2000円（女の子1000円/店500円/募金500円
午前割＝平日9-12　土日祝9-10　メルマガ会員様限定45分・本指名適用外　
超早朝割引=6:00~6:59 土日祝限定 45分 本指名適用外　 早朝割引= 7:00~8:59 土日祝限定 45分 本指名適用外 　
優待券割引=増税還元チケット 10/1-11/30 チケット利用で割引  本指名も含む 45分適用外  
2輪入無=10/1-11/30 メルマガ会員様 90分 120分 限定2輪利用で1名分入浴料無料、本指名も含む
    </t>
    <phoneticPr fontId="4"/>
  </si>
  <si>
    <t>知割</t>
    <rPh sb="0" eb="1">
      <t>チ</t>
    </rPh>
    <rPh sb="1" eb="2">
      <t>ワリ</t>
    </rPh>
    <phoneticPr fontId="4"/>
  </si>
  <si>
    <t>左上のイベントテキスト編集時
セル内改行する場合　Alt+Enter</t>
    <rPh sb="0" eb="2">
      <t>ヒダリウエ</t>
    </rPh>
    <rPh sb="11" eb="13">
      <t>ヘンシュウ</t>
    </rPh>
    <rPh sb="13" eb="14">
      <t>ジ</t>
    </rPh>
    <rPh sb="17" eb="18">
      <t>ナイ</t>
    </rPh>
    <rPh sb="18" eb="20">
      <t>カイギョウ</t>
    </rPh>
    <rPh sb="22" eb="24">
      <t>バアイ</t>
    </rPh>
    <phoneticPr fontId="4"/>
  </si>
  <si>
    <t>割引・メルマガ管理</t>
    <rPh sb="0" eb="2">
      <t>ワリビキ</t>
    </rPh>
    <rPh sb="7" eb="9">
      <t>カンリ</t>
    </rPh>
    <phoneticPr fontId="4"/>
  </si>
  <si>
    <t>店舗設定</t>
    <rPh sb="0" eb="2">
      <t>テンポ</t>
    </rPh>
    <rPh sb="2" eb="4">
      <t>セッテイ</t>
    </rPh>
    <phoneticPr fontId="4"/>
  </si>
  <si>
    <t>有無</t>
    <rPh sb="0" eb="1">
      <t>アリ</t>
    </rPh>
    <rPh sb="1" eb="2">
      <t>ナ</t>
    </rPh>
    <phoneticPr fontId="4"/>
  </si>
  <si>
    <t>番号札名称</t>
    <rPh sb="0" eb="2">
      <t>バンゴウ</t>
    </rPh>
    <rPh sb="2" eb="3">
      <t>フダ</t>
    </rPh>
    <rPh sb="3" eb="5">
      <t>メイショウ</t>
    </rPh>
    <phoneticPr fontId="4"/>
  </si>
  <si>
    <t>コース種類</t>
    <rPh sb="3" eb="5">
      <t>シュルイ</t>
    </rPh>
    <phoneticPr fontId="4"/>
  </si>
  <si>
    <t>指名種類</t>
    <rPh sb="0" eb="2">
      <t>シメイ</t>
    </rPh>
    <rPh sb="2" eb="4">
      <t>シュルイ</t>
    </rPh>
    <phoneticPr fontId="4"/>
  </si>
  <si>
    <t>フォーム設定</t>
    <rPh sb="4" eb="6">
      <t>セッテイ</t>
    </rPh>
    <phoneticPr fontId="4"/>
  </si>
  <si>
    <t>その他ボタン 表示スイッチ</t>
    <rPh sb="2" eb="3">
      <t>タ</t>
    </rPh>
    <rPh sb="7" eb="9">
      <t>ヒョウジ</t>
    </rPh>
    <phoneticPr fontId="4"/>
  </si>
  <si>
    <t>INOUT使用 キー設定</t>
    <rPh sb="5" eb="7">
      <t>シヨウ</t>
    </rPh>
    <rPh sb="10" eb="12">
      <t>セッテイ</t>
    </rPh>
    <phoneticPr fontId="4"/>
  </si>
  <si>
    <t>メルマガONOFF</t>
    <phoneticPr fontId="4"/>
  </si>
  <si>
    <t>複合</t>
  </si>
  <si>
    <t>一括</t>
  </si>
  <si>
    <t>入力規則</t>
    <rPh sb="0" eb="4">
      <t>ニュウリョクキソク</t>
    </rPh>
    <phoneticPr fontId="4"/>
  </si>
  <si>
    <t>料金表</t>
    <rPh sb="0" eb="3">
      <t>リョウキンヒョウ</t>
    </rPh>
    <phoneticPr fontId="4"/>
  </si>
  <si>
    <t>バック金額</t>
    <rPh sb="3" eb="5">
      <t>キンガク</t>
    </rPh>
    <phoneticPr fontId="4"/>
  </si>
  <si>
    <t>入浴金額</t>
    <rPh sb="0" eb="2">
      <t>ニュウヨク</t>
    </rPh>
    <rPh sb="2" eb="4">
      <t>キンガク</t>
    </rPh>
    <phoneticPr fontId="4"/>
  </si>
  <si>
    <t>-</t>
    <phoneticPr fontId="4"/>
  </si>
  <si>
    <t>-</t>
    <phoneticPr fontId="4"/>
  </si>
  <si>
    <t>END</t>
    <phoneticPr fontId="4"/>
  </si>
  <si>
    <t>項目名</t>
    <rPh sb="0" eb="2">
      <t>コウモク</t>
    </rPh>
    <rPh sb="2" eb="3">
      <t>メイ</t>
    </rPh>
    <phoneticPr fontId="4"/>
  </si>
  <si>
    <t>総額金額</t>
    <rPh sb="0" eb="2">
      <t>ソウガク</t>
    </rPh>
    <rPh sb="2" eb="4">
      <t>キンガク</t>
    </rPh>
    <phoneticPr fontId="4"/>
  </si>
  <si>
    <t>カード手数料</t>
    <rPh sb="3" eb="6">
      <t>テスウリョウ</t>
    </rPh>
    <phoneticPr fontId="4"/>
  </si>
  <si>
    <t>表示OFF</t>
  </si>
  <si>
    <t>N</t>
  </si>
  <si>
    <t>R</t>
  </si>
  <si>
    <t>保存アドレス</t>
    <rPh sb="0" eb="2">
      <t>ホゾン</t>
    </rPh>
    <phoneticPr fontId="4"/>
  </si>
  <si>
    <t>雑務系</t>
    <rPh sb="0" eb="2">
      <t>ザツム</t>
    </rPh>
    <rPh sb="2" eb="3">
      <t>ケイ</t>
    </rPh>
    <phoneticPr fontId="4"/>
  </si>
  <si>
    <t>ONOFF</t>
    <phoneticPr fontId="4"/>
  </si>
  <si>
    <t>外出(雑無)</t>
    <rPh sb="0" eb="2">
      <t>ガイシュツ</t>
    </rPh>
    <rPh sb="3" eb="4">
      <t>ゾウ</t>
    </rPh>
    <rPh sb="4" eb="5">
      <t>ム</t>
    </rPh>
    <phoneticPr fontId="4"/>
  </si>
  <si>
    <t>雑務系</t>
    <phoneticPr fontId="4"/>
  </si>
  <si>
    <t>\\25.16.250.228\getchu\精算表</t>
    <phoneticPr fontId="4"/>
  </si>
  <si>
    <t>岩田</t>
    <rPh sb="0" eb="2">
      <t>イワタ</t>
    </rPh>
    <phoneticPr fontId="4"/>
  </si>
  <si>
    <t>岸浪</t>
    <rPh sb="0" eb="2">
      <t>キシナミ</t>
    </rPh>
    <phoneticPr fontId="4"/>
  </si>
  <si>
    <t>追加バック</t>
    <rPh sb="0" eb="2">
      <t>ツイカ</t>
    </rPh>
    <phoneticPr fontId="4"/>
  </si>
  <si>
    <t>二輪用90バック</t>
    <rPh sb="0" eb="2">
      <t>ニリン</t>
    </rPh>
    <rPh sb="2" eb="3">
      <t>ヨウ</t>
    </rPh>
    <phoneticPr fontId="4"/>
  </si>
  <si>
    <t>二輪用120バック</t>
    <rPh sb="0" eb="2">
      <t>ニリン</t>
    </rPh>
    <rPh sb="2" eb="3">
      <t>ヨウ</t>
    </rPh>
    <phoneticPr fontId="4"/>
  </si>
  <si>
    <t>a</t>
    <phoneticPr fontId="4"/>
  </si>
  <si>
    <t>ノーマル</t>
    <phoneticPr fontId="4"/>
  </si>
  <si>
    <t>No.</t>
    <phoneticPr fontId="4"/>
  </si>
  <si>
    <t>入無</t>
    <phoneticPr fontId="4"/>
  </si>
  <si>
    <t>ON</t>
    <phoneticPr fontId="4"/>
  </si>
  <si>
    <t>新人割</t>
    <phoneticPr fontId="4"/>
  </si>
  <si>
    <t>午前割</t>
    <phoneticPr fontId="4"/>
  </si>
  <si>
    <t>知割</t>
    <phoneticPr fontId="4"/>
  </si>
  <si>
    <t>OFF</t>
    <phoneticPr fontId="4"/>
  </si>
  <si>
    <t>超早朝割</t>
    <phoneticPr fontId="4"/>
  </si>
  <si>
    <t>早朝割</t>
    <phoneticPr fontId="4"/>
  </si>
  <si>
    <t>2輪入無</t>
    <phoneticPr fontId="4"/>
  </si>
  <si>
    <t>還元チケット</t>
    <phoneticPr fontId="4"/>
  </si>
  <si>
    <t>協力店優待券</t>
    <phoneticPr fontId="4"/>
  </si>
  <si>
    <t>特殊割引</t>
    <phoneticPr fontId="4"/>
  </si>
  <si>
    <t>外出(雑無)</t>
    <phoneticPr fontId="4"/>
  </si>
  <si>
    <t>複合</t>
    <phoneticPr fontId="4"/>
  </si>
  <si>
    <t>一括</t>
    <phoneticPr fontId="4"/>
  </si>
  <si>
    <t>小林</t>
    <phoneticPr fontId="4"/>
  </si>
  <si>
    <t>木佐貫</t>
    <phoneticPr fontId="4"/>
  </si>
  <si>
    <t>島野</t>
    <phoneticPr fontId="4"/>
  </si>
  <si>
    <t>石田</t>
    <phoneticPr fontId="4"/>
  </si>
  <si>
    <t>大塚</t>
    <phoneticPr fontId="4"/>
  </si>
  <si>
    <t>岸浪</t>
    <phoneticPr fontId="4"/>
  </si>
  <si>
    <t>岩田</t>
    <phoneticPr fontId="4"/>
  </si>
  <si>
    <t>渡辺</t>
    <phoneticPr fontId="4"/>
  </si>
  <si>
    <t>井口</t>
    <phoneticPr fontId="4"/>
  </si>
</sst>
</file>

<file path=xl/styles.xml><?xml version="1.0" encoding="utf-8"?>
<styleSheet xmlns="http://schemas.openxmlformats.org/spreadsheetml/2006/main">
  <numFmts count="16">
    <numFmt numFmtId="176" formatCode="_(&quot;¥&quot;* #,##0_);_(&quot;¥&quot;* \(#,##0\);_(&quot;¥&quot;* &quot;-&quot;_);_(@_)"/>
    <numFmt numFmtId="177" formatCode="&quot;¥&quot;#,##0_);\(&quot;¥&quot;#,##0\)"/>
    <numFmt numFmtId="178" formatCode="0;0;"/>
    <numFmt numFmtId="179" formatCode="#,##0_);[Red]\(#,##0\)"/>
    <numFmt numFmtId="180" formatCode="#,##0;[Red]\(#,##0\)"/>
    <numFmt numFmtId="181" formatCode="gee&quot;年&quot;m&quot;月&quot;d&quot;日&quot;\(aaa\)"/>
    <numFmt numFmtId="182" formatCode="&quot;¥&quot;#,##0_);[Red]\(&quot;¥&quot;#,##0\)"/>
    <numFmt numFmtId="183" formatCode="h:mm;@"/>
    <numFmt numFmtId="184" formatCode="0;\-0;;@"/>
    <numFmt numFmtId="185" formatCode="0.00_ "/>
    <numFmt numFmtId="186" formatCode="&quot;No.&quot;0"/>
    <numFmt numFmtId="187" formatCode="m/d;@"/>
    <numFmt numFmtId="188" formatCode="m&quot;月&quot;d&quot;日&quot;;@"/>
    <numFmt numFmtId="189" formatCode="[$-F800]dddd\,\ mmmm\ dd\,\ yyyy"/>
    <numFmt numFmtId="190" formatCode="yyyy&quot;年&quot;m&quot;月&quot;d&quot;日&quot;\(aaa\)"/>
    <numFmt numFmtId="191" formatCode="0_);[Red]\(0\)"/>
  </numFmts>
  <fonts count="4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Ｐゴシック"/>
      <family val="3"/>
      <charset val="128"/>
    </font>
    <font>
      <sz val="18"/>
      <color theme="1"/>
      <name val="ＭＳ Ｐゴシック"/>
      <family val="2"/>
      <charset val="128"/>
      <scheme val="minor"/>
    </font>
    <font>
      <sz val="36"/>
      <color theme="1"/>
      <name val="HG丸ｺﾞｼｯｸM-PRO"/>
      <family val="3"/>
      <charset val="128"/>
    </font>
    <font>
      <sz val="6"/>
      <name val="ＭＳ Ｐゴシック"/>
      <family val="2"/>
      <charset val="128"/>
      <scheme val="minor"/>
    </font>
    <font>
      <sz val="18"/>
      <color theme="1"/>
      <name val="HG丸ｺﾞｼｯｸM-PRO"/>
      <family val="3"/>
      <charset val="128"/>
    </font>
    <font>
      <sz val="18"/>
      <name val="ＭＳ Ｐゴシック"/>
      <family val="3"/>
      <charset val="128"/>
    </font>
    <font>
      <sz val="11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sz val="18"/>
      <name val="ＭＳ Ｐゴシック"/>
      <family val="2"/>
      <charset val="128"/>
    </font>
    <font>
      <sz val="12"/>
      <color theme="1"/>
      <name val="HG丸ｺﾞｼｯｸM-PRO"/>
      <family val="3"/>
      <charset val="128"/>
    </font>
    <font>
      <sz val="26"/>
      <color theme="1"/>
      <name val="HG丸ｺﾞｼｯｸM-PRO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メイリオ"/>
      <family val="3"/>
      <charset val="128"/>
    </font>
    <font>
      <sz val="14"/>
      <name val="メイリオ"/>
      <family val="3"/>
      <charset val="128"/>
    </font>
    <font>
      <sz val="14"/>
      <name val="HG丸ｺﾞｼｯｸM-PRO"/>
      <family val="3"/>
      <charset val="128"/>
    </font>
    <font>
      <sz val="18"/>
      <name val="HG丸ｺﾞｼｯｸM-PRO"/>
      <family val="3"/>
      <charset val="128"/>
    </font>
    <font>
      <sz val="9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0"/>
      <name val="HG丸ｺﾞｼｯｸM-PRO"/>
      <family val="3"/>
      <charset val="128"/>
    </font>
    <font>
      <sz val="12"/>
      <color indexed="18"/>
      <name val="HG丸ｺﾞｼｯｸM-PRO"/>
      <family val="3"/>
      <charset val="128"/>
    </font>
    <font>
      <sz val="10"/>
      <color indexed="9"/>
      <name val="HG丸ｺﾞｼｯｸM-PRO"/>
      <family val="3"/>
      <charset val="128"/>
    </font>
    <font>
      <sz val="9"/>
      <color indexed="9"/>
      <name val="HG丸ｺﾞｼｯｸM-PRO"/>
      <family val="3"/>
      <charset val="128"/>
    </font>
    <font>
      <sz val="8"/>
      <color indexed="9"/>
      <name val="HG丸ｺﾞｼｯｸM-PRO"/>
      <family val="3"/>
      <charset val="128"/>
    </font>
    <font>
      <sz val="9"/>
      <color indexed="18"/>
      <name val="HG丸ｺﾞｼｯｸM-PRO"/>
      <family val="3"/>
      <charset val="128"/>
    </font>
    <font>
      <sz val="10"/>
      <color indexed="18"/>
      <name val="HG丸ｺﾞｼｯｸM-PRO"/>
      <family val="3"/>
      <charset val="128"/>
    </font>
    <font>
      <sz val="11"/>
      <color indexed="18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ＭＳ Ｐゴシック"/>
      <family val="3"/>
      <charset val="128"/>
    </font>
    <font>
      <sz val="48"/>
      <color theme="1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theme="4" tint="-0.499984740745262"/>
      <name val="ＭＳ Ｐゴシック"/>
      <family val="3"/>
      <charset val="128"/>
    </font>
    <font>
      <sz val="11"/>
      <color theme="7" tint="0.39997558519241921"/>
      <name val="ＭＳ Ｐゴシック"/>
      <family val="3"/>
      <charset val="128"/>
    </font>
    <font>
      <sz val="6"/>
      <name val="メイリオ"/>
      <family val="3"/>
      <charset val="128"/>
    </font>
    <font>
      <sz val="1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2"/>
      <name val="HG丸ｺﾞｼｯｸM-PRO"/>
      <family val="3"/>
      <charset val="128"/>
    </font>
    <font>
      <u/>
      <sz val="11"/>
      <color theme="10"/>
      <name val="ＭＳ Ｐ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22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 style="medium">
        <color indexed="64"/>
      </bottom>
      <diagonal/>
    </border>
    <border diagonalUp="1">
      <left style="thick">
        <color auto="1"/>
      </left>
      <right/>
      <top style="medium">
        <color indexed="64"/>
      </top>
      <bottom style="medium">
        <color indexed="64"/>
      </bottom>
      <diagonal style="thin">
        <color auto="1"/>
      </diagonal>
    </border>
    <border diagonalUp="1">
      <left/>
      <right/>
      <top style="medium">
        <color indexed="64"/>
      </top>
      <bottom style="medium">
        <color indexed="64"/>
      </bottom>
      <diagonal style="thin">
        <color auto="1"/>
      </diagonal>
    </border>
    <border diagonalUp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auto="1"/>
      </diagonal>
    </border>
    <border diagonalUp="1">
      <left style="medium">
        <color indexed="64"/>
      </left>
      <right style="medium">
        <color indexed="64"/>
      </right>
      <top/>
      <bottom/>
      <diagonal style="thin">
        <color auto="1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medium">
        <color indexed="64"/>
      </right>
      <top style="thin">
        <color auto="1"/>
      </top>
      <bottom/>
      <diagonal style="thin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 style="thin">
        <color auto="1"/>
      </diagonal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top"/>
      <protection locked="0"/>
    </xf>
  </cellStyleXfs>
  <cellXfs count="672">
    <xf numFmtId="0" fontId="0" fillId="0" borderId="0" xfId="0">
      <alignment vertical="center"/>
    </xf>
    <xf numFmtId="0" fontId="7" fillId="0" borderId="0" xfId="2" applyFont="1" applyAlignment="1" applyProtection="1">
      <alignment vertical="center" shrinkToFit="1"/>
    </xf>
    <xf numFmtId="0" fontId="7" fillId="0" borderId="0" xfId="2" applyFont="1" applyBorder="1" applyAlignment="1" applyProtection="1">
      <alignment vertical="center" shrinkToFit="1"/>
    </xf>
    <xf numFmtId="0" fontId="11" fillId="0" borderId="0" xfId="2" applyFont="1" applyBorder="1" applyAlignment="1" applyProtection="1">
      <alignment vertical="center" shrinkToFit="1"/>
    </xf>
    <xf numFmtId="0" fontId="7" fillId="0" borderId="0" xfId="2" applyFont="1" applyFill="1" applyBorder="1" applyAlignment="1" applyProtection="1">
      <alignment vertical="center" shrinkToFit="1"/>
      <protection locked="0"/>
    </xf>
    <xf numFmtId="19" fontId="7" fillId="0" borderId="0" xfId="2" applyNumberFormat="1" applyFont="1" applyFill="1" applyBorder="1" applyAlignment="1" applyProtection="1">
      <alignment vertical="center" shrinkToFit="1"/>
      <protection locked="0"/>
    </xf>
    <xf numFmtId="0" fontId="7" fillId="0" borderId="0" xfId="2" applyNumberFormat="1" applyFont="1" applyFill="1" applyBorder="1" applyAlignment="1" applyProtection="1">
      <alignment vertical="center" shrinkToFit="1"/>
    </xf>
    <xf numFmtId="0" fontId="10" fillId="0" borderId="32" xfId="2" applyFont="1" applyBorder="1" applyAlignment="1" applyProtection="1">
      <alignment horizontal="center" vertical="center" shrinkToFit="1"/>
    </xf>
    <xf numFmtId="0" fontId="10" fillId="14" borderId="11" xfId="2" applyFont="1" applyFill="1" applyBorder="1" applyAlignment="1" applyProtection="1">
      <alignment horizontal="center" vertical="center" shrinkToFit="1"/>
      <protection locked="0"/>
    </xf>
    <xf numFmtId="0" fontId="10" fillId="14" borderId="1" xfId="2" applyFont="1" applyFill="1" applyBorder="1" applyAlignment="1" applyProtection="1">
      <alignment horizontal="center" vertical="center" shrinkToFit="1"/>
    </xf>
    <xf numFmtId="0" fontId="10" fillId="0" borderId="32" xfId="2" applyFont="1" applyBorder="1" applyAlignment="1" applyProtection="1">
      <alignment horizontal="center" vertical="center" shrinkToFit="1"/>
      <protection locked="0"/>
    </xf>
    <xf numFmtId="0" fontId="10" fillId="5" borderId="1" xfId="2" applyFont="1" applyFill="1" applyBorder="1" applyAlignment="1" applyProtection="1">
      <alignment horizontal="center" vertical="center" shrinkToFit="1"/>
    </xf>
    <xf numFmtId="0" fontId="10" fillId="5" borderId="37" xfId="2" applyFont="1" applyFill="1" applyBorder="1" applyAlignment="1" applyProtection="1">
      <alignment horizontal="center" vertical="center" shrinkToFit="1"/>
      <protection locked="0"/>
    </xf>
    <xf numFmtId="0" fontId="10" fillId="5" borderId="64" xfId="2" applyFont="1" applyFill="1" applyBorder="1" applyAlignment="1" applyProtection="1">
      <alignment horizontal="center" vertical="center" shrinkToFit="1"/>
      <protection locked="0"/>
    </xf>
    <xf numFmtId="0" fontId="7" fillId="0" borderId="0" xfId="2" applyFont="1" applyAlignment="1" applyProtection="1">
      <alignment vertical="center" shrinkToFit="1"/>
      <protection locked="0"/>
    </xf>
    <xf numFmtId="0" fontId="15" fillId="0" borderId="1" xfId="2" applyFont="1" applyBorder="1" applyAlignment="1" applyProtection="1">
      <alignment horizontal="center" vertical="center" shrinkToFit="1"/>
    </xf>
    <xf numFmtId="182" fontId="10" fillId="0" borderId="0" xfId="2" applyNumberFormat="1" applyFont="1" applyFill="1" applyBorder="1" applyAlignment="1" applyProtection="1">
      <alignment vertical="center" shrinkToFit="1"/>
      <protection locked="0"/>
    </xf>
    <xf numFmtId="0" fontId="10" fillId="0" borderId="67" xfId="2" applyFont="1" applyBorder="1" applyAlignment="1" applyProtection="1">
      <alignment vertical="center" shrinkToFit="1"/>
    </xf>
    <xf numFmtId="184" fontId="10" fillId="0" borderId="67" xfId="2" applyNumberFormat="1" applyFont="1" applyBorder="1" applyAlignment="1" applyProtection="1">
      <alignment vertical="center" shrinkToFit="1"/>
    </xf>
    <xf numFmtId="0" fontId="10" fillId="0" borderId="1" xfId="2" applyFont="1" applyBorder="1" applyAlignment="1" applyProtection="1">
      <alignment horizontal="center" vertical="center" shrinkToFit="1"/>
    </xf>
    <xf numFmtId="178" fontId="10" fillId="0" borderId="1" xfId="2" applyNumberFormat="1" applyFont="1" applyBorder="1" applyAlignment="1" applyProtection="1">
      <alignment horizontal="center" vertical="center" shrinkToFit="1"/>
    </xf>
    <xf numFmtId="178" fontId="12" fillId="0" borderId="1" xfId="2" applyNumberFormat="1" applyFont="1" applyBorder="1" applyAlignment="1" applyProtection="1">
      <alignment horizontal="center" vertical="center" shrinkToFit="1"/>
    </xf>
    <xf numFmtId="178" fontId="13" fillId="0" borderId="1" xfId="2" applyNumberFormat="1" applyFont="1" applyBorder="1" applyAlignment="1" applyProtection="1">
      <alignment horizontal="center" vertical="center" shrinkToFit="1"/>
    </xf>
    <xf numFmtId="178" fontId="10" fillId="14" borderId="1" xfId="2" applyNumberFormat="1" applyFont="1" applyFill="1" applyBorder="1" applyAlignment="1" applyProtection="1">
      <alignment horizontal="center" vertical="center" shrinkToFit="1"/>
    </xf>
    <xf numFmtId="178" fontId="10" fillId="5" borderId="19" xfId="2" applyNumberFormat="1" applyFont="1" applyFill="1" applyBorder="1" applyAlignment="1" applyProtection="1">
      <alignment horizontal="center" vertical="center" shrinkToFit="1"/>
    </xf>
    <xf numFmtId="178" fontId="10" fillId="5" borderId="36" xfId="2" applyNumberFormat="1" applyFont="1" applyFill="1" applyBorder="1" applyAlignment="1" applyProtection="1">
      <alignment horizontal="center" vertical="center" shrinkToFit="1"/>
    </xf>
    <xf numFmtId="181" fontId="10" fillId="0" borderId="0" xfId="2" applyNumberFormat="1" applyFont="1" applyBorder="1" applyAlignment="1" applyProtection="1">
      <alignment vertical="center" shrinkToFit="1"/>
      <protection locked="0"/>
    </xf>
    <xf numFmtId="181" fontId="10" fillId="0" borderId="0" xfId="2" applyNumberFormat="1" applyFont="1" applyBorder="1" applyAlignment="1" applyProtection="1">
      <alignment horizontal="center" vertical="center" shrinkToFit="1"/>
      <protection locked="0"/>
    </xf>
    <xf numFmtId="0" fontId="7" fillId="0" borderId="1" xfId="2" applyFont="1" applyBorder="1" applyAlignment="1" applyProtection="1">
      <alignment vertical="center" shrinkToFit="1"/>
      <protection locked="0"/>
    </xf>
    <xf numFmtId="0" fontId="7" fillId="0" borderId="0" xfId="2" applyFont="1" applyBorder="1" applyAlignment="1" applyProtection="1">
      <alignment vertical="center" shrinkToFit="1"/>
      <protection locked="0"/>
    </xf>
    <xf numFmtId="182" fontId="7" fillId="0" borderId="0" xfId="2" applyNumberFormat="1" applyFont="1" applyAlignment="1" applyProtection="1">
      <alignment vertical="center" shrinkToFit="1"/>
      <protection locked="0"/>
    </xf>
    <xf numFmtId="0" fontId="7" fillId="0" borderId="41" xfId="2" applyFont="1" applyBorder="1" applyAlignment="1" applyProtection="1">
      <alignment vertical="center" shrinkToFit="1"/>
      <protection locked="0"/>
    </xf>
    <xf numFmtId="0" fontId="10" fillId="0" borderId="42" xfId="2" applyFont="1" applyBorder="1" applyAlignment="1" applyProtection="1">
      <alignment horizontal="center" vertical="center" shrinkToFit="1"/>
      <protection locked="0"/>
    </xf>
    <xf numFmtId="0" fontId="7" fillId="0" borderId="48" xfId="2" applyFont="1" applyBorder="1" applyAlignment="1" applyProtection="1">
      <alignment vertical="center" shrinkToFit="1"/>
      <protection locked="0"/>
    </xf>
    <xf numFmtId="0" fontId="10" fillId="0" borderId="42" xfId="2" applyNumberFormat="1" applyFont="1" applyBorder="1" applyAlignment="1" applyProtection="1">
      <alignment horizontal="center" vertical="center" shrinkToFit="1"/>
      <protection locked="0"/>
    </xf>
    <xf numFmtId="0" fontId="10" fillId="0" borderId="43" xfId="2" applyNumberFormat="1" applyFont="1" applyBorder="1" applyAlignment="1" applyProtection="1">
      <alignment horizontal="center" vertical="center" shrinkToFit="1"/>
      <protection locked="0"/>
    </xf>
    <xf numFmtId="0" fontId="10" fillId="0" borderId="49" xfId="2" applyNumberFormat="1" applyFont="1" applyBorder="1" applyAlignment="1" applyProtection="1">
      <alignment horizontal="center" vertical="center" shrinkToFit="1"/>
      <protection locked="0"/>
    </xf>
    <xf numFmtId="0" fontId="10" fillId="0" borderId="15" xfId="2" applyNumberFormat="1" applyFont="1" applyBorder="1" applyAlignment="1" applyProtection="1">
      <alignment horizontal="center" vertical="center" shrinkToFit="1"/>
      <protection locked="0"/>
    </xf>
    <xf numFmtId="0" fontId="10" fillId="0" borderId="16" xfId="2" applyNumberFormat="1" applyFont="1" applyBorder="1" applyAlignment="1" applyProtection="1">
      <alignment horizontal="center" vertical="center" shrinkToFit="1"/>
      <protection locked="0"/>
    </xf>
    <xf numFmtId="0" fontId="7" fillId="0" borderId="50" xfId="2" applyFont="1" applyBorder="1" applyAlignment="1" applyProtection="1">
      <alignment vertical="center" shrinkToFit="1"/>
      <protection locked="0"/>
    </xf>
    <xf numFmtId="0" fontId="7" fillId="0" borderId="55" xfId="2" applyFont="1" applyBorder="1" applyAlignment="1" applyProtection="1">
      <alignment vertical="center" shrinkToFit="1"/>
      <protection locked="0"/>
    </xf>
    <xf numFmtId="0" fontId="10" fillId="0" borderId="56" xfId="2" applyFont="1" applyBorder="1" applyAlignment="1" applyProtection="1">
      <alignment horizontal="center" vertical="center" shrinkToFit="1"/>
      <protection locked="0"/>
    </xf>
    <xf numFmtId="0" fontId="11" fillId="0" borderId="0" xfId="2" applyFont="1" applyBorder="1" applyAlignment="1" applyProtection="1">
      <alignment vertical="center" shrinkToFit="1"/>
      <protection locked="0"/>
    </xf>
    <xf numFmtId="0" fontId="10" fillId="0" borderId="57" xfId="2" applyFont="1" applyBorder="1" applyAlignment="1" applyProtection="1">
      <alignment horizontal="center" vertical="center" shrinkToFit="1"/>
      <protection locked="0"/>
    </xf>
    <xf numFmtId="0" fontId="11" fillId="0" borderId="0" xfId="2" applyFont="1" applyBorder="1" applyAlignment="1" applyProtection="1">
      <alignment horizontal="right" vertical="center" shrinkToFit="1"/>
      <protection locked="0"/>
    </xf>
    <xf numFmtId="0" fontId="10" fillId="14" borderId="1" xfId="2" applyFont="1" applyFill="1" applyBorder="1" applyAlignment="1" applyProtection="1">
      <alignment horizontal="center" vertical="center" shrinkToFit="1"/>
      <protection locked="0"/>
    </xf>
    <xf numFmtId="0" fontId="10" fillId="14" borderId="59" xfId="2" applyFont="1" applyFill="1" applyBorder="1" applyAlignment="1" applyProtection="1">
      <alignment horizontal="center" vertical="center" shrinkToFit="1"/>
      <protection locked="0"/>
    </xf>
    <xf numFmtId="0" fontId="10" fillId="0" borderId="60" xfId="2" applyFont="1" applyBorder="1" applyAlignment="1" applyProtection="1">
      <alignment horizontal="center" vertical="center" shrinkToFit="1"/>
      <protection locked="0"/>
    </xf>
    <xf numFmtId="0" fontId="10" fillId="0" borderId="62" xfId="2" applyFont="1" applyBorder="1" applyAlignment="1" applyProtection="1">
      <alignment horizontal="center" vertical="center" shrinkToFit="1"/>
      <protection locked="0"/>
    </xf>
    <xf numFmtId="0" fontId="10" fillId="5" borderId="1" xfId="2" applyFont="1" applyFill="1" applyBorder="1" applyAlignment="1" applyProtection="1">
      <alignment horizontal="center" vertical="center" shrinkToFit="1"/>
      <protection locked="0"/>
    </xf>
    <xf numFmtId="0" fontId="10" fillId="5" borderId="11" xfId="2" applyFont="1" applyFill="1" applyBorder="1" applyAlignment="1" applyProtection="1">
      <alignment horizontal="center" vertical="center" shrinkToFit="1"/>
      <protection locked="0"/>
    </xf>
    <xf numFmtId="0" fontId="10" fillId="5" borderId="59" xfId="2" applyFont="1" applyFill="1" applyBorder="1" applyAlignment="1" applyProtection="1">
      <alignment horizontal="center" vertical="center" shrinkToFit="1"/>
      <protection locked="0"/>
    </xf>
    <xf numFmtId="0" fontId="11" fillId="0" borderId="1" xfId="2" applyFont="1" applyBorder="1" applyAlignment="1" applyProtection="1">
      <alignment vertical="center" shrinkToFit="1"/>
      <protection locked="0"/>
    </xf>
    <xf numFmtId="0" fontId="11" fillId="0" borderId="1" xfId="2" applyFont="1" applyFill="1" applyBorder="1" applyAlignment="1" applyProtection="1">
      <alignment vertical="center" shrinkToFit="1"/>
      <protection locked="0"/>
    </xf>
    <xf numFmtId="0" fontId="10" fillId="5" borderId="36" xfId="2" applyFont="1" applyFill="1" applyBorder="1" applyAlignment="1" applyProtection="1">
      <alignment horizontal="center" vertical="center" shrinkToFit="1"/>
      <protection locked="0"/>
    </xf>
    <xf numFmtId="0" fontId="14" fillId="0" borderId="0" xfId="2" applyFont="1" applyBorder="1" applyAlignment="1" applyProtection="1">
      <alignment vertical="center" shrinkToFit="1"/>
      <protection locked="0"/>
    </xf>
    <xf numFmtId="0" fontId="7" fillId="0" borderId="65" xfId="2" applyFont="1" applyBorder="1" applyAlignment="1" applyProtection="1">
      <alignment vertical="center" shrinkToFit="1"/>
      <protection locked="0"/>
    </xf>
    <xf numFmtId="0" fontId="11" fillId="0" borderId="0" xfId="2" applyFont="1" applyFill="1" applyBorder="1" applyAlignment="1" applyProtection="1">
      <alignment vertical="center" shrinkToFit="1"/>
      <protection locked="0"/>
    </xf>
    <xf numFmtId="0" fontId="15" fillId="0" borderId="1" xfId="2" applyFont="1" applyBorder="1" applyAlignment="1" applyProtection="1">
      <alignment horizontal="center" vertical="center" shrinkToFit="1"/>
      <protection locked="0"/>
    </xf>
    <xf numFmtId="0" fontId="10" fillId="0" borderId="1" xfId="2" applyFont="1" applyFill="1" applyBorder="1" applyAlignment="1" applyProtection="1">
      <alignment horizontal="center" vertical="center" shrinkToFit="1"/>
      <protection locked="0"/>
    </xf>
    <xf numFmtId="0" fontId="10" fillId="0" borderId="0" xfId="2" applyFont="1" applyFill="1" applyBorder="1" applyAlignment="1" applyProtection="1">
      <alignment horizontal="center" vertical="center" shrinkToFit="1"/>
      <protection locked="0"/>
    </xf>
    <xf numFmtId="9" fontId="10" fillId="0" borderId="0" xfId="3" applyFont="1" applyFill="1" applyBorder="1" applyAlignment="1" applyProtection="1">
      <alignment horizontal="center" vertical="center" shrinkToFit="1"/>
      <protection locked="0"/>
    </xf>
    <xf numFmtId="0" fontId="10" fillId="10" borderId="1" xfId="2" applyFont="1" applyFill="1" applyBorder="1" applyAlignment="1" applyProtection="1">
      <alignment horizontal="center" vertical="center" shrinkToFit="1"/>
      <protection locked="0"/>
    </xf>
    <xf numFmtId="0" fontId="10" fillId="7" borderId="1" xfId="2" applyFont="1" applyFill="1" applyBorder="1" applyAlignment="1" applyProtection="1">
      <alignment horizontal="center" vertical="center" shrinkToFit="1"/>
      <protection locked="0"/>
    </xf>
    <xf numFmtId="185" fontId="10" fillId="0" borderId="0" xfId="2" applyNumberFormat="1" applyFont="1" applyFill="1" applyBorder="1" applyAlignment="1" applyProtection="1">
      <alignment horizontal="center" vertical="center" shrinkToFit="1"/>
      <protection locked="0"/>
    </xf>
    <xf numFmtId="0" fontId="10" fillId="0" borderId="0" xfId="2" applyFont="1" applyFill="1" applyBorder="1" applyAlignment="1" applyProtection="1">
      <alignment vertical="center" shrinkToFit="1"/>
      <protection locked="0"/>
    </xf>
    <xf numFmtId="9" fontId="10" fillId="0" borderId="0" xfId="3" applyFont="1" applyFill="1" applyBorder="1" applyAlignment="1" applyProtection="1">
      <alignment vertical="center" shrinkToFit="1"/>
      <protection locked="0"/>
    </xf>
    <xf numFmtId="182" fontId="10" fillId="0" borderId="0" xfId="2" applyNumberFormat="1" applyFont="1" applyBorder="1" applyAlignment="1" applyProtection="1">
      <alignment vertical="center" shrinkToFit="1"/>
      <protection locked="0"/>
    </xf>
    <xf numFmtId="0" fontId="10" fillId="0" borderId="0" xfId="2" applyFont="1" applyBorder="1" applyAlignment="1" applyProtection="1">
      <alignment vertical="center" shrinkToFit="1"/>
      <protection locked="0"/>
    </xf>
    <xf numFmtId="0" fontId="7" fillId="0" borderId="0" xfId="2" applyNumberFormat="1" applyFont="1" applyAlignment="1" applyProtection="1">
      <alignment vertical="center" shrinkToFit="1"/>
      <protection locked="0"/>
    </xf>
    <xf numFmtId="0" fontId="10" fillId="0" borderId="19" xfId="2" applyFont="1" applyBorder="1" applyAlignment="1" applyProtection="1">
      <alignment horizontal="center" vertical="center" shrinkToFit="1"/>
      <protection locked="0"/>
    </xf>
    <xf numFmtId="0" fontId="10" fillId="0" borderId="0" xfId="3" applyNumberFormat="1" applyFont="1" applyFill="1" applyBorder="1" applyAlignment="1" applyProtection="1">
      <alignment horizontal="center" vertical="center" shrinkToFit="1"/>
      <protection locked="0"/>
    </xf>
    <xf numFmtId="0" fontId="18" fillId="0" borderId="52" xfId="0" applyFont="1" applyBorder="1" applyAlignment="1">
      <alignment vertical="center" shrinkToFit="1"/>
    </xf>
    <xf numFmtId="0" fontId="18" fillId="0" borderId="11" xfId="0" applyFont="1" applyBorder="1" applyAlignment="1">
      <alignment vertical="center" shrinkToFit="1"/>
    </xf>
    <xf numFmtId="0" fontId="18" fillId="0" borderId="2" xfId="0" applyFont="1" applyBorder="1" applyAlignment="1">
      <alignment vertical="center" shrinkToFit="1"/>
    </xf>
    <xf numFmtId="0" fontId="18" fillId="0" borderId="51" xfId="0" applyFont="1" applyBorder="1" applyAlignment="1">
      <alignment vertical="center" shrinkToFit="1"/>
    </xf>
    <xf numFmtId="0" fontId="18" fillId="0" borderId="37" xfId="0" applyFont="1" applyBorder="1" applyAlignment="1">
      <alignment vertical="center" shrinkToFit="1"/>
    </xf>
    <xf numFmtId="0" fontId="18" fillId="0" borderId="39" xfId="0" applyFont="1" applyBorder="1" applyAlignment="1">
      <alignment vertical="center" shrinkToFit="1"/>
    </xf>
    <xf numFmtId="19" fontId="7" fillId="0" borderId="0" xfId="2" applyNumberFormat="1" applyFont="1" applyAlignment="1" applyProtection="1">
      <alignment vertical="center" shrinkToFit="1"/>
      <protection locked="0"/>
    </xf>
    <xf numFmtId="178" fontId="10" fillId="14" borderId="11" xfId="2" applyNumberFormat="1" applyFont="1" applyFill="1" applyBorder="1" applyAlignment="1" applyProtection="1">
      <alignment horizontal="center" vertical="center" shrinkToFit="1"/>
    </xf>
    <xf numFmtId="178" fontId="10" fillId="5" borderId="14" xfId="2" applyNumberFormat="1" applyFont="1" applyFill="1" applyBorder="1" applyAlignment="1" applyProtection="1">
      <alignment horizontal="center" vertical="center" shrinkToFit="1"/>
    </xf>
    <xf numFmtId="0" fontId="10" fillId="5" borderId="11" xfId="2" applyFont="1" applyFill="1" applyBorder="1" applyAlignment="1" applyProtection="1">
      <alignment horizontal="center" vertical="center" shrinkToFit="1"/>
    </xf>
    <xf numFmtId="178" fontId="10" fillId="0" borderId="67" xfId="2" applyNumberFormat="1" applyFont="1" applyBorder="1" applyAlignment="1" applyProtection="1">
      <alignment vertical="center" shrinkToFit="1"/>
    </xf>
    <xf numFmtId="0" fontId="24" fillId="0" borderId="6" xfId="0" applyFont="1" applyFill="1" applyBorder="1" applyAlignment="1" applyProtection="1">
      <alignment horizontal="center" vertical="center" shrinkToFit="1"/>
      <protection locked="0"/>
    </xf>
    <xf numFmtId="0" fontId="24" fillId="6" borderId="6" xfId="0" applyFont="1" applyFill="1" applyBorder="1" applyAlignment="1" applyProtection="1">
      <alignment horizontal="center" vertical="center" shrinkToFit="1"/>
      <protection locked="0"/>
    </xf>
    <xf numFmtId="0" fontId="24" fillId="0" borderId="0" xfId="0" applyFont="1" applyAlignment="1" applyProtection="1">
      <alignment horizontal="center" vertical="center" shrinkToFit="1"/>
      <protection locked="0"/>
    </xf>
    <xf numFmtId="0" fontId="27" fillId="3" borderId="1" xfId="0" applyFont="1" applyFill="1" applyBorder="1" applyAlignment="1" applyProtection="1">
      <alignment horizontal="center" vertical="center" shrinkToFit="1"/>
      <protection locked="0"/>
    </xf>
    <xf numFmtId="0" fontId="24" fillId="0" borderId="0" xfId="0" applyFont="1" applyFill="1" applyBorder="1" applyAlignment="1" applyProtection="1">
      <alignment horizontal="center" vertical="center" shrinkToFit="1"/>
      <protection locked="0"/>
    </xf>
    <xf numFmtId="0" fontId="22" fillId="6" borderId="1" xfId="0" applyFont="1" applyFill="1" applyBorder="1" applyAlignment="1" applyProtection="1">
      <alignment horizontal="center" vertical="center" shrinkToFit="1"/>
      <protection locked="0"/>
    </xf>
    <xf numFmtId="0" fontId="30" fillId="0" borderId="7" xfId="0" applyNumberFormat="1" applyFont="1" applyFill="1" applyBorder="1" applyAlignment="1" applyProtection="1">
      <alignment vertical="center" shrinkToFit="1"/>
      <protection locked="0"/>
    </xf>
    <xf numFmtId="178" fontId="30" fillId="0" borderId="22" xfId="0" applyNumberFormat="1" applyFont="1" applyFill="1" applyBorder="1" applyAlignment="1" applyProtection="1">
      <alignment horizontal="center" vertical="center" shrinkToFit="1"/>
      <protection locked="0"/>
    </xf>
    <xf numFmtId="178" fontId="30" fillId="0" borderId="23" xfId="0" applyNumberFormat="1" applyFont="1" applyFill="1" applyBorder="1" applyAlignment="1" applyProtection="1">
      <alignment horizontal="center" vertical="center" shrinkToFit="1"/>
      <protection locked="0"/>
    </xf>
    <xf numFmtId="178" fontId="30" fillId="0" borderId="24" xfId="0" applyNumberFormat="1" applyFont="1" applyFill="1" applyBorder="1" applyAlignment="1" applyProtection="1">
      <alignment horizontal="center" vertical="center" shrinkToFit="1"/>
      <protection locked="0"/>
    </xf>
    <xf numFmtId="178" fontId="30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25" fillId="0" borderId="0" xfId="0" applyFont="1" applyFill="1" applyAlignment="1" applyProtection="1">
      <alignment horizontal="center" vertical="center" shrinkToFit="1"/>
      <protection locked="0"/>
    </xf>
    <xf numFmtId="0" fontId="26" fillId="3" borderId="1" xfId="0" applyFont="1" applyFill="1" applyBorder="1" applyAlignment="1" applyProtection="1">
      <alignment horizontal="center" vertical="center" shrinkToFit="1"/>
      <protection locked="0"/>
    </xf>
    <xf numFmtId="0" fontId="22" fillId="0" borderId="0" xfId="0" applyFont="1" applyAlignment="1" applyProtection="1">
      <alignment vertical="center" shrinkToFit="1"/>
      <protection locked="0"/>
    </xf>
    <xf numFmtId="0" fontId="22" fillId="0" borderId="0" xfId="0" applyFont="1" applyAlignment="1" applyProtection="1">
      <alignment horizontal="center" vertical="center" shrinkToFit="1"/>
      <protection locked="0"/>
    </xf>
    <xf numFmtId="0" fontId="23" fillId="6" borderId="6" xfId="0" applyFont="1" applyFill="1" applyBorder="1" applyAlignment="1" applyProtection="1">
      <alignment horizontal="center" vertical="center" shrinkToFit="1"/>
      <protection locked="0"/>
    </xf>
    <xf numFmtId="0" fontId="23" fillId="0" borderId="3" xfId="0" applyFont="1" applyFill="1" applyBorder="1" applyAlignment="1" applyProtection="1">
      <alignment horizontal="center" vertical="center" shrinkToFit="1"/>
      <protection locked="0"/>
    </xf>
    <xf numFmtId="0" fontId="23" fillId="0" borderId="4" xfId="0" applyFont="1" applyFill="1" applyBorder="1" applyAlignment="1" applyProtection="1">
      <alignment horizontal="center" vertical="center" shrinkToFit="1"/>
      <protection locked="0"/>
    </xf>
    <xf numFmtId="0" fontId="23" fillId="0" borderId="8" xfId="0" applyFont="1" applyFill="1" applyBorder="1" applyAlignment="1" applyProtection="1">
      <alignment horizontal="center" vertical="center" shrinkToFit="1"/>
      <protection locked="0"/>
    </xf>
    <xf numFmtId="0" fontId="23" fillId="0" borderId="9" xfId="0" applyFont="1" applyFill="1" applyBorder="1" applyAlignment="1" applyProtection="1">
      <alignment horizontal="center" vertical="center" shrinkToFit="1"/>
      <protection locked="0"/>
    </xf>
    <xf numFmtId="0" fontId="23" fillId="0" borderId="10" xfId="0" applyFont="1" applyFill="1" applyBorder="1" applyAlignment="1" applyProtection="1">
      <alignment horizontal="center" vertical="center" shrinkToFit="1"/>
      <protection locked="0"/>
    </xf>
    <xf numFmtId="180" fontId="23" fillId="0" borderId="6" xfId="0" applyNumberFormat="1" applyFont="1" applyFill="1" applyBorder="1" applyAlignment="1" applyProtection="1">
      <alignment vertical="center" shrinkToFit="1"/>
      <protection locked="0"/>
    </xf>
    <xf numFmtId="0" fontId="30" fillId="0" borderId="3" xfId="0" applyNumberFormat="1" applyFont="1" applyFill="1" applyBorder="1" applyAlignment="1" applyProtection="1">
      <alignment vertical="center" shrinkToFit="1"/>
      <protection locked="0"/>
    </xf>
    <xf numFmtId="0" fontId="30" fillId="0" borderId="3" xfId="0" applyNumberFormat="1" applyFont="1" applyFill="1" applyBorder="1" applyAlignment="1" applyProtection="1">
      <alignment horizontal="center" vertical="center" shrinkToFit="1"/>
      <protection locked="0"/>
    </xf>
    <xf numFmtId="0" fontId="30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29" fillId="0" borderId="6" xfId="0" applyFont="1" applyFill="1" applyBorder="1" applyAlignment="1" applyProtection="1">
      <alignment vertical="center" shrinkToFit="1"/>
      <protection locked="0"/>
    </xf>
    <xf numFmtId="0" fontId="24" fillId="0" borderId="0" xfId="0" applyNumberFormat="1" applyFont="1" applyAlignment="1" applyProtection="1">
      <alignment vertical="center" shrinkToFit="1"/>
      <protection locked="0"/>
    </xf>
    <xf numFmtId="0" fontId="31" fillId="0" borderId="0" xfId="0" applyFont="1" applyAlignment="1" applyProtection="1">
      <alignment vertical="center" shrinkToFit="1"/>
      <protection locked="0"/>
    </xf>
    <xf numFmtId="0" fontId="29" fillId="0" borderId="0" xfId="0" applyFont="1" applyAlignment="1" applyProtection="1">
      <alignment vertical="center" shrinkToFit="1"/>
      <protection locked="0"/>
    </xf>
    <xf numFmtId="179" fontId="22" fillId="0" borderId="0" xfId="0" applyNumberFormat="1" applyFont="1" applyAlignment="1" applyProtection="1">
      <alignment shrinkToFit="1"/>
      <protection locked="0"/>
    </xf>
    <xf numFmtId="0" fontId="18" fillId="0" borderId="0" xfId="0" applyFont="1" applyAlignment="1">
      <alignment vertical="center" shrinkToFit="1"/>
    </xf>
    <xf numFmtId="38" fontId="18" fillId="0" borderId="0" xfId="0" applyNumberFormat="1" applyFont="1" applyAlignment="1">
      <alignment vertical="center" shrinkToFit="1"/>
    </xf>
    <xf numFmtId="0" fontId="18" fillId="0" borderId="19" xfId="0" applyFont="1" applyBorder="1" applyAlignment="1">
      <alignment vertical="center" shrinkToFit="1"/>
    </xf>
    <xf numFmtId="0" fontId="18" fillId="0" borderId="1" xfId="0" applyFont="1" applyBorder="1" applyAlignment="1">
      <alignment vertical="center" shrinkToFit="1"/>
    </xf>
    <xf numFmtId="0" fontId="18" fillId="0" borderId="36" xfId="0" applyFont="1" applyBorder="1" applyAlignment="1">
      <alignment vertical="center" shrinkToFit="1"/>
    </xf>
    <xf numFmtId="0" fontId="18" fillId="0" borderId="67" xfId="0" applyFont="1" applyBorder="1" applyAlignment="1">
      <alignment vertical="center" shrinkToFit="1"/>
    </xf>
    <xf numFmtId="0" fontId="32" fillId="16" borderId="0" xfId="0" applyFont="1" applyFill="1" applyBorder="1" applyAlignment="1">
      <alignment horizontal="center" vertical="center" shrinkToFit="1"/>
    </xf>
    <xf numFmtId="0" fontId="18" fillId="0" borderId="14" xfId="0" applyFont="1" applyBorder="1" applyAlignment="1">
      <alignment vertical="center" shrinkToFit="1"/>
    </xf>
    <xf numFmtId="0" fontId="18" fillId="0" borderId="26" xfId="0" applyFont="1" applyBorder="1" applyAlignment="1">
      <alignment vertical="center" shrinkToFit="1"/>
    </xf>
    <xf numFmtId="0" fontId="18" fillId="0" borderId="5" xfId="0" applyFont="1" applyBorder="1" applyAlignment="1">
      <alignment vertical="center" shrinkToFit="1"/>
    </xf>
    <xf numFmtId="0" fontId="33" fillId="0" borderId="0" xfId="0" applyFont="1" applyAlignment="1">
      <alignment vertical="center" shrinkToFit="1"/>
    </xf>
    <xf numFmtId="0" fontId="32" fillId="16" borderId="1" xfId="0" applyFont="1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2" fillId="0" borderId="1" xfId="0" applyFont="1" applyBorder="1" applyAlignment="1">
      <alignment horizontal="center" vertical="center" shrinkToFit="1"/>
    </xf>
    <xf numFmtId="18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8" fillId="0" borderId="5" xfId="0" applyFont="1" applyBorder="1" applyAlignment="1">
      <alignment horizontal="center" vertical="center" shrinkToFit="1"/>
    </xf>
    <xf numFmtId="184" fontId="10" fillId="0" borderId="1" xfId="2" applyNumberFormat="1" applyFont="1" applyBorder="1" applyAlignment="1" applyProtection="1">
      <alignment horizontal="center" vertical="center" shrinkToFit="1"/>
    </xf>
    <xf numFmtId="184" fontId="10" fillId="0" borderId="11" xfId="2" applyNumberFormat="1" applyFont="1" applyBorder="1" applyAlignment="1" applyProtection="1">
      <alignment horizontal="center" vertical="center" shrinkToFit="1"/>
    </xf>
    <xf numFmtId="184" fontId="10" fillId="0" borderId="11" xfId="2" applyNumberFormat="1" applyFont="1" applyBorder="1" applyAlignment="1" applyProtection="1">
      <alignment horizontal="center" vertical="center" shrinkToFit="1"/>
      <protection locked="0"/>
    </xf>
    <xf numFmtId="184" fontId="10" fillId="0" borderId="59" xfId="2" applyNumberFormat="1" applyFont="1" applyBorder="1" applyAlignment="1" applyProtection="1">
      <alignment horizontal="center" vertical="center" shrinkToFit="1"/>
    </xf>
    <xf numFmtId="0" fontId="0" fillId="0" borderId="1" xfId="0" applyBorder="1" applyAlignment="1">
      <alignment vertical="center" shrinkToFit="1"/>
    </xf>
    <xf numFmtId="185" fontId="0" fillId="0" borderId="1" xfId="0" applyNumberFormat="1" applyBorder="1" applyAlignment="1">
      <alignment horizontal="left" vertical="center" indent="2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shrinkToFit="1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 shrinkToFit="1"/>
    </xf>
    <xf numFmtId="49" fontId="0" fillId="0" borderId="0" xfId="0" applyNumberFormat="1" applyFont="1" applyBorder="1" applyAlignment="1">
      <alignment horizontal="center" vertical="center"/>
    </xf>
    <xf numFmtId="185" fontId="0" fillId="0" borderId="0" xfId="0" applyNumberFormat="1" applyFont="1" applyBorder="1" applyAlignment="1">
      <alignment horizontal="center" vertical="center"/>
    </xf>
    <xf numFmtId="0" fontId="22" fillId="0" borderId="77" xfId="0" applyFont="1" applyFill="1" applyBorder="1" applyAlignment="1" applyProtection="1">
      <alignment horizontal="center" vertical="center" shrinkToFit="1"/>
      <protection locked="0"/>
    </xf>
    <xf numFmtId="178" fontId="30" fillId="0" borderId="6" xfId="0" applyNumberFormat="1" applyFont="1" applyFill="1" applyBorder="1" applyAlignment="1" applyProtection="1">
      <alignment horizontal="center" vertical="center" shrinkToFit="1"/>
      <protection locked="0"/>
    </xf>
    <xf numFmtId="0" fontId="10" fillId="0" borderId="42" xfId="2" applyFont="1" applyBorder="1" applyAlignment="1" applyProtection="1">
      <alignment horizontal="center" vertical="center" shrinkToFit="1"/>
    </xf>
    <xf numFmtId="0" fontId="10" fillId="8" borderId="51" xfId="2" applyFont="1" applyFill="1" applyBorder="1" applyAlignment="1" applyProtection="1">
      <alignment horizontal="center" vertical="center" shrinkToFit="1"/>
    </xf>
    <xf numFmtId="0" fontId="10" fillId="9" borderId="51" xfId="2" applyFont="1" applyFill="1" applyBorder="1" applyAlignment="1" applyProtection="1">
      <alignment horizontal="center" vertical="center" shrinkToFit="1"/>
    </xf>
    <xf numFmtId="0" fontId="10" fillId="10" borderId="51" xfId="2" applyFont="1" applyFill="1" applyBorder="1" applyAlignment="1" applyProtection="1">
      <alignment horizontal="center" vertical="center" shrinkToFit="1"/>
    </xf>
    <xf numFmtId="0" fontId="10" fillId="7" borderId="51" xfId="2" applyFont="1" applyFill="1" applyBorder="1" applyAlignment="1" applyProtection="1">
      <alignment horizontal="center" vertical="center" shrinkToFit="1"/>
    </xf>
    <xf numFmtId="0" fontId="10" fillId="11" borderId="51" xfId="2" applyFont="1" applyFill="1" applyBorder="1" applyAlignment="1" applyProtection="1">
      <alignment horizontal="center" vertical="center" shrinkToFit="1"/>
    </xf>
    <xf numFmtId="0" fontId="10" fillId="12" borderId="51" xfId="2" applyFont="1" applyFill="1" applyBorder="1" applyAlignment="1" applyProtection="1">
      <alignment horizontal="center" vertical="center" shrinkToFit="1"/>
    </xf>
    <xf numFmtId="0" fontId="10" fillId="13" borderId="51" xfId="2" applyFont="1" applyFill="1" applyBorder="1" applyAlignment="1" applyProtection="1">
      <alignment horizontal="center" vertical="center" shrinkToFit="1"/>
    </xf>
    <xf numFmtId="0" fontId="10" fillId="13" borderId="52" xfId="2" applyFont="1" applyFill="1" applyBorder="1" applyAlignment="1" applyProtection="1">
      <alignment horizontal="center" vertical="center" shrinkToFit="1"/>
    </xf>
    <xf numFmtId="0" fontId="10" fillId="0" borderId="51" xfId="2" applyFont="1" applyFill="1" applyBorder="1" applyAlignment="1" applyProtection="1">
      <alignment horizontal="center" vertical="center" shrinkToFit="1"/>
    </xf>
    <xf numFmtId="0" fontId="10" fillId="0" borderId="51" xfId="2" applyFont="1" applyBorder="1" applyAlignment="1" applyProtection="1">
      <alignment horizontal="center" vertical="center" shrinkToFit="1"/>
    </xf>
    <xf numFmtId="0" fontId="10" fillId="0" borderId="52" xfId="2" applyFont="1" applyBorder="1" applyAlignment="1" applyProtection="1">
      <alignment horizontal="center" vertical="center" shrinkToFit="1"/>
    </xf>
    <xf numFmtId="0" fontId="10" fillId="0" borderId="43" xfId="2" applyNumberFormat="1" applyFont="1" applyBorder="1" applyAlignment="1" applyProtection="1">
      <alignment horizontal="center" vertical="center" shrinkToFit="1"/>
    </xf>
    <xf numFmtId="0" fontId="10" fillId="0" borderId="54" xfId="2" applyFont="1" applyBorder="1" applyAlignment="1" applyProtection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81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 shrinkToFit="1"/>
    </xf>
    <xf numFmtId="0" fontId="0" fillId="0" borderId="81" xfId="0" applyFont="1" applyBorder="1" applyAlignment="1">
      <alignment horizontal="left" vertical="center"/>
    </xf>
    <xf numFmtId="49" fontId="0" fillId="0" borderId="8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 shrinkToFit="1"/>
    </xf>
    <xf numFmtId="0" fontId="0" fillId="0" borderId="83" xfId="0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 shrinkToFit="1"/>
    </xf>
    <xf numFmtId="0" fontId="0" fillId="0" borderId="84" xfId="0" applyFont="1" applyBorder="1" applyAlignment="1">
      <alignment horizontal="center" vertical="center" shrinkToFit="1"/>
    </xf>
    <xf numFmtId="0" fontId="0" fillId="0" borderId="81" xfId="0" applyNumberFormat="1" applyBorder="1" applyAlignment="1">
      <alignment horizontal="center" vertical="center"/>
    </xf>
    <xf numFmtId="0" fontId="0" fillId="0" borderId="81" xfId="0" applyBorder="1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0" fillId="0" borderId="13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5" xfId="0" applyFont="1" applyBorder="1" applyAlignment="1">
      <alignment horizontal="center" vertical="center" shrinkToFit="1"/>
    </xf>
    <xf numFmtId="0" fontId="0" fillId="0" borderId="16" xfId="0" applyFont="1" applyBorder="1" applyAlignment="1">
      <alignment horizontal="center" vertical="center" shrinkToFit="1"/>
    </xf>
    <xf numFmtId="0" fontId="0" fillId="0" borderId="81" xfId="0" applyNumberFormat="1" applyBorder="1" applyAlignment="1">
      <alignment horizontal="left" vertical="center"/>
    </xf>
    <xf numFmtId="0" fontId="0" fillId="0" borderId="81" xfId="0" applyBorder="1" applyAlignment="1">
      <alignment vertical="center" shrinkToFit="1"/>
    </xf>
    <xf numFmtId="0" fontId="0" fillId="0" borderId="82" xfId="0" applyBorder="1" applyAlignment="1">
      <alignment vertical="center" shrinkToFit="1"/>
    </xf>
    <xf numFmtId="0" fontId="0" fillId="0" borderId="81" xfId="0" applyBorder="1" applyAlignment="1">
      <alignment vertical="center"/>
    </xf>
    <xf numFmtId="0" fontId="0" fillId="0" borderId="83" xfId="0" applyBorder="1" applyAlignment="1">
      <alignment vertical="center" shrinkToFit="1"/>
    </xf>
    <xf numFmtId="0" fontId="0" fillId="0" borderId="17" xfId="0" applyBorder="1" applyAlignment="1">
      <alignment vertical="center" shrinkToFit="1"/>
    </xf>
    <xf numFmtId="0" fontId="0" fillId="0" borderId="84" xfId="0" applyBorder="1" applyAlignment="1">
      <alignment vertical="center" shrinkToFit="1"/>
    </xf>
    <xf numFmtId="0" fontId="30" fillId="0" borderId="7" xfId="0" applyNumberFormat="1" applyFont="1" applyFill="1" applyBorder="1" applyAlignment="1" applyProtection="1">
      <alignment horizontal="center" vertical="center" shrinkToFit="1"/>
      <protection locked="0"/>
    </xf>
    <xf numFmtId="178" fontId="22" fillId="0" borderId="0" xfId="0" applyNumberFormat="1" applyFont="1" applyAlignment="1" applyProtection="1">
      <alignment vertical="center" shrinkToFit="1"/>
      <protection locked="0"/>
    </xf>
    <xf numFmtId="0" fontId="10" fillId="14" borderId="59" xfId="2" applyFont="1" applyFill="1" applyBorder="1" applyAlignment="1" applyProtection="1">
      <alignment horizontal="center" vertical="center" shrinkToFit="1"/>
    </xf>
    <xf numFmtId="0" fontId="34" fillId="0" borderId="0" xfId="4" applyFont="1" applyAlignment="1">
      <alignment horizontal="center" vertical="center"/>
    </xf>
    <xf numFmtId="0" fontId="34" fillId="0" borderId="85" xfId="4" applyFont="1" applyBorder="1" applyAlignment="1">
      <alignment horizontal="center" vertical="center"/>
    </xf>
    <xf numFmtId="0" fontId="34" fillId="0" borderId="19" xfId="4" applyFont="1" applyBorder="1" applyAlignment="1">
      <alignment horizontal="center" vertical="center"/>
    </xf>
    <xf numFmtId="0" fontId="34" fillId="0" borderId="1" xfId="4" applyFont="1" applyBorder="1" applyAlignment="1">
      <alignment horizontal="center" vertical="center"/>
    </xf>
    <xf numFmtId="0" fontId="35" fillId="0" borderId="13" xfId="0" applyFont="1" applyBorder="1" applyAlignment="1">
      <alignment vertical="center" shrinkToFit="1"/>
    </xf>
    <xf numFmtId="0" fontId="35" fillId="0" borderId="15" xfId="0" applyFont="1" applyBorder="1" applyAlignment="1">
      <alignment vertical="center" shrinkToFit="1"/>
    </xf>
    <xf numFmtId="0" fontId="35" fillId="0" borderId="16" xfId="0" applyFont="1" applyBorder="1" applyAlignment="1">
      <alignment vertical="center" shrinkToFit="1"/>
    </xf>
    <xf numFmtId="0" fontId="35" fillId="0" borderId="0" xfId="0" applyFont="1" applyBorder="1" applyAlignment="1">
      <alignment vertical="center" shrinkToFit="1"/>
    </xf>
    <xf numFmtId="0" fontId="35" fillId="0" borderId="82" xfId="0" applyFont="1" applyBorder="1" applyAlignment="1">
      <alignment vertical="center" shrinkToFit="1"/>
    </xf>
    <xf numFmtId="0" fontId="35" fillId="0" borderId="81" xfId="0" applyFont="1" applyBorder="1" applyAlignment="1">
      <alignment vertical="center" shrinkToFit="1"/>
    </xf>
    <xf numFmtId="0" fontId="35" fillId="18" borderId="81" xfId="0" applyFont="1" applyFill="1" applyBorder="1" applyAlignment="1">
      <alignment vertical="center" shrinkToFit="1"/>
    </xf>
    <xf numFmtId="0" fontId="35" fillId="18" borderId="0" xfId="0" applyFont="1" applyFill="1" applyBorder="1" applyAlignment="1">
      <alignment vertical="center" shrinkToFit="1"/>
    </xf>
    <xf numFmtId="0" fontId="35" fillId="18" borderId="83" xfId="0" applyFont="1" applyFill="1" applyBorder="1" applyAlignment="1">
      <alignment vertical="center" shrinkToFit="1"/>
    </xf>
    <xf numFmtId="0" fontId="35" fillId="18" borderId="17" xfId="0" applyFont="1" applyFill="1" applyBorder="1" applyAlignment="1">
      <alignment vertical="center" shrinkToFit="1"/>
    </xf>
    <xf numFmtId="0" fontId="35" fillId="0" borderId="17" xfId="0" applyFont="1" applyBorder="1" applyAlignment="1">
      <alignment vertical="center" shrinkToFit="1"/>
    </xf>
    <xf numFmtId="0" fontId="35" fillId="0" borderId="84" xfId="0" applyFont="1" applyBorder="1" applyAlignment="1">
      <alignment vertical="center" shrinkToFit="1"/>
    </xf>
    <xf numFmtId="0" fontId="0" fillId="0" borderId="0" xfId="0" quotePrefix="1" applyAlignment="1">
      <alignment vertical="center" shrinkToFit="1"/>
    </xf>
    <xf numFmtId="0" fontId="35" fillId="0" borderId="5" xfId="0" applyFont="1" applyBorder="1" applyAlignment="1">
      <alignment vertical="center" shrinkToFit="1"/>
    </xf>
    <xf numFmtId="0" fontId="0" fillId="0" borderId="11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2" xfId="0" applyBorder="1" applyAlignment="1">
      <alignment vertical="center" shrinkToFit="1"/>
    </xf>
    <xf numFmtId="0" fontId="38" fillId="0" borderId="0" xfId="0" applyFont="1" applyAlignment="1">
      <alignment vertical="center" shrinkToFit="1"/>
    </xf>
    <xf numFmtId="0" fontId="39" fillId="0" borderId="0" xfId="0" applyFont="1" applyAlignment="1">
      <alignment vertical="center" shrinkToFit="1"/>
    </xf>
    <xf numFmtId="0" fontId="39" fillId="0" borderId="0" xfId="0" applyFont="1" applyBorder="1" applyAlignment="1">
      <alignment vertical="center" shrinkToFit="1"/>
    </xf>
    <xf numFmtId="0" fontId="39" fillId="0" borderId="0" xfId="0" applyFont="1" applyAlignment="1">
      <alignment horizontal="center" vertical="center" shrinkToFit="1"/>
    </xf>
    <xf numFmtId="0" fontId="37" fillId="0" borderId="0" xfId="0" applyFont="1" applyAlignment="1">
      <alignment vertical="center" shrinkToFit="1"/>
    </xf>
    <xf numFmtId="0" fontId="34" fillId="0" borderId="1" xfId="4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9" fontId="22" fillId="0" borderId="0" xfId="0" applyNumberFormat="1" applyFont="1" applyAlignment="1" applyProtection="1">
      <alignment vertical="center" shrinkToFit="1"/>
      <protection locked="0"/>
    </xf>
    <xf numFmtId="183" fontId="0" fillId="0" borderId="1" xfId="0" applyNumberFormat="1" applyBorder="1">
      <alignment vertical="center"/>
    </xf>
    <xf numFmtId="49" fontId="18" fillId="0" borderId="1" xfId="0" applyNumberFormat="1" applyFont="1" applyBorder="1" applyAlignment="1">
      <alignment vertical="center" shrinkToFit="1"/>
    </xf>
    <xf numFmtId="0" fontId="18" fillId="0" borderId="1" xfId="0" applyNumberFormat="1" applyFont="1" applyBorder="1" applyAlignment="1">
      <alignment vertical="center" shrinkToFit="1"/>
    </xf>
    <xf numFmtId="183" fontId="18" fillId="0" borderId="1" xfId="0" applyNumberFormat="1" applyFont="1" applyBorder="1" applyAlignment="1">
      <alignment vertical="center" shrinkToFit="1"/>
    </xf>
    <xf numFmtId="49" fontId="18" fillId="0" borderId="0" xfId="0" applyNumberFormat="1" applyFont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ont="1" applyAlignment="1">
      <alignment horizontal="left" vertical="center" shrinkToFit="1"/>
    </xf>
    <xf numFmtId="9" fontId="39" fillId="0" borderId="0" xfId="5" applyFont="1" applyBorder="1" applyAlignment="1">
      <alignment vertical="center" shrinkToFit="1"/>
    </xf>
    <xf numFmtId="9" fontId="0" fillId="0" borderId="0" xfId="5" applyFont="1" applyAlignment="1">
      <alignment horizontal="left" vertical="center" shrinkToFit="1"/>
    </xf>
    <xf numFmtId="9" fontId="39" fillId="0" borderId="0" xfId="0" applyNumberFormat="1" applyFont="1" applyBorder="1" applyAlignment="1">
      <alignment vertical="center" shrinkToFit="1"/>
    </xf>
    <xf numFmtId="0" fontId="18" fillId="0" borderId="0" xfId="0" applyFont="1" applyBorder="1" applyAlignment="1">
      <alignment vertical="center" shrinkToFit="1"/>
    </xf>
    <xf numFmtId="0" fontId="24" fillId="6" borderId="0" xfId="0" applyFont="1" applyFill="1" applyBorder="1" applyAlignment="1" applyProtection="1">
      <alignment horizontal="center" vertical="center" shrinkToFit="1"/>
      <protection locked="0"/>
    </xf>
    <xf numFmtId="178" fontId="10" fillId="0" borderId="19" xfId="2" applyNumberFormat="1" applyFont="1" applyBorder="1" applyAlignment="1" applyProtection="1">
      <alignment horizontal="center" vertical="center" shrinkToFit="1"/>
    </xf>
    <xf numFmtId="184" fontId="10" fillId="0" borderId="19" xfId="2" applyNumberFormat="1" applyFont="1" applyBorder="1" applyAlignment="1" applyProtection="1">
      <alignment horizontal="center" vertical="center" shrinkToFit="1"/>
    </xf>
    <xf numFmtId="178" fontId="12" fillId="0" borderId="19" xfId="2" applyNumberFormat="1" applyFont="1" applyBorder="1" applyAlignment="1" applyProtection="1">
      <alignment horizontal="center" vertical="center" shrinkToFit="1"/>
    </xf>
    <xf numFmtId="178" fontId="13" fillId="0" borderId="19" xfId="2" applyNumberFormat="1" applyFont="1" applyBorder="1" applyAlignment="1" applyProtection="1">
      <alignment horizontal="center" vertical="center" shrinkToFit="1"/>
    </xf>
    <xf numFmtId="184" fontId="10" fillId="0" borderId="14" xfId="2" applyNumberFormat="1" applyFont="1" applyBorder="1" applyAlignment="1" applyProtection="1">
      <alignment horizontal="center" vertical="center" shrinkToFit="1"/>
    </xf>
    <xf numFmtId="184" fontId="10" fillId="0" borderId="14" xfId="2" applyNumberFormat="1" applyFont="1" applyBorder="1" applyAlignment="1" applyProtection="1">
      <alignment horizontal="center" vertical="center" shrinkToFit="1"/>
      <protection locked="0"/>
    </xf>
    <xf numFmtId="184" fontId="10" fillId="0" borderId="18" xfId="2" applyNumberFormat="1" applyFont="1" applyBorder="1" applyAlignment="1" applyProtection="1">
      <alignment horizontal="center" vertical="center" shrinkToFit="1"/>
    </xf>
    <xf numFmtId="190" fontId="0" fillId="0" borderId="0" xfId="0" applyNumberFormat="1" applyFont="1" applyAlignment="1">
      <alignment horizontal="center" vertical="center" shrinkToFit="1"/>
    </xf>
    <xf numFmtId="0" fontId="33" fillId="0" borderId="1" xfId="0" applyFont="1" applyBorder="1" applyAlignment="1">
      <alignment vertical="center" shrinkToFit="1"/>
    </xf>
    <xf numFmtId="0" fontId="18" fillId="0" borderId="75" xfId="0" applyFont="1" applyBorder="1" applyAlignment="1">
      <alignment vertical="center" shrinkToFit="1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Protection="1">
      <alignment vertical="center"/>
      <protection locked="0"/>
    </xf>
    <xf numFmtId="0" fontId="34" fillId="0" borderId="1" xfId="0" applyFont="1" applyBorder="1" applyAlignment="1">
      <alignment vertical="center" shrinkToFit="1"/>
    </xf>
    <xf numFmtId="0" fontId="0" fillId="0" borderId="0" xfId="0" applyNumberFormat="1" applyAlignment="1">
      <alignment horizontal="left" vertical="center" shrinkToFit="1"/>
    </xf>
    <xf numFmtId="0" fontId="34" fillId="0" borderId="0" xfId="4" applyFont="1" applyAlignment="1">
      <alignment horizontal="center" vertical="center"/>
    </xf>
    <xf numFmtId="0" fontId="13" fillId="0" borderId="0" xfId="0" applyNumberFormat="1" applyFont="1" applyAlignment="1" applyProtection="1">
      <alignment vertical="center" shrinkToFit="1"/>
      <protection locked="0"/>
    </xf>
    <xf numFmtId="0" fontId="10" fillId="0" borderId="63" xfId="2" applyFont="1" applyFill="1" applyBorder="1" applyAlignment="1" applyProtection="1">
      <alignment horizontal="center" vertical="center" shrinkToFit="1"/>
      <protection locked="0"/>
    </xf>
    <xf numFmtId="0" fontId="10" fillId="0" borderId="1" xfId="2" applyFont="1" applyBorder="1" applyAlignment="1" applyProtection="1">
      <alignment horizontal="center" vertical="center" shrinkToFit="1"/>
      <protection locked="0"/>
    </xf>
    <xf numFmtId="0" fontId="10" fillId="0" borderId="25" xfId="2" applyFont="1" applyBorder="1" applyAlignment="1" applyProtection="1">
      <alignment horizontal="center" vertical="center" shrinkToFit="1"/>
      <protection locked="0"/>
    </xf>
    <xf numFmtId="0" fontId="10" fillId="0" borderId="26" xfId="2" applyFont="1" applyBorder="1" applyAlignment="1" applyProtection="1">
      <alignment horizontal="center" vertical="center" shrinkToFit="1"/>
      <protection locked="0"/>
    </xf>
    <xf numFmtId="0" fontId="10" fillId="0" borderId="93" xfId="2" applyNumberFormat="1" applyFont="1" applyBorder="1" applyAlignment="1" applyProtection="1">
      <alignment horizontal="center" vertical="center" shrinkToFit="1"/>
      <protection locked="0"/>
    </xf>
    <xf numFmtId="0" fontId="7" fillId="0" borderId="11" xfId="2" applyFont="1" applyBorder="1" applyAlignment="1" applyProtection="1">
      <alignment vertical="center" shrinkToFit="1"/>
      <protection locked="0"/>
    </xf>
    <xf numFmtId="178" fontId="10" fillId="0" borderId="14" xfId="2" applyNumberFormat="1" applyFont="1" applyBorder="1" applyAlignment="1" applyProtection="1">
      <alignment horizontal="center" vertical="center" shrinkToFit="1"/>
    </xf>
    <xf numFmtId="178" fontId="10" fillId="0" borderId="11" xfId="2" applyNumberFormat="1" applyFont="1" applyBorder="1" applyAlignment="1" applyProtection="1">
      <alignment horizontal="center" vertical="center" shrinkToFit="1"/>
    </xf>
    <xf numFmtId="0" fontId="11" fillId="0" borderId="11" xfId="2" applyFont="1" applyFill="1" applyBorder="1" applyAlignment="1" applyProtection="1">
      <alignment vertical="center" shrinkToFit="1"/>
      <protection locked="0"/>
    </xf>
    <xf numFmtId="0" fontId="10" fillId="0" borderId="32" xfId="2" applyFont="1" applyFill="1" applyBorder="1" applyAlignment="1" applyProtection="1">
      <alignment horizontal="center" vertical="center" shrinkToFit="1"/>
      <protection locked="0"/>
    </xf>
    <xf numFmtId="0" fontId="10" fillId="5" borderId="59" xfId="2" applyFont="1" applyFill="1" applyBorder="1" applyAlignment="1" applyProtection="1">
      <alignment horizontal="center" vertical="center" shrinkToFit="1"/>
    </xf>
    <xf numFmtId="0" fontId="10" fillId="0" borderId="35" xfId="2" applyFont="1" applyFill="1" applyBorder="1" applyAlignment="1" applyProtection="1">
      <alignment horizontal="center" vertical="center" shrinkToFit="1"/>
      <protection locked="0"/>
    </xf>
    <xf numFmtId="182" fontId="10" fillId="0" borderId="25" xfId="2" applyNumberFormat="1" applyFont="1" applyBorder="1" applyAlignment="1" applyProtection="1">
      <alignment horizontal="right" vertical="center" shrinkToFit="1"/>
      <protection locked="0"/>
    </xf>
    <xf numFmtId="0" fontId="10" fillId="14" borderId="26" xfId="2" applyFont="1" applyFill="1" applyBorder="1" applyAlignment="1" applyProtection="1">
      <alignment horizontal="center" vertical="center" shrinkToFit="1"/>
      <protection locked="0"/>
    </xf>
    <xf numFmtId="182" fontId="10" fillId="0" borderId="32" xfId="2" applyNumberFormat="1" applyFont="1" applyBorder="1" applyAlignment="1" applyProtection="1">
      <alignment horizontal="right" vertical="center" shrinkToFit="1"/>
      <protection locked="0"/>
    </xf>
    <xf numFmtId="0" fontId="10" fillId="0" borderId="66" xfId="2" applyFont="1" applyBorder="1" applyAlignment="1" applyProtection="1">
      <alignment vertical="center" shrinkToFit="1"/>
      <protection locked="0"/>
    </xf>
    <xf numFmtId="0" fontId="10" fillId="0" borderId="38" xfId="2" applyFont="1" applyBorder="1" applyAlignment="1" applyProtection="1">
      <alignment vertical="center" shrinkToFit="1"/>
      <protection locked="0"/>
    </xf>
    <xf numFmtId="0" fontId="10" fillId="0" borderId="61" xfId="2" applyFont="1" applyBorder="1" applyAlignment="1" applyProtection="1">
      <alignment horizontal="center" vertical="center" shrinkToFit="1"/>
      <protection locked="0"/>
    </xf>
    <xf numFmtId="178" fontId="10" fillId="0" borderId="77" xfId="2" applyNumberFormat="1" applyFont="1" applyBorder="1" applyAlignment="1" applyProtection="1">
      <alignment horizontal="center" vertical="center" shrinkToFit="1"/>
    </xf>
    <xf numFmtId="178" fontId="12" fillId="0" borderId="77" xfId="2" applyNumberFormat="1" applyFont="1" applyBorder="1" applyAlignment="1" applyProtection="1">
      <alignment horizontal="center" vertical="center" shrinkToFit="1"/>
    </xf>
    <xf numFmtId="178" fontId="13" fillId="0" borderId="77" xfId="2" applyNumberFormat="1" applyFont="1" applyBorder="1" applyAlignment="1" applyProtection="1">
      <alignment horizontal="center" vertical="center" shrinkToFit="1"/>
    </xf>
    <xf numFmtId="178" fontId="10" fillId="0" borderId="86" xfId="2" applyNumberFormat="1" applyFont="1" applyBorder="1" applyAlignment="1" applyProtection="1">
      <alignment horizontal="center" vertical="center" shrinkToFit="1"/>
    </xf>
    <xf numFmtId="184" fontId="10" fillId="0" borderId="77" xfId="2" applyNumberFormat="1" applyFont="1" applyBorder="1" applyAlignment="1" applyProtection="1">
      <alignment horizontal="center" vertical="center" shrinkToFit="1"/>
    </xf>
    <xf numFmtId="184" fontId="10" fillId="0" borderId="86" xfId="2" applyNumberFormat="1" applyFont="1" applyBorder="1" applyAlignment="1" applyProtection="1">
      <alignment horizontal="center" vertical="center" shrinkToFit="1"/>
    </xf>
    <xf numFmtId="184" fontId="10" fillId="0" borderId="86" xfId="2" applyNumberFormat="1" applyFont="1" applyBorder="1" applyAlignment="1" applyProtection="1">
      <alignment horizontal="center" vertical="center" shrinkToFit="1"/>
      <protection locked="0"/>
    </xf>
    <xf numFmtId="184" fontId="10" fillId="0" borderId="94" xfId="2" applyNumberFormat="1" applyFont="1" applyBorder="1" applyAlignment="1" applyProtection="1">
      <alignment horizontal="center" vertical="center" shrinkToFit="1"/>
    </xf>
    <xf numFmtId="0" fontId="10" fillId="0" borderId="93" xfId="2" applyFont="1" applyBorder="1" applyAlignment="1" applyProtection="1">
      <alignment horizontal="center" vertical="center" shrinkToFit="1"/>
      <protection locked="0"/>
    </xf>
    <xf numFmtId="0" fontId="10" fillId="8" borderId="95" xfId="2" applyFont="1" applyFill="1" applyBorder="1" applyAlignment="1" applyProtection="1">
      <alignment horizontal="center" vertical="center" shrinkToFit="1"/>
      <protection locked="0"/>
    </xf>
    <xf numFmtId="0" fontId="10" fillId="9" borderId="95" xfId="2" applyFont="1" applyFill="1" applyBorder="1" applyAlignment="1" applyProtection="1">
      <alignment horizontal="center" vertical="center" shrinkToFit="1"/>
      <protection locked="0"/>
    </xf>
    <xf numFmtId="0" fontId="10" fillId="10" borderId="95" xfId="2" applyFont="1" applyFill="1" applyBorder="1" applyAlignment="1" applyProtection="1">
      <alignment horizontal="center" vertical="center" shrinkToFit="1"/>
      <protection locked="0"/>
    </xf>
    <xf numFmtId="0" fontId="10" fillId="7" borderId="95" xfId="2" applyFont="1" applyFill="1" applyBorder="1" applyAlignment="1" applyProtection="1">
      <alignment horizontal="center" vertical="center" shrinkToFit="1"/>
      <protection locked="0"/>
    </xf>
    <xf numFmtId="0" fontId="10" fillId="11" borderId="95" xfId="2" applyFont="1" applyFill="1" applyBorder="1" applyAlignment="1" applyProtection="1">
      <alignment horizontal="center" vertical="center" shrinkToFit="1"/>
      <protection locked="0"/>
    </xf>
    <xf numFmtId="0" fontId="10" fillId="12" borderId="95" xfId="2" applyFont="1" applyFill="1" applyBorder="1" applyAlignment="1" applyProtection="1">
      <alignment horizontal="center" vertical="center" shrinkToFit="1"/>
      <protection locked="0"/>
    </xf>
    <xf numFmtId="0" fontId="10" fillId="13" borderId="95" xfId="2" applyFont="1" applyFill="1" applyBorder="1" applyAlignment="1" applyProtection="1">
      <alignment horizontal="center" vertical="center" shrinkToFit="1"/>
    </xf>
    <xf numFmtId="0" fontId="10" fillId="13" borderId="69" xfId="2" applyFont="1" applyFill="1" applyBorder="1" applyAlignment="1" applyProtection="1">
      <alignment horizontal="center" vertical="center" shrinkToFit="1"/>
      <protection locked="0"/>
    </xf>
    <xf numFmtId="0" fontId="10" fillId="0" borderId="95" xfId="2" applyFont="1" applyFill="1" applyBorder="1" applyAlignment="1" applyProtection="1">
      <alignment horizontal="center" vertical="center" shrinkToFit="1"/>
      <protection locked="0"/>
    </xf>
    <xf numFmtId="0" fontId="10" fillId="0" borderId="95" xfId="2" applyFont="1" applyBorder="1" applyAlignment="1" applyProtection="1">
      <alignment horizontal="center" vertical="center" shrinkToFit="1"/>
      <protection locked="0"/>
    </xf>
    <xf numFmtId="0" fontId="10" fillId="0" borderId="69" xfId="2" applyFont="1" applyBorder="1" applyAlignment="1" applyProtection="1">
      <alignment horizontal="center" vertical="center" shrinkToFit="1"/>
      <protection locked="0"/>
    </xf>
    <xf numFmtId="0" fontId="10" fillId="0" borderId="96" xfId="2" applyFont="1" applyBorder="1" applyAlignment="1" applyProtection="1">
      <alignment horizontal="center" vertical="center" shrinkToFit="1"/>
      <protection locked="0"/>
    </xf>
    <xf numFmtId="0" fontId="10" fillId="0" borderId="74" xfId="2" applyFont="1" applyBorder="1" applyAlignment="1" applyProtection="1">
      <alignment vertical="center" shrinkToFit="1"/>
      <protection locked="0"/>
    </xf>
    <xf numFmtId="0" fontId="10" fillId="0" borderId="68" xfId="2" applyFont="1" applyBorder="1" applyAlignment="1" applyProtection="1">
      <alignment vertical="center" shrinkToFit="1"/>
    </xf>
    <xf numFmtId="0" fontId="18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4" fillId="6" borderId="1" xfId="0" applyFont="1" applyFill="1" applyBorder="1" applyAlignment="1" applyProtection="1">
      <alignment horizontal="center" vertical="center" shrinkToFit="1"/>
      <protection locked="0"/>
    </xf>
    <xf numFmtId="0" fontId="10" fillId="0" borderId="25" xfId="2" applyFont="1" applyBorder="1" applyAlignment="1" applyProtection="1">
      <alignment horizontal="center" vertical="center" shrinkToFit="1"/>
      <protection locked="0"/>
    </xf>
    <xf numFmtId="0" fontId="10" fillId="0" borderId="26" xfId="2" applyFont="1" applyBorder="1" applyAlignment="1" applyProtection="1">
      <alignment horizontal="center" vertical="center" shrinkToFit="1"/>
      <protection locked="0"/>
    </xf>
    <xf numFmtId="0" fontId="10" fillId="0" borderId="26" xfId="2" applyFont="1" applyBorder="1" applyAlignment="1" applyProtection="1">
      <alignment horizontal="center" vertical="center" shrinkToFit="1"/>
      <protection locked="0"/>
    </xf>
    <xf numFmtId="0" fontId="10" fillId="0" borderId="27" xfId="2" applyFont="1" applyBorder="1" applyAlignment="1" applyProtection="1">
      <alignment horizontal="center" vertical="center" shrinkToFit="1"/>
      <protection locked="0"/>
    </xf>
    <xf numFmtId="0" fontId="21" fillId="0" borderId="97" xfId="2" applyFont="1" applyBorder="1" applyAlignment="1" applyProtection="1">
      <alignment horizontal="center" vertical="center" shrinkToFit="1"/>
      <protection locked="0"/>
    </xf>
    <xf numFmtId="178" fontId="21" fillId="15" borderId="98" xfId="2" applyNumberFormat="1" applyFont="1" applyFill="1" applyBorder="1" applyAlignment="1" applyProtection="1">
      <alignment horizontal="center" vertical="center" shrinkToFit="1"/>
    </xf>
    <xf numFmtId="178" fontId="21" fillId="15" borderId="99" xfId="2" applyNumberFormat="1" applyFont="1" applyFill="1" applyBorder="1" applyAlignment="1" applyProtection="1">
      <alignment horizontal="center" vertical="center" shrinkToFit="1"/>
    </xf>
    <xf numFmtId="186" fontId="19" fillId="0" borderId="0" xfId="0" applyNumberFormat="1" applyFont="1" applyBorder="1" applyAlignment="1">
      <alignment vertical="center" shrinkToFit="1"/>
    </xf>
    <xf numFmtId="38" fontId="32" fillId="16" borderId="0" xfId="0" applyNumberFormat="1" applyFont="1" applyFill="1" applyBorder="1" applyAlignment="1">
      <alignment horizontal="center" vertical="center" shrinkToFit="1"/>
    </xf>
    <xf numFmtId="190" fontId="0" fillId="0" borderId="0" xfId="0" applyNumberFormat="1" applyAlignment="1" applyProtection="1">
      <alignment vertical="center" wrapText="1" shrinkToFit="1"/>
      <protection locked="0"/>
    </xf>
    <xf numFmtId="0" fontId="32" fillId="16" borderId="0" xfId="0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wrapText="1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14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 shrinkToFit="1"/>
      <protection locked="0"/>
    </xf>
    <xf numFmtId="188" fontId="0" fillId="0" borderId="0" xfId="0" applyNumberFormat="1" applyAlignment="1" applyProtection="1">
      <alignment vertical="center" shrinkToFi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0" xfId="0" applyFont="1" applyAlignment="1" applyProtection="1">
      <alignment horizontal="left" vertical="center" shrinkToFit="1"/>
      <protection locked="0"/>
    </xf>
    <xf numFmtId="190" fontId="0" fillId="0" borderId="0" xfId="0" applyNumberFormat="1" applyFont="1" applyAlignment="1" applyProtection="1">
      <alignment horizontal="left" vertical="center" shrinkToFit="1"/>
      <protection locked="0"/>
    </xf>
    <xf numFmtId="190" fontId="0" fillId="0" borderId="0" xfId="0" applyNumberFormat="1" applyAlignment="1" applyProtection="1">
      <alignment horizontal="center" vertical="center" shrinkToFit="1"/>
      <protection locked="0"/>
    </xf>
    <xf numFmtId="0" fontId="0" fillId="0" borderId="91" xfId="0" applyBorder="1" applyAlignment="1" applyProtection="1">
      <alignment vertical="center" shrinkToFit="1"/>
      <protection locked="0"/>
    </xf>
    <xf numFmtId="9" fontId="0" fillId="0" borderId="0" xfId="5" applyFont="1" applyAlignment="1" applyProtection="1">
      <alignment vertical="center" shrinkToFit="1"/>
      <protection locked="0"/>
    </xf>
    <xf numFmtId="9" fontId="0" fillId="0" borderId="0" xfId="0" applyNumberFormat="1" applyAlignment="1" applyProtection="1">
      <alignment vertical="center" shrinkToFit="1"/>
      <protection locked="0"/>
    </xf>
    <xf numFmtId="190" fontId="0" fillId="0" borderId="0" xfId="0" applyNumberFormat="1" applyAlignment="1" applyProtection="1">
      <alignment horizontal="left" vertical="center" shrinkToFit="1"/>
      <protection locked="0"/>
    </xf>
    <xf numFmtId="0" fontId="0" fillId="11" borderId="0" xfId="0" applyFill="1" applyBorder="1" applyAlignment="1" applyProtection="1">
      <alignment vertical="center" shrinkToFit="1"/>
      <protection locked="0"/>
    </xf>
    <xf numFmtId="0" fontId="13" fillId="6" borderId="77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6" xfId="0" applyNumberFormat="1" applyFont="1" applyFill="1" applyBorder="1" applyAlignment="1" applyProtection="1">
      <alignment horizontal="center" vertical="center" shrinkToFit="1"/>
      <protection locked="0"/>
    </xf>
    <xf numFmtId="0" fontId="22" fillId="0" borderId="0" xfId="0" applyNumberFormat="1" applyFont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176" fontId="22" fillId="0" borderId="0" xfId="0" applyNumberFormat="1" applyFont="1" applyAlignment="1" applyProtection="1">
      <alignment vertical="center" shrinkToFit="1"/>
      <protection locked="0"/>
    </xf>
    <xf numFmtId="0" fontId="24" fillId="0" borderId="0" xfId="0" applyNumberFormat="1" applyFont="1" applyAlignment="1" applyProtection="1">
      <alignment horizontal="center" vertical="center" shrinkToFit="1"/>
      <protection locked="0"/>
    </xf>
    <xf numFmtId="0" fontId="40" fillId="0" borderId="0" xfId="0" applyFont="1" applyAlignment="1">
      <alignment vertical="center" shrinkToFit="1"/>
    </xf>
    <xf numFmtId="0" fontId="41" fillId="0" borderId="1" xfId="0" applyFont="1" applyFill="1" applyBorder="1" applyAlignment="1" applyProtection="1">
      <alignment horizontal="center" vertical="center" shrinkToFit="1"/>
      <protection locked="0"/>
    </xf>
    <xf numFmtId="0" fontId="41" fillId="0" borderId="0" xfId="0" applyFont="1" applyAlignment="1">
      <alignment horizontal="center" vertical="center"/>
    </xf>
    <xf numFmtId="38" fontId="41" fillId="0" borderId="0" xfId="1" applyFont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0" xfId="0" applyFont="1" applyFill="1" applyBorder="1" applyAlignment="1">
      <alignment vertical="center"/>
    </xf>
    <xf numFmtId="38" fontId="41" fillId="0" borderId="0" xfId="1" applyFont="1" applyFill="1" applyBorder="1" applyAlignment="1">
      <alignment horizontal="center" vertical="center"/>
    </xf>
    <xf numFmtId="0" fontId="41" fillId="4" borderId="42" xfId="0" applyFont="1" applyFill="1" applyBorder="1" applyAlignment="1">
      <alignment horizontal="center" vertical="center"/>
    </xf>
    <xf numFmtId="0" fontId="41" fillId="4" borderId="51" xfId="0" applyFont="1" applyFill="1" applyBorder="1" applyAlignment="1">
      <alignment horizontal="center" vertical="center"/>
    </xf>
    <xf numFmtId="38" fontId="41" fillId="4" borderId="54" xfId="1" applyFont="1" applyFill="1" applyBorder="1" applyAlignment="1">
      <alignment horizontal="center" vertical="center"/>
    </xf>
    <xf numFmtId="38" fontId="41" fillId="4" borderId="91" xfId="1" applyFont="1" applyFill="1" applyBorder="1" applyAlignment="1">
      <alignment horizontal="center" vertical="center"/>
    </xf>
    <xf numFmtId="0" fontId="41" fillId="4" borderId="91" xfId="0" applyFont="1" applyFill="1" applyBorder="1" applyAlignment="1">
      <alignment horizontal="center" vertical="center"/>
    </xf>
    <xf numFmtId="0" fontId="41" fillId="4" borderId="54" xfId="0" applyFont="1" applyFill="1" applyBorder="1" applyAlignment="1">
      <alignment horizontal="center" vertical="center"/>
    </xf>
    <xf numFmtId="0" fontId="41" fillId="0" borderId="62" xfId="0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38" fontId="41" fillId="0" borderId="18" xfId="1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1" fillId="0" borderId="100" xfId="0" applyFont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32" xfId="0" applyFont="1" applyBorder="1" applyAlignment="1">
      <alignment horizontal="center" vertical="center"/>
    </xf>
    <xf numFmtId="38" fontId="41" fillId="0" borderId="59" xfId="1" applyFont="1" applyBorder="1" applyAlignment="1">
      <alignment horizontal="center" vertical="center"/>
    </xf>
    <xf numFmtId="0" fontId="41" fillId="0" borderId="59" xfId="0" applyFont="1" applyBorder="1" applyAlignment="1">
      <alignment horizontal="center" vertical="center"/>
    </xf>
    <xf numFmtId="0" fontId="41" fillId="0" borderId="98" xfId="0" applyFont="1" applyBorder="1" applyAlignment="1">
      <alignment horizontal="center" vertical="center"/>
    </xf>
    <xf numFmtId="0" fontId="41" fillId="0" borderId="34" xfId="0" applyFont="1" applyBorder="1" applyAlignment="1">
      <alignment horizontal="center" vertical="center"/>
    </xf>
    <xf numFmtId="0" fontId="41" fillId="0" borderId="99" xfId="0" applyFont="1" applyBorder="1" applyAlignment="1">
      <alignment horizontal="center" vertical="center"/>
    </xf>
    <xf numFmtId="38" fontId="41" fillId="0" borderId="0" xfId="1" applyFont="1" applyBorder="1" applyAlignment="1">
      <alignment horizontal="center" vertical="center"/>
    </xf>
    <xf numFmtId="0" fontId="41" fillId="0" borderId="35" xfId="0" applyFont="1" applyBorder="1" applyAlignment="1">
      <alignment horizontal="center" vertical="center"/>
    </xf>
    <xf numFmtId="0" fontId="41" fillId="0" borderId="36" xfId="0" applyFont="1" applyBorder="1" applyAlignment="1">
      <alignment horizontal="center" vertical="center"/>
    </xf>
    <xf numFmtId="0" fontId="41" fillId="0" borderId="64" xfId="0" applyFont="1" applyBorder="1" applyAlignment="1">
      <alignment horizontal="center" vertical="center"/>
    </xf>
    <xf numFmtId="0" fontId="41" fillId="0" borderId="0" xfId="0" applyFont="1" applyFill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38" fontId="41" fillId="0" borderId="64" xfId="1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41" fillId="0" borderId="53" xfId="0" applyFont="1" applyBorder="1" applyAlignment="1">
      <alignment horizontal="center" vertical="center"/>
    </xf>
    <xf numFmtId="0" fontId="41" fillId="0" borderId="91" xfId="0" applyFont="1" applyBorder="1" applyAlignment="1">
      <alignment horizontal="center" vertical="center"/>
    </xf>
    <xf numFmtId="0" fontId="41" fillId="0" borderId="51" xfId="0" applyFont="1" applyBorder="1" applyAlignment="1">
      <alignment horizontal="center" vertical="center"/>
    </xf>
    <xf numFmtId="0" fontId="41" fillId="0" borderId="101" xfId="0" applyFont="1" applyBorder="1" applyAlignment="1">
      <alignment horizontal="center" vertical="center"/>
    </xf>
    <xf numFmtId="0" fontId="22" fillId="0" borderId="1" xfId="0" applyFont="1" applyBorder="1" applyAlignment="1" applyProtection="1">
      <alignment vertical="center" shrinkToFit="1"/>
      <protection locked="0"/>
    </xf>
    <xf numFmtId="19" fontId="22" fillId="0" borderId="1" xfId="0" applyNumberFormat="1" applyFont="1" applyBorder="1" applyAlignment="1" applyProtection="1">
      <alignment vertical="center" shrinkToFit="1"/>
      <protection locked="0"/>
    </xf>
    <xf numFmtId="0" fontId="41" fillId="4" borderId="56" xfId="0" applyFont="1" applyFill="1" applyBorder="1" applyAlignment="1">
      <alignment horizontal="center" vertical="center"/>
    </xf>
    <xf numFmtId="0" fontId="41" fillId="4" borderId="26" xfId="0" applyFont="1" applyFill="1" applyBorder="1" applyAlignment="1">
      <alignment horizontal="center" vertical="center"/>
    </xf>
    <xf numFmtId="191" fontId="41" fillId="18" borderId="1" xfId="0" applyNumberFormat="1" applyFont="1" applyFill="1" applyBorder="1" applyAlignment="1">
      <alignment horizontal="center" vertical="center"/>
    </xf>
    <xf numFmtId="0" fontId="41" fillId="18" borderId="1" xfId="0" applyFont="1" applyFill="1" applyBorder="1" applyAlignment="1" applyProtection="1">
      <alignment horizontal="center" vertical="center" shrinkToFit="1"/>
      <protection locked="0"/>
    </xf>
    <xf numFmtId="0" fontId="41" fillId="18" borderId="1" xfId="0" applyFont="1" applyFill="1" applyBorder="1" applyAlignment="1">
      <alignment horizontal="center" vertical="center"/>
    </xf>
    <xf numFmtId="177" fontId="41" fillId="0" borderId="1" xfId="0" applyNumberFormat="1" applyFont="1" applyBorder="1" applyAlignment="1">
      <alignment horizontal="center" vertical="center"/>
    </xf>
    <xf numFmtId="177" fontId="41" fillId="0" borderId="59" xfId="0" applyNumberFormat="1" applyFont="1" applyBorder="1" applyAlignment="1">
      <alignment horizontal="center" vertical="center"/>
    </xf>
    <xf numFmtId="177" fontId="41" fillId="0" borderId="19" xfId="0" applyNumberFormat="1" applyFont="1" applyBorder="1" applyAlignment="1">
      <alignment horizontal="center" vertical="center"/>
    </xf>
    <xf numFmtId="177" fontId="41" fillId="0" borderId="77" xfId="0" applyNumberFormat="1" applyFont="1" applyBorder="1" applyAlignment="1">
      <alignment horizontal="center" vertical="center"/>
    </xf>
    <xf numFmtId="177" fontId="41" fillId="0" borderId="51" xfId="0" applyNumberFormat="1" applyFont="1" applyBorder="1" applyAlignment="1">
      <alignment vertical="center"/>
    </xf>
    <xf numFmtId="0" fontId="41" fillId="0" borderId="0" xfId="0" applyFont="1">
      <alignment vertical="center"/>
    </xf>
    <xf numFmtId="0" fontId="41" fillId="18" borderId="1" xfId="0" applyFont="1" applyFill="1" applyBorder="1">
      <alignment vertical="center"/>
    </xf>
    <xf numFmtId="0" fontId="41" fillId="0" borderId="0" xfId="0" applyFont="1" applyFill="1" applyBorder="1" applyAlignment="1">
      <alignment horizontal="center" vertical="center" shrinkToFit="1"/>
    </xf>
    <xf numFmtId="0" fontId="41" fillId="0" borderId="1" xfId="0" applyFont="1" applyBorder="1">
      <alignment vertical="center"/>
    </xf>
    <xf numFmtId="0" fontId="41" fillId="18" borderId="36" xfId="0" applyFont="1" applyFill="1" applyBorder="1">
      <alignment vertical="center"/>
    </xf>
    <xf numFmtId="0" fontId="41" fillId="0" borderId="36" xfId="0" applyFont="1" applyBorder="1">
      <alignment vertical="center"/>
    </xf>
    <xf numFmtId="0" fontId="41" fillId="0" borderId="1" xfId="0" applyFont="1" applyBorder="1" applyAlignment="1">
      <alignment horizontal="center" vertical="center" shrinkToFit="1"/>
    </xf>
    <xf numFmtId="0" fontId="41" fillId="4" borderId="25" xfId="0" applyFont="1" applyFill="1" applyBorder="1" applyAlignment="1">
      <alignment horizontal="center" vertical="center"/>
    </xf>
    <xf numFmtId="0" fontId="41" fillId="0" borderId="36" xfId="0" applyFont="1" applyBorder="1" applyAlignment="1">
      <alignment horizontal="center" vertical="center" shrinkToFit="1"/>
    </xf>
    <xf numFmtId="177" fontId="41" fillId="0" borderId="36" xfId="0" applyNumberFormat="1" applyFont="1" applyBorder="1" applyAlignment="1">
      <alignment horizontal="center" vertical="center"/>
    </xf>
    <xf numFmtId="177" fontId="41" fillId="0" borderId="64" xfId="0" applyNumberFormat="1" applyFont="1" applyBorder="1" applyAlignment="1">
      <alignment horizontal="center" vertical="center"/>
    </xf>
    <xf numFmtId="0" fontId="10" fillId="0" borderId="0" xfId="2" applyNumberFormat="1" applyFont="1" applyBorder="1" applyAlignment="1" applyProtection="1">
      <alignment horizontal="center" vertical="center" shrinkToFit="1"/>
      <protection locked="0"/>
    </xf>
    <xf numFmtId="177" fontId="41" fillId="0" borderId="11" xfId="0" applyNumberFormat="1" applyFont="1" applyBorder="1" applyAlignment="1">
      <alignment horizontal="center" vertical="center"/>
    </xf>
    <xf numFmtId="177" fontId="41" fillId="0" borderId="86" xfId="0" applyNumberFormat="1" applyFont="1" applyBorder="1" applyAlignment="1">
      <alignment horizontal="center" vertical="center"/>
    </xf>
    <xf numFmtId="0" fontId="41" fillId="4" borderId="49" xfId="0" applyFont="1" applyFill="1" applyBorder="1" applyAlignment="1">
      <alignment horizontal="center" vertical="center"/>
    </xf>
    <xf numFmtId="0" fontId="41" fillId="0" borderId="72" xfId="0" applyFont="1" applyBorder="1" applyAlignment="1">
      <alignment horizontal="center" vertical="center"/>
    </xf>
    <xf numFmtId="0" fontId="41" fillId="0" borderId="102" xfId="0" applyFont="1" applyBorder="1" applyAlignment="1">
      <alignment horizontal="center" vertical="center"/>
    </xf>
    <xf numFmtId="177" fontId="41" fillId="0" borderId="2" xfId="0" applyNumberFormat="1" applyFont="1" applyBorder="1" applyAlignment="1">
      <alignment horizontal="center" vertical="center"/>
    </xf>
    <xf numFmtId="177" fontId="41" fillId="0" borderId="75" xfId="0" applyNumberFormat="1" applyFont="1" applyBorder="1" applyAlignment="1">
      <alignment horizontal="center" vertical="center"/>
    </xf>
    <xf numFmtId="177" fontId="41" fillId="0" borderId="88" xfId="0" applyNumberFormat="1" applyFont="1" applyBorder="1" applyAlignment="1">
      <alignment horizontal="center" vertical="center"/>
    </xf>
    <xf numFmtId="177" fontId="41" fillId="0" borderId="71" xfId="0" applyNumberFormat="1" applyFont="1" applyBorder="1" applyAlignment="1">
      <alignment horizontal="center" vertical="center"/>
    </xf>
    <xf numFmtId="0" fontId="41" fillId="0" borderId="34" xfId="0" applyFont="1" applyFill="1" applyBorder="1" applyAlignment="1">
      <alignment horizontal="center" vertical="center"/>
    </xf>
    <xf numFmtId="0" fontId="41" fillId="0" borderId="40" xfId="0" applyFont="1" applyFill="1" applyBorder="1" applyAlignment="1">
      <alignment horizontal="center" vertical="center"/>
    </xf>
    <xf numFmtId="38" fontId="41" fillId="4" borderId="16" xfId="1" applyFont="1" applyFill="1" applyBorder="1" applyAlignment="1">
      <alignment horizontal="center" vertical="center"/>
    </xf>
    <xf numFmtId="0" fontId="41" fillId="0" borderId="52" xfId="0" applyFont="1" applyFill="1" applyBorder="1" applyAlignment="1">
      <alignment horizontal="center" vertical="center"/>
    </xf>
    <xf numFmtId="0" fontId="41" fillId="0" borderId="103" xfId="0" applyFont="1" applyBorder="1" applyAlignment="1">
      <alignment horizontal="center" vertical="center"/>
    </xf>
    <xf numFmtId="177" fontId="41" fillId="0" borderId="14" xfId="0" applyNumberFormat="1" applyFont="1" applyBorder="1" applyAlignment="1">
      <alignment horizontal="center" vertical="center"/>
    </xf>
    <xf numFmtId="49" fontId="41" fillId="4" borderId="42" xfId="0" applyNumberFormat="1" applyFont="1" applyFill="1" applyBorder="1" applyAlignment="1">
      <alignment horizontal="center" vertical="center"/>
    </xf>
    <xf numFmtId="49" fontId="41" fillId="4" borderId="51" xfId="0" applyNumberFormat="1" applyFont="1" applyFill="1" applyBorder="1" applyAlignment="1">
      <alignment horizontal="center" vertical="center"/>
    </xf>
    <xf numFmtId="0" fontId="41" fillId="0" borderId="36" xfId="0" applyFont="1" applyFill="1" applyBorder="1" applyAlignment="1">
      <alignment horizontal="center" vertical="center"/>
    </xf>
    <xf numFmtId="38" fontId="30" fillId="0" borderId="23" xfId="1" applyFont="1" applyFill="1" applyBorder="1" applyAlignment="1" applyProtection="1">
      <alignment horizontal="center" vertical="center" shrinkToFit="1"/>
      <protection locked="0"/>
    </xf>
    <xf numFmtId="191" fontId="41" fillId="0" borderId="19" xfId="0" applyNumberFormat="1" applyFont="1" applyFill="1" applyBorder="1" applyAlignment="1" applyProtection="1">
      <alignment horizontal="center" vertical="center" shrinkToFit="1"/>
      <protection locked="0"/>
    </xf>
    <xf numFmtId="191" fontId="41" fillId="0" borderId="19" xfId="0" applyNumberFormat="1" applyFont="1" applyBorder="1" applyAlignment="1">
      <alignment horizontal="center" vertical="center"/>
    </xf>
    <xf numFmtId="0" fontId="41" fillId="0" borderId="19" xfId="0" applyFont="1" applyFill="1" applyBorder="1" applyAlignment="1" applyProtection="1">
      <alignment horizontal="center" vertical="center" shrinkToFit="1"/>
      <protection locked="0"/>
    </xf>
    <xf numFmtId="0" fontId="41" fillId="0" borderId="19" xfId="0" applyFont="1" applyFill="1" applyBorder="1" applyAlignment="1">
      <alignment horizontal="center" vertical="center"/>
    </xf>
    <xf numFmtId="0" fontId="41" fillId="4" borderId="52" xfId="0" applyFont="1" applyFill="1" applyBorder="1" applyAlignment="1">
      <alignment horizontal="center" vertical="center"/>
    </xf>
    <xf numFmtId="0" fontId="41" fillId="4" borderId="71" xfId="0" applyFont="1" applyFill="1" applyBorder="1" applyAlignment="1">
      <alignment horizontal="center" vertical="center"/>
    </xf>
    <xf numFmtId="0" fontId="41" fillId="4" borderId="96" xfId="0" applyFont="1" applyFill="1" applyBorder="1" applyAlignment="1">
      <alignment horizontal="center" vertical="center"/>
    </xf>
    <xf numFmtId="0" fontId="41" fillId="0" borderId="25" xfId="0" applyFont="1" applyBorder="1" applyAlignment="1">
      <alignment vertical="center"/>
    </xf>
    <xf numFmtId="0" fontId="41" fillId="0" borderId="56" xfId="0" applyFont="1" applyBorder="1" applyAlignment="1">
      <alignment vertical="center"/>
    </xf>
    <xf numFmtId="0" fontId="41" fillId="0" borderId="32" xfId="0" applyFont="1" applyBorder="1" applyAlignment="1">
      <alignment vertical="center"/>
    </xf>
    <xf numFmtId="0" fontId="41" fillId="0" borderId="59" xfId="0" applyFont="1" applyBorder="1" applyAlignment="1">
      <alignment vertical="center"/>
    </xf>
    <xf numFmtId="0" fontId="41" fillId="0" borderId="35" xfId="0" applyFont="1" applyBorder="1" applyAlignment="1">
      <alignment vertical="center"/>
    </xf>
    <xf numFmtId="0" fontId="41" fillId="0" borderId="64" xfId="0" applyFont="1" applyBorder="1" applyAlignment="1">
      <alignment vertical="center"/>
    </xf>
    <xf numFmtId="0" fontId="44" fillId="0" borderId="0" xfId="6" applyAlignment="1" applyProtection="1">
      <alignment horizontal="center" vertical="center"/>
    </xf>
    <xf numFmtId="0" fontId="22" fillId="0" borderId="11" xfId="0" applyFont="1" applyBorder="1" applyAlignment="1" applyProtection="1">
      <alignment vertical="center" shrinkToFit="1"/>
      <protection locked="0"/>
    </xf>
    <xf numFmtId="179" fontId="28" fillId="3" borderId="1" xfId="0" applyNumberFormat="1" applyFont="1" applyFill="1" applyBorder="1" applyAlignment="1" applyProtection="1">
      <alignment horizontal="center" vertical="center" wrapText="1" shrinkToFit="1"/>
      <protection locked="0"/>
    </xf>
    <xf numFmtId="0" fontId="43" fillId="2" borderId="1" xfId="0" applyFont="1" applyFill="1" applyBorder="1" applyAlignment="1" applyProtection="1">
      <alignment horizontal="center" vertical="center" shrinkToFit="1"/>
      <protection locked="0"/>
    </xf>
    <xf numFmtId="0" fontId="22" fillId="7" borderId="2" xfId="0" applyFont="1" applyFill="1" applyBorder="1" applyAlignment="1" applyProtection="1">
      <alignment horizontal="center" vertical="center" shrinkToFit="1"/>
      <protection locked="0"/>
    </xf>
    <xf numFmtId="0" fontId="22" fillId="2" borderId="1" xfId="0" applyFont="1" applyFill="1" applyBorder="1" applyAlignment="1" applyProtection="1">
      <alignment horizontal="center" vertical="center" shrinkToFit="1"/>
      <protection locked="0"/>
    </xf>
    <xf numFmtId="0" fontId="22" fillId="2" borderId="2" xfId="0" applyFont="1" applyFill="1" applyBorder="1" applyAlignment="1" applyProtection="1">
      <alignment horizontal="center" vertical="center" shrinkToFit="1"/>
      <protection locked="0"/>
    </xf>
    <xf numFmtId="0" fontId="34" fillId="0" borderId="86" xfId="4" applyFont="1" applyBorder="1" applyAlignment="1">
      <alignment horizontal="center" vertical="center"/>
    </xf>
    <xf numFmtId="0" fontId="34" fillId="0" borderId="87" xfId="4" applyFont="1" applyBorder="1" applyAlignment="1">
      <alignment horizontal="center" vertical="center"/>
    </xf>
    <xf numFmtId="0" fontId="34" fillId="0" borderId="88" xfId="4" applyFont="1" applyBorder="1" applyAlignment="1">
      <alignment horizontal="center" vertical="center"/>
    </xf>
    <xf numFmtId="0" fontId="34" fillId="0" borderId="89" xfId="4" applyFont="1" applyBorder="1" applyAlignment="1">
      <alignment horizontal="center" vertical="center"/>
    </xf>
    <xf numFmtId="0" fontId="34" fillId="0" borderId="0" xfId="4" applyFont="1" applyBorder="1" applyAlignment="1">
      <alignment horizontal="center" vertical="center"/>
    </xf>
    <xf numFmtId="0" fontId="34" fillId="0" borderId="90" xfId="4" applyFont="1" applyBorder="1" applyAlignment="1">
      <alignment horizontal="center" vertical="center"/>
    </xf>
    <xf numFmtId="0" fontId="34" fillId="0" borderId="14" xfId="4" applyFont="1" applyBorder="1" applyAlignment="1">
      <alignment horizontal="center" vertical="center"/>
    </xf>
    <xf numFmtId="0" fontId="34" fillId="0" borderId="5" xfId="4" applyFont="1" applyBorder="1" applyAlignment="1">
      <alignment horizontal="center" vertical="center"/>
    </xf>
    <xf numFmtId="0" fontId="34" fillId="0" borderId="75" xfId="4" applyFont="1" applyBorder="1" applyAlignment="1">
      <alignment horizontal="center" vertical="center"/>
    </xf>
    <xf numFmtId="0" fontId="34" fillId="0" borderId="1" xfId="4" applyFont="1" applyBorder="1" applyAlignment="1">
      <alignment horizontal="center" vertical="center"/>
    </xf>
    <xf numFmtId="0" fontId="34" fillId="0" borderId="0" xfId="4" applyFont="1" applyAlignment="1">
      <alignment horizontal="center" vertical="center"/>
    </xf>
    <xf numFmtId="189" fontId="34" fillId="0" borderId="5" xfId="4" applyNumberFormat="1" applyFont="1" applyBorder="1" applyAlignment="1">
      <alignment horizontal="right" vertical="center"/>
    </xf>
    <xf numFmtId="0" fontId="34" fillId="0" borderId="11" xfId="4" applyFont="1" applyBorder="1" applyAlignment="1">
      <alignment horizontal="center" vertical="center"/>
    </xf>
    <xf numFmtId="0" fontId="34" fillId="0" borderId="12" xfId="4" applyFont="1" applyBorder="1" applyAlignment="1">
      <alignment horizontal="center" vertical="center"/>
    </xf>
    <xf numFmtId="0" fontId="34" fillId="0" borderId="2" xfId="4" applyFont="1" applyBorder="1" applyAlignment="1">
      <alignment horizontal="center" vertical="center"/>
    </xf>
    <xf numFmtId="182" fontId="10" fillId="10" borderId="11" xfId="2" applyNumberFormat="1" applyFont="1" applyFill="1" applyBorder="1" applyAlignment="1" applyProtection="1">
      <alignment horizontal="center" vertical="center" shrinkToFit="1"/>
      <protection locked="0"/>
    </xf>
    <xf numFmtId="182" fontId="10" fillId="10" borderId="12" xfId="2" applyNumberFormat="1" applyFont="1" applyFill="1" applyBorder="1" applyAlignment="1" applyProtection="1">
      <alignment horizontal="center" vertical="center" shrinkToFit="1"/>
      <protection locked="0"/>
    </xf>
    <xf numFmtId="182" fontId="10" fillId="10" borderId="2" xfId="2" applyNumberFormat="1" applyFont="1" applyFill="1" applyBorder="1" applyAlignment="1" applyProtection="1">
      <alignment horizontal="center" vertical="center" shrinkToFit="1"/>
      <protection locked="0"/>
    </xf>
    <xf numFmtId="177" fontId="10" fillId="10" borderId="11" xfId="2" applyNumberFormat="1" applyFont="1" applyFill="1" applyBorder="1" applyAlignment="1" applyProtection="1">
      <alignment horizontal="center" vertical="center" shrinkToFit="1"/>
      <protection locked="0"/>
    </xf>
    <xf numFmtId="177" fontId="10" fillId="10" borderId="2" xfId="2" applyNumberFormat="1" applyFont="1" applyFill="1" applyBorder="1" applyAlignment="1" applyProtection="1">
      <alignment horizontal="center" vertical="center" shrinkToFit="1"/>
      <protection locked="0"/>
    </xf>
    <xf numFmtId="182" fontId="10" fillId="0" borderId="11" xfId="2" applyNumberFormat="1" applyFont="1" applyFill="1" applyBorder="1" applyAlignment="1" applyProtection="1">
      <alignment horizontal="center" vertical="center" shrinkToFit="1"/>
      <protection locked="0"/>
    </xf>
    <xf numFmtId="182" fontId="10" fillId="0" borderId="12" xfId="2" applyNumberFormat="1" applyFont="1" applyFill="1" applyBorder="1" applyAlignment="1" applyProtection="1">
      <alignment horizontal="center" vertical="center" shrinkToFit="1"/>
      <protection locked="0"/>
    </xf>
    <xf numFmtId="182" fontId="10" fillId="0" borderId="2" xfId="2" applyNumberFormat="1" applyFont="1" applyFill="1" applyBorder="1" applyAlignment="1" applyProtection="1">
      <alignment horizontal="center" vertical="center" shrinkToFit="1"/>
      <protection locked="0"/>
    </xf>
    <xf numFmtId="177" fontId="10" fillId="0" borderId="11" xfId="2" applyNumberFormat="1" applyFont="1" applyFill="1" applyBorder="1" applyAlignment="1" applyProtection="1">
      <alignment horizontal="center" vertical="center" shrinkToFit="1"/>
    </xf>
    <xf numFmtId="177" fontId="10" fillId="0" borderId="2" xfId="2" applyNumberFormat="1" applyFont="1" applyFill="1" applyBorder="1" applyAlignment="1" applyProtection="1">
      <alignment horizontal="center" vertical="center" shrinkToFit="1"/>
    </xf>
    <xf numFmtId="0" fontId="10" fillId="0" borderId="12" xfId="2" applyFont="1" applyBorder="1" applyAlignment="1" applyProtection="1">
      <alignment horizontal="center" vertical="center" shrinkToFit="1"/>
      <protection locked="0"/>
    </xf>
    <xf numFmtId="0" fontId="10" fillId="0" borderId="34" xfId="2" applyFont="1" applyBorder="1" applyAlignment="1" applyProtection="1">
      <alignment horizontal="center" vertical="center" shrinkToFit="1"/>
      <protection locked="0"/>
    </xf>
    <xf numFmtId="0" fontId="10" fillId="0" borderId="37" xfId="2" applyFont="1" applyBorder="1" applyAlignment="1" applyProtection="1">
      <alignment horizontal="center" vertical="center" shrinkToFit="1"/>
      <protection locked="0"/>
    </xf>
    <xf numFmtId="0" fontId="10" fillId="0" borderId="39" xfId="2" applyFont="1" applyBorder="1" applyAlignment="1" applyProtection="1">
      <alignment horizontal="center" vertical="center" shrinkToFit="1"/>
      <protection locked="0"/>
    </xf>
    <xf numFmtId="0" fontId="10" fillId="0" borderId="11" xfId="2" applyFont="1" applyBorder="1" applyAlignment="1" applyProtection="1">
      <alignment horizontal="center" vertical="center" shrinkToFit="1"/>
      <protection locked="0"/>
    </xf>
    <xf numFmtId="0" fontId="10" fillId="0" borderId="2" xfId="2" applyFont="1" applyBorder="1" applyAlignment="1" applyProtection="1">
      <alignment horizontal="center" vertical="center" shrinkToFit="1"/>
      <protection locked="0"/>
    </xf>
    <xf numFmtId="0" fontId="10" fillId="0" borderId="38" xfId="2" applyFont="1" applyBorder="1" applyAlignment="1" applyProtection="1">
      <alignment horizontal="center" vertical="center" shrinkToFit="1"/>
      <protection locked="0"/>
    </xf>
    <xf numFmtId="0" fontId="10" fillId="0" borderId="40" xfId="2" applyFont="1" applyBorder="1" applyAlignment="1" applyProtection="1">
      <alignment horizontal="center" vertical="center" shrinkToFit="1"/>
      <protection locked="0"/>
    </xf>
    <xf numFmtId="0" fontId="10" fillId="0" borderId="14" xfId="2" applyFont="1" applyBorder="1" applyAlignment="1" applyProtection="1">
      <alignment horizontal="center" vertical="center" shrinkToFit="1"/>
      <protection locked="0"/>
    </xf>
    <xf numFmtId="0" fontId="10" fillId="0" borderId="75" xfId="2" applyFont="1" applyBorder="1" applyAlignment="1" applyProtection="1">
      <alignment horizontal="center" vertical="center" shrinkToFit="1"/>
      <protection locked="0"/>
    </xf>
    <xf numFmtId="182" fontId="10" fillId="0" borderId="1" xfId="2" applyNumberFormat="1" applyFont="1" applyFill="1" applyBorder="1" applyAlignment="1" applyProtection="1">
      <alignment horizontal="center" vertical="center" shrinkToFit="1"/>
    </xf>
    <xf numFmtId="182" fontId="10" fillId="7" borderId="1" xfId="2" applyNumberFormat="1" applyFont="1" applyFill="1" applyBorder="1" applyAlignment="1" applyProtection="1">
      <alignment horizontal="center" vertical="center" shrinkToFit="1"/>
    </xf>
    <xf numFmtId="182" fontId="10" fillId="0" borderId="1" xfId="2" applyNumberFormat="1" applyFont="1" applyBorder="1" applyAlignment="1" applyProtection="1">
      <alignment horizontal="center" vertical="center" shrinkToFit="1"/>
    </xf>
    <xf numFmtId="182" fontId="10" fillId="0" borderId="37" xfId="2" applyNumberFormat="1" applyFont="1" applyBorder="1" applyAlignment="1" applyProtection="1">
      <alignment horizontal="center" vertical="center" shrinkToFit="1"/>
    </xf>
    <xf numFmtId="182" fontId="10" fillId="0" borderId="40" xfId="2" applyNumberFormat="1" applyFont="1" applyBorder="1" applyAlignment="1" applyProtection="1">
      <alignment horizontal="center" vertical="center" shrinkToFit="1"/>
    </xf>
    <xf numFmtId="182" fontId="10" fillId="0" borderId="11" xfId="2" applyNumberFormat="1" applyFont="1" applyBorder="1" applyAlignment="1" applyProtection="1">
      <alignment horizontal="center" vertical="center" shrinkToFit="1"/>
    </xf>
    <xf numFmtId="182" fontId="10" fillId="0" borderId="34" xfId="2" applyNumberFormat="1" applyFont="1" applyBorder="1" applyAlignment="1" applyProtection="1">
      <alignment horizontal="center" vertical="center" shrinkToFit="1"/>
    </xf>
    <xf numFmtId="182" fontId="10" fillId="0" borderId="32" xfId="2" applyNumberFormat="1" applyFont="1" applyBorder="1" applyAlignment="1" applyProtection="1">
      <alignment horizontal="center" vertical="center" shrinkToFit="1"/>
      <protection locked="0"/>
    </xf>
    <xf numFmtId="182" fontId="10" fillId="0" borderId="1" xfId="2" applyNumberFormat="1" applyFont="1" applyBorder="1" applyAlignment="1" applyProtection="1">
      <alignment horizontal="center" vertical="center" shrinkToFit="1"/>
      <protection locked="0"/>
    </xf>
    <xf numFmtId="0" fontId="7" fillId="0" borderId="11" xfId="2" applyFont="1" applyBorder="1" applyAlignment="1" applyProtection="1">
      <alignment horizontal="center" vertical="center" shrinkToFit="1"/>
      <protection locked="0"/>
    </xf>
    <xf numFmtId="0" fontId="7" fillId="0" borderId="34" xfId="2" applyFont="1" applyBorder="1" applyAlignment="1" applyProtection="1">
      <alignment horizontal="center" vertical="center" shrinkToFit="1"/>
      <protection locked="0"/>
    </xf>
    <xf numFmtId="182" fontId="10" fillId="10" borderId="62" xfId="2" applyNumberFormat="1" applyFont="1" applyFill="1" applyBorder="1" applyAlignment="1" applyProtection="1">
      <alignment horizontal="center" vertical="center" shrinkToFit="1"/>
      <protection locked="0"/>
    </xf>
    <xf numFmtId="182" fontId="10" fillId="10" borderId="19" xfId="2" applyNumberFormat="1" applyFont="1" applyFill="1" applyBorder="1" applyAlignment="1" applyProtection="1">
      <alignment horizontal="center" vertical="center" shrinkToFit="1"/>
      <protection locked="0"/>
    </xf>
    <xf numFmtId="0" fontId="7" fillId="10" borderId="19" xfId="2" applyFont="1" applyFill="1" applyBorder="1" applyAlignment="1" applyProtection="1">
      <alignment horizontal="center" vertical="center" shrinkToFit="1"/>
      <protection locked="0"/>
    </xf>
    <xf numFmtId="0" fontId="7" fillId="10" borderId="18" xfId="2" applyFont="1" applyFill="1" applyBorder="1" applyAlignment="1" applyProtection="1">
      <alignment horizontal="center" vertical="center" shrinkToFit="1"/>
      <protection locked="0"/>
    </xf>
    <xf numFmtId="177" fontId="7" fillId="0" borderId="1" xfId="2" applyNumberFormat="1" applyFont="1" applyBorder="1" applyAlignment="1" applyProtection="1">
      <alignment horizontal="center" vertical="center" shrinkToFit="1"/>
    </xf>
    <xf numFmtId="0" fontId="7" fillId="0" borderId="59" xfId="2" applyFont="1" applyBorder="1" applyAlignment="1" applyProtection="1">
      <alignment horizontal="center" vertical="center" shrinkToFit="1"/>
    </xf>
    <xf numFmtId="0" fontId="10" fillId="0" borderId="35" xfId="2" applyFont="1" applyBorder="1" applyAlignment="1" applyProtection="1">
      <alignment horizontal="center" vertical="center" shrinkToFit="1"/>
      <protection locked="0"/>
    </xf>
    <xf numFmtId="0" fontId="10" fillId="0" borderId="36" xfId="2" applyFont="1" applyBorder="1" applyAlignment="1" applyProtection="1">
      <alignment horizontal="center" vertical="center" shrinkToFit="1"/>
      <protection locked="0"/>
    </xf>
    <xf numFmtId="182" fontId="7" fillId="0" borderId="36" xfId="2" applyNumberFormat="1" applyFont="1" applyBorder="1" applyAlignment="1" applyProtection="1">
      <alignment horizontal="center" vertical="center" shrinkToFit="1"/>
    </xf>
    <xf numFmtId="0" fontId="7" fillId="0" borderId="64" xfId="2" applyFont="1" applyBorder="1" applyAlignment="1" applyProtection="1">
      <alignment horizontal="center" vertical="center" shrinkToFit="1"/>
    </xf>
    <xf numFmtId="182" fontId="7" fillId="0" borderId="1" xfId="2" applyNumberFormat="1" applyFont="1" applyBorder="1" applyAlignment="1" applyProtection="1">
      <alignment horizontal="center" vertical="center" shrinkToFit="1"/>
    </xf>
    <xf numFmtId="182" fontId="10" fillId="0" borderId="27" xfId="2" applyNumberFormat="1" applyFont="1" applyBorder="1" applyAlignment="1" applyProtection="1">
      <alignment horizontal="center" vertical="center" shrinkToFit="1"/>
    </xf>
    <xf numFmtId="182" fontId="10" fillId="0" borderId="31" xfId="2" applyNumberFormat="1" applyFont="1" applyBorder="1" applyAlignment="1" applyProtection="1">
      <alignment horizontal="center" vertical="center" shrinkToFit="1"/>
    </xf>
    <xf numFmtId="182" fontId="7" fillId="0" borderId="19" xfId="2" applyNumberFormat="1" applyFont="1" applyFill="1" applyBorder="1" applyAlignment="1" applyProtection="1">
      <alignment horizontal="center" vertical="center" shrinkToFit="1"/>
    </xf>
    <xf numFmtId="0" fontId="7" fillId="0" borderId="18" xfId="2" applyFont="1" applyFill="1" applyBorder="1" applyAlignment="1" applyProtection="1">
      <alignment horizontal="center" vertical="center" shrinkToFit="1"/>
    </xf>
    <xf numFmtId="182" fontId="10" fillId="0" borderId="62" xfId="2" applyNumberFormat="1" applyFont="1" applyFill="1" applyBorder="1" applyAlignment="1" applyProtection="1">
      <alignment horizontal="center" vertical="center" shrinkToFit="1"/>
      <protection locked="0"/>
    </xf>
    <xf numFmtId="182" fontId="10" fillId="0" borderId="19" xfId="2" applyNumberFormat="1" applyFont="1" applyFill="1" applyBorder="1" applyAlignment="1" applyProtection="1">
      <alignment horizontal="center" vertical="center" shrinkToFit="1"/>
      <protection locked="0"/>
    </xf>
    <xf numFmtId="182" fontId="10" fillId="10" borderId="25" xfId="2" applyNumberFormat="1" applyFont="1" applyFill="1" applyBorder="1" applyAlignment="1" applyProtection="1">
      <alignment horizontal="center" vertical="center" shrinkToFit="1"/>
      <protection locked="0"/>
    </xf>
    <xf numFmtId="182" fontId="10" fillId="10" borderId="26" xfId="2" applyNumberFormat="1" applyFont="1" applyFill="1" applyBorder="1" applyAlignment="1" applyProtection="1">
      <alignment horizontal="center" vertical="center" shrinkToFit="1"/>
      <protection locked="0"/>
    </xf>
    <xf numFmtId="0" fontId="7" fillId="10" borderId="26" xfId="2" applyFont="1" applyFill="1" applyBorder="1" applyAlignment="1" applyProtection="1">
      <alignment horizontal="center" vertical="center" shrinkToFit="1"/>
      <protection locked="0"/>
    </xf>
    <xf numFmtId="0" fontId="7" fillId="10" borderId="56" xfId="2" applyFont="1" applyFill="1" applyBorder="1" applyAlignment="1" applyProtection="1">
      <alignment horizontal="center" vertical="center" shrinkToFit="1"/>
      <protection locked="0"/>
    </xf>
    <xf numFmtId="182" fontId="10" fillId="10" borderId="1" xfId="2" applyNumberFormat="1" applyFont="1" applyFill="1" applyBorder="1" applyAlignment="1" applyProtection="1">
      <alignment horizontal="center" vertical="center" shrinkToFit="1"/>
      <protection locked="0"/>
    </xf>
    <xf numFmtId="182" fontId="10" fillId="0" borderId="11" xfId="2" applyNumberFormat="1" applyFont="1" applyFill="1" applyBorder="1" applyAlignment="1" applyProtection="1">
      <alignment horizontal="center" vertical="center" shrinkToFit="1"/>
    </xf>
    <xf numFmtId="182" fontId="10" fillId="0" borderId="12" xfId="2" applyNumberFormat="1" applyFont="1" applyFill="1" applyBorder="1" applyAlignment="1" applyProtection="1">
      <alignment horizontal="center" vertical="center" shrinkToFit="1"/>
    </xf>
    <xf numFmtId="182" fontId="10" fillId="0" borderId="2" xfId="2" applyNumberFormat="1" applyFont="1" applyFill="1" applyBorder="1" applyAlignment="1" applyProtection="1">
      <alignment horizontal="center" vertical="center" shrinkToFit="1"/>
    </xf>
    <xf numFmtId="185" fontId="10" fillId="0" borderId="1" xfId="2" applyNumberFormat="1" applyFont="1" applyBorder="1" applyAlignment="1" applyProtection="1">
      <alignment horizontal="center" vertical="center" shrinkToFit="1"/>
    </xf>
    <xf numFmtId="182" fontId="10" fillId="10" borderId="1" xfId="2" applyNumberFormat="1" applyFont="1" applyFill="1" applyBorder="1" applyAlignment="1" applyProtection="1">
      <alignment horizontal="center" vertical="center" shrinkToFit="1"/>
    </xf>
    <xf numFmtId="183" fontId="10" fillId="0" borderId="11" xfId="2" applyNumberFormat="1" applyFont="1" applyBorder="1" applyAlignment="1" applyProtection="1">
      <alignment horizontal="center" vertical="center" shrinkToFit="1"/>
      <protection locked="0"/>
    </xf>
    <xf numFmtId="183" fontId="10" fillId="0" borderId="73" xfId="2" applyNumberFormat="1" applyFont="1" applyBorder="1" applyAlignment="1" applyProtection="1">
      <alignment horizontal="center" vertical="center" shrinkToFit="1"/>
      <protection locked="0"/>
    </xf>
    <xf numFmtId="182" fontId="10" fillId="0" borderId="43" xfId="2" applyNumberFormat="1" applyFont="1" applyBorder="1" applyAlignment="1" applyProtection="1">
      <alignment horizontal="center" vertical="center" shrinkToFit="1"/>
    </xf>
    <xf numFmtId="182" fontId="10" fillId="0" borderId="44" xfId="2" applyNumberFormat="1" applyFont="1" applyBorder="1" applyAlignment="1" applyProtection="1">
      <alignment horizontal="center" vertical="center" shrinkToFit="1"/>
    </xf>
    <xf numFmtId="0" fontId="7" fillId="0" borderId="45" xfId="2" applyFont="1" applyBorder="1" applyAlignment="1" applyProtection="1">
      <alignment horizontal="center" vertical="center" shrinkToFit="1"/>
      <protection locked="0"/>
    </xf>
    <xf numFmtId="0" fontId="7" fillId="0" borderId="46" xfId="2" applyFont="1" applyBorder="1" applyAlignment="1" applyProtection="1">
      <alignment horizontal="center" vertical="center" shrinkToFit="1"/>
      <protection locked="0"/>
    </xf>
    <xf numFmtId="0" fontId="7" fillId="0" borderId="47" xfId="2" applyFont="1" applyBorder="1" applyAlignment="1" applyProtection="1">
      <alignment horizontal="center" vertical="center" shrinkToFit="1"/>
      <protection locked="0"/>
    </xf>
    <xf numFmtId="0" fontId="10" fillId="0" borderId="61" xfId="2" applyFont="1" applyFill="1" applyBorder="1" applyAlignment="1" applyProtection="1">
      <alignment horizontal="center" vertical="center" shrinkToFit="1"/>
      <protection locked="0"/>
    </xf>
    <xf numFmtId="0" fontId="10" fillId="0" borderId="62" xfId="2" applyFont="1" applyFill="1" applyBorder="1" applyAlignment="1" applyProtection="1">
      <alignment horizontal="center" vertical="center" shrinkToFit="1"/>
      <protection locked="0"/>
    </xf>
    <xf numFmtId="0" fontId="7" fillId="15" borderId="53" xfId="2" applyFont="1" applyFill="1" applyBorder="1" applyAlignment="1" applyProtection="1">
      <alignment horizontal="center" vertical="center" shrinkToFit="1"/>
      <protection locked="0"/>
    </xf>
    <xf numFmtId="0" fontId="7" fillId="15" borderId="49" xfId="2" applyFont="1" applyFill="1" applyBorder="1" applyAlignment="1" applyProtection="1">
      <alignment horizontal="center" vertical="center" shrinkToFit="1"/>
      <protection locked="0"/>
    </xf>
    <xf numFmtId="183" fontId="10" fillId="0" borderId="78" xfId="2" applyNumberFormat="1" applyFont="1" applyBorder="1" applyAlignment="1" applyProtection="1">
      <alignment horizontal="center" vertical="center" shrinkToFit="1"/>
      <protection locked="0"/>
    </xf>
    <xf numFmtId="183" fontId="10" fillId="0" borderId="38" xfId="2" applyNumberFormat="1" applyFont="1" applyBorder="1" applyAlignment="1" applyProtection="1">
      <alignment horizontal="center" vertical="center" shrinkToFit="1"/>
      <protection locked="0"/>
    </xf>
    <xf numFmtId="183" fontId="10" fillId="0" borderId="39" xfId="2" applyNumberFormat="1" applyFont="1" applyBorder="1" applyAlignment="1" applyProtection="1">
      <alignment horizontal="center" vertical="center" shrinkToFit="1"/>
      <protection locked="0"/>
    </xf>
    <xf numFmtId="0" fontId="10" fillId="0" borderId="37" xfId="2" applyNumberFormat="1" applyFont="1" applyBorder="1" applyAlignment="1" applyProtection="1">
      <alignment horizontal="center" vertical="center" shrinkToFit="1"/>
      <protection locked="0"/>
    </xf>
    <xf numFmtId="0" fontId="10" fillId="0" borderId="38" xfId="2" applyNumberFormat="1" applyFont="1" applyBorder="1" applyAlignment="1" applyProtection="1">
      <alignment horizontal="center" vertical="center" shrinkToFit="1"/>
      <protection locked="0"/>
    </xf>
    <xf numFmtId="0" fontId="10" fillId="0" borderId="39" xfId="2" applyNumberFormat="1" applyFont="1" applyBorder="1" applyAlignment="1" applyProtection="1">
      <alignment horizontal="center" vertical="center" shrinkToFit="1"/>
      <protection locked="0"/>
    </xf>
    <xf numFmtId="9" fontId="10" fillId="11" borderId="1" xfId="3" applyFont="1" applyFill="1" applyBorder="1" applyAlignment="1" applyProtection="1">
      <alignment horizontal="center" vertical="center" shrinkToFit="1"/>
    </xf>
    <xf numFmtId="0" fontId="10" fillId="0" borderId="1" xfId="2" applyFont="1" applyBorder="1" applyAlignment="1" applyProtection="1">
      <alignment horizontal="center" vertical="center" shrinkToFit="1"/>
      <protection locked="0"/>
    </xf>
    <xf numFmtId="182" fontId="10" fillId="0" borderId="37" xfId="2" applyNumberFormat="1" applyFont="1" applyBorder="1" applyAlignment="1" applyProtection="1">
      <alignment horizontal="center" vertical="center" shrinkToFit="1"/>
      <protection locked="0"/>
    </xf>
    <xf numFmtId="182" fontId="10" fillId="0" borderId="38" xfId="2" applyNumberFormat="1" applyFont="1" applyBorder="1" applyAlignment="1" applyProtection="1">
      <alignment horizontal="center" vertical="center" shrinkToFit="1"/>
      <protection locked="0"/>
    </xf>
    <xf numFmtId="183" fontId="10" fillId="0" borderId="92" xfId="2" applyNumberFormat="1" applyFont="1" applyBorder="1" applyAlignment="1" applyProtection="1">
      <alignment horizontal="center" vertical="center" shrinkToFit="1"/>
      <protection locked="0"/>
    </xf>
    <xf numFmtId="0" fontId="10" fillId="0" borderId="63" xfId="2" applyFont="1" applyFill="1" applyBorder="1" applyAlignment="1" applyProtection="1">
      <alignment horizontal="center" vertical="center" shrinkToFit="1"/>
      <protection locked="0"/>
    </xf>
    <xf numFmtId="183" fontId="10" fillId="0" borderId="72" xfId="2" applyNumberFormat="1" applyFont="1" applyBorder="1" applyAlignment="1" applyProtection="1">
      <alignment horizontal="center" vertical="center" shrinkToFit="1"/>
      <protection locked="0"/>
    </xf>
    <xf numFmtId="183" fontId="10" fillId="0" borderId="2" xfId="2" applyNumberFormat="1" applyFont="1" applyBorder="1" applyAlignment="1" applyProtection="1">
      <alignment horizontal="center" vertical="center" shrinkToFit="1"/>
      <protection locked="0"/>
    </xf>
    <xf numFmtId="182" fontId="10" fillId="0" borderId="11" xfId="2" applyNumberFormat="1" applyFont="1" applyBorder="1" applyAlignment="1" applyProtection="1">
      <alignment horizontal="center" vertical="center" shrinkToFit="1"/>
      <protection locked="0"/>
    </xf>
    <xf numFmtId="182" fontId="10" fillId="0" borderId="12" xfId="2" applyNumberFormat="1" applyFont="1" applyBorder="1" applyAlignment="1" applyProtection="1">
      <alignment horizontal="center" vertical="center" shrinkToFit="1"/>
      <protection locked="0"/>
    </xf>
    <xf numFmtId="182" fontId="10" fillId="0" borderId="2" xfId="2" applyNumberFormat="1" applyFont="1" applyBorder="1" applyAlignment="1" applyProtection="1">
      <alignment horizontal="center" vertical="center" shrinkToFit="1"/>
      <protection locked="0"/>
    </xf>
    <xf numFmtId="183" fontId="10" fillId="0" borderId="32" xfId="2" applyNumberFormat="1" applyFont="1" applyBorder="1" applyAlignment="1" applyProtection="1">
      <alignment horizontal="center" vertical="center" shrinkToFit="1"/>
      <protection locked="0"/>
    </xf>
    <xf numFmtId="183" fontId="10" fillId="0" borderId="1" xfId="2" applyNumberFormat="1" applyFont="1" applyBorder="1" applyAlignment="1" applyProtection="1">
      <alignment horizontal="center" vertical="center" shrinkToFit="1"/>
      <protection locked="0"/>
    </xf>
    <xf numFmtId="183" fontId="10" fillId="0" borderId="33" xfId="2" applyNumberFormat="1" applyFont="1" applyBorder="1" applyAlignment="1" applyProtection="1">
      <alignment horizontal="center" vertical="center" shrinkToFit="1"/>
      <protection locked="0"/>
    </xf>
    <xf numFmtId="0" fontId="10" fillId="0" borderId="11" xfId="2" applyNumberFormat="1" applyFont="1" applyBorder="1" applyAlignment="1" applyProtection="1">
      <alignment horizontal="center" vertical="center" shrinkToFit="1"/>
      <protection locked="0"/>
    </xf>
    <xf numFmtId="0" fontId="10" fillId="0" borderId="12" xfId="2" applyNumberFormat="1" applyFont="1" applyBorder="1" applyAlignment="1" applyProtection="1">
      <alignment horizontal="center" vertical="center" shrinkToFit="1"/>
      <protection locked="0"/>
    </xf>
    <xf numFmtId="0" fontId="10" fillId="0" borderId="2" xfId="2" applyNumberFormat="1" applyFont="1" applyBorder="1" applyAlignment="1" applyProtection="1">
      <alignment horizontal="center" vertical="center" shrinkToFit="1"/>
      <protection locked="0"/>
    </xf>
    <xf numFmtId="183" fontId="10" fillId="0" borderId="35" xfId="2" applyNumberFormat="1" applyFont="1" applyBorder="1" applyAlignment="1" applyProtection="1">
      <alignment horizontal="center" vertical="center" shrinkToFit="1"/>
      <protection locked="0"/>
    </xf>
    <xf numFmtId="183" fontId="10" fillId="0" borderId="36" xfId="2" applyNumberFormat="1" applyFont="1" applyBorder="1" applyAlignment="1" applyProtection="1">
      <alignment horizontal="center" vertical="center" shrinkToFit="1"/>
      <protection locked="0"/>
    </xf>
    <xf numFmtId="183" fontId="10" fillId="0" borderId="79" xfId="2" applyNumberFormat="1" applyFont="1" applyBorder="1" applyAlignment="1" applyProtection="1">
      <alignment horizontal="center" vertical="center" shrinkToFit="1"/>
      <protection locked="0"/>
    </xf>
    <xf numFmtId="183" fontId="10" fillId="0" borderId="12" xfId="2" applyNumberFormat="1" applyFont="1" applyBorder="1" applyAlignment="1" applyProtection="1">
      <alignment horizontal="center" vertical="center" shrinkToFit="1"/>
      <protection locked="0"/>
    </xf>
    <xf numFmtId="189" fontId="10" fillId="0" borderId="17" xfId="2" applyNumberFormat="1" applyFont="1" applyBorder="1" applyAlignment="1" applyProtection="1">
      <alignment horizontal="center" vertical="center" shrinkToFit="1"/>
      <protection locked="0"/>
    </xf>
    <xf numFmtId="0" fontId="10" fillId="0" borderId="25" xfId="2" applyFont="1" applyBorder="1" applyAlignment="1" applyProtection="1">
      <alignment horizontal="center" vertical="center" shrinkToFit="1"/>
      <protection locked="0"/>
    </xf>
    <xf numFmtId="0" fontId="10" fillId="0" borderId="26" xfId="2" applyFont="1" applyBorder="1" applyAlignment="1" applyProtection="1">
      <alignment horizontal="center" vertical="center" shrinkToFit="1"/>
      <protection locked="0"/>
    </xf>
    <xf numFmtId="0" fontId="10" fillId="0" borderId="27" xfId="2" applyFont="1" applyBorder="1" applyAlignment="1" applyProtection="1">
      <alignment horizontal="center" vertical="center" shrinkToFit="1"/>
      <protection locked="0"/>
    </xf>
    <xf numFmtId="0" fontId="10" fillId="0" borderId="28" xfId="2" applyFont="1" applyBorder="1" applyAlignment="1" applyProtection="1">
      <alignment horizontal="center" vertical="center" shrinkToFit="1"/>
      <protection locked="0"/>
    </xf>
    <xf numFmtId="0" fontId="10" fillId="0" borderId="30" xfId="2" applyFont="1" applyBorder="1" applyAlignment="1" applyProtection="1">
      <alignment horizontal="center" vertical="center" shrinkToFit="1"/>
      <protection locked="0"/>
    </xf>
    <xf numFmtId="0" fontId="8" fillId="0" borderId="17" xfId="2" applyFont="1" applyBorder="1" applyAlignment="1" applyProtection="1">
      <alignment horizontal="distributed" vertical="center" indent="2" shrinkToFit="1"/>
      <protection locked="0"/>
    </xf>
    <xf numFmtId="0" fontId="16" fillId="0" borderId="17" xfId="2" applyFont="1" applyBorder="1" applyAlignment="1" applyProtection="1">
      <alignment horizontal="center" vertical="center" shrinkToFit="1"/>
      <protection locked="0"/>
    </xf>
    <xf numFmtId="0" fontId="10" fillId="0" borderId="29" xfId="2" applyFont="1" applyBorder="1" applyAlignment="1" applyProtection="1">
      <alignment horizontal="center" vertical="center" shrinkToFit="1"/>
      <protection locked="0"/>
    </xf>
    <xf numFmtId="0" fontId="10" fillId="0" borderId="31" xfId="2" applyFont="1" applyBorder="1" applyAlignment="1" applyProtection="1">
      <alignment horizontal="center" vertical="center" shrinkToFit="1"/>
      <protection locked="0"/>
    </xf>
    <xf numFmtId="0" fontId="10" fillId="0" borderId="80" xfId="2" applyFont="1" applyBorder="1" applyAlignment="1" applyProtection="1">
      <alignment horizontal="center" vertical="center" shrinkToFit="1"/>
      <protection locked="0"/>
    </xf>
    <xf numFmtId="0" fontId="27" fillId="3" borderId="11" xfId="0" applyFont="1" applyFill="1" applyBorder="1" applyAlignment="1" applyProtection="1">
      <alignment horizontal="center" vertical="center" shrinkToFit="1"/>
      <protection locked="0"/>
    </xf>
    <xf numFmtId="0" fontId="27" fillId="3" borderId="12" xfId="0" applyFont="1" applyFill="1" applyBorder="1" applyAlignment="1" applyProtection="1">
      <alignment horizontal="center" vertical="center" shrinkToFit="1"/>
      <protection locked="0"/>
    </xf>
    <xf numFmtId="0" fontId="27" fillId="3" borderId="2" xfId="0" applyFont="1" applyFill="1" applyBorder="1" applyAlignment="1" applyProtection="1">
      <alignment horizontal="center" vertical="center" shrinkToFit="1"/>
      <protection locked="0"/>
    </xf>
    <xf numFmtId="0" fontId="22" fillId="2" borderId="11" xfId="0" applyFont="1" applyFill="1" applyBorder="1" applyAlignment="1" applyProtection="1">
      <alignment horizontal="center" vertical="center" shrinkToFit="1"/>
      <protection locked="0"/>
    </xf>
    <xf numFmtId="0" fontId="22" fillId="2" borderId="2" xfId="0" applyFont="1" applyFill="1" applyBorder="1" applyAlignment="1" applyProtection="1">
      <alignment horizontal="center" vertical="center" shrinkToFit="1"/>
      <protection locked="0"/>
    </xf>
    <xf numFmtId="0" fontId="27" fillId="3" borderId="11" xfId="0" applyNumberFormat="1" applyFont="1" applyFill="1" applyBorder="1" applyAlignment="1" applyProtection="1">
      <alignment horizontal="center" vertical="center" shrinkToFit="1"/>
      <protection locked="0"/>
    </xf>
    <xf numFmtId="0" fontId="27" fillId="3" borderId="12" xfId="0" applyNumberFormat="1" applyFont="1" applyFill="1" applyBorder="1" applyAlignment="1" applyProtection="1">
      <alignment horizontal="center" vertical="center" shrinkToFit="1"/>
      <protection locked="0"/>
    </xf>
    <xf numFmtId="0" fontId="27" fillId="3" borderId="2" xfId="0" applyNumberFormat="1" applyFont="1" applyFill="1" applyBorder="1" applyAlignment="1" applyProtection="1">
      <alignment horizontal="center" vertical="center" shrinkToFit="1"/>
      <protection locked="0"/>
    </xf>
    <xf numFmtId="0" fontId="24" fillId="4" borderId="20" xfId="0" applyFont="1" applyFill="1" applyBorder="1" applyAlignment="1" applyProtection="1">
      <alignment horizontal="center" vertical="center" shrinkToFit="1"/>
      <protection locked="0"/>
    </xf>
    <xf numFmtId="0" fontId="24" fillId="4" borderId="21" xfId="0" applyFont="1" applyFill="1" applyBorder="1" applyAlignment="1" applyProtection="1">
      <alignment horizontal="center" vertical="center" shrinkToFit="1"/>
      <protection locked="0"/>
    </xf>
    <xf numFmtId="0" fontId="20" fillId="4" borderId="21" xfId="0" applyFont="1" applyFill="1" applyBorder="1" applyAlignment="1" applyProtection="1">
      <alignment horizontal="center" vertical="center" shrinkToFit="1"/>
      <protection locked="0"/>
    </xf>
    <xf numFmtId="0" fontId="20" fillId="4" borderId="70" xfId="0" applyFont="1" applyFill="1" applyBorder="1" applyAlignment="1" applyProtection="1">
      <alignment horizontal="center" vertical="center" shrinkToFit="1"/>
      <protection locked="0"/>
    </xf>
    <xf numFmtId="0" fontId="18" fillId="0" borderId="28" xfId="0" applyFont="1" applyBorder="1" applyAlignment="1">
      <alignment horizontal="center" vertical="center" shrinkToFit="1"/>
    </xf>
    <xf numFmtId="0" fontId="18" fillId="0" borderId="12" xfId="0" applyFont="1" applyBorder="1" applyAlignment="1">
      <alignment horizontal="center" vertical="center" shrinkToFit="1"/>
    </xf>
    <xf numFmtId="0" fontId="18" fillId="0" borderId="2" xfId="0" applyFont="1" applyBorder="1" applyAlignment="1">
      <alignment horizontal="center" vertical="center" shrinkToFit="1"/>
    </xf>
    <xf numFmtId="0" fontId="18" fillId="0" borderId="69" xfId="0" applyFont="1" applyBorder="1" applyAlignment="1">
      <alignment horizontal="center" vertical="center" shrinkToFit="1"/>
    </xf>
    <xf numFmtId="0" fontId="18" fillId="0" borderId="15" xfId="0" applyFont="1" applyBorder="1" applyAlignment="1">
      <alignment horizontal="center" vertical="center" shrinkToFit="1"/>
    </xf>
    <xf numFmtId="0" fontId="18" fillId="0" borderId="31" xfId="0" applyFont="1" applyBorder="1" applyAlignment="1">
      <alignment horizontal="center" vertical="center" shrinkToFit="1"/>
    </xf>
    <xf numFmtId="0" fontId="18" fillId="0" borderId="58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6" fillId="0" borderId="11" xfId="0" applyFont="1" applyBorder="1" applyAlignment="1" applyProtection="1">
      <alignment horizontal="center" vertical="center" shrinkToFit="1"/>
    </xf>
    <xf numFmtId="0" fontId="6" fillId="0" borderId="2" xfId="0" applyFont="1" applyBorder="1" applyAlignment="1" applyProtection="1">
      <alignment horizontal="center" vertical="center" shrinkToFit="1"/>
    </xf>
    <xf numFmtId="178" fontId="18" fillId="0" borderId="11" xfId="0" applyNumberFormat="1" applyFont="1" applyBorder="1" applyAlignment="1">
      <alignment horizontal="center" vertical="center" shrinkToFit="1"/>
    </xf>
    <xf numFmtId="178" fontId="18" fillId="0" borderId="2" xfId="0" applyNumberFormat="1" applyFont="1" applyBorder="1" applyAlignment="1">
      <alignment horizontal="center" vertical="center" shrinkToFit="1"/>
    </xf>
    <xf numFmtId="178" fontId="18" fillId="0" borderId="12" xfId="0" applyNumberFormat="1" applyFont="1" applyBorder="1" applyAlignment="1">
      <alignment horizontal="center" vertical="center" shrinkToFit="1"/>
    </xf>
    <xf numFmtId="0" fontId="18" fillId="0" borderId="27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186" fontId="19" fillId="0" borderId="0" xfId="0" applyNumberFormat="1" applyFont="1" applyBorder="1" applyAlignment="1">
      <alignment horizontal="right" vertical="center" shrinkToFit="1"/>
    </xf>
    <xf numFmtId="0" fontId="18" fillId="0" borderId="53" xfId="0" applyFont="1" applyBorder="1" applyAlignment="1">
      <alignment horizontal="center" vertical="center" shrinkToFit="1"/>
    </xf>
    <xf numFmtId="0" fontId="18" fillId="0" borderId="71" xfId="0" applyFont="1" applyBorder="1" applyAlignment="1">
      <alignment horizontal="center" vertical="center" shrinkToFit="1"/>
    </xf>
    <xf numFmtId="0" fontId="18" fillId="0" borderId="52" xfId="0" applyFont="1" applyBorder="1" applyAlignment="1">
      <alignment horizontal="center" vertical="center" shrinkToFit="1"/>
    </xf>
    <xf numFmtId="0" fontId="18" fillId="0" borderId="43" xfId="0" applyFont="1" applyBorder="1" applyAlignment="1">
      <alignment horizontal="center" vertical="center" shrinkToFit="1"/>
    </xf>
    <xf numFmtId="0" fontId="18" fillId="0" borderId="49" xfId="0" applyFont="1" applyBorder="1" applyAlignment="1">
      <alignment horizontal="center" vertical="center" shrinkToFit="1"/>
    </xf>
    <xf numFmtId="0" fontId="18" fillId="0" borderId="0" xfId="0" applyFont="1" applyAlignment="1">
      <alignment horizontal="right" vertical="center" shrinkToFit="1"/>
    </xf>
    <xf numFmtId="0" fontId="18" fillId="0" borderId="72" xfId="0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34" xfId="0" applyFont="1" applyBorder="1" applyAlignment="1">
      <alignment horizontal="center" vertical="center" shrinkToFit="1"/>
    </xf>
    <xf numFmtId="0" fontId="18" fillId="0" borderId="38" xfId="0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center" vertical="center" shrinkToFit="1"/>
    </xf>
    <xf numFmtId="0" fontId="18" fillId="15" borderId="62" xfId="0" applyFont="1" applyFill="1" applyBorder="1" applyAlignment="1">
      <alignment horizontal="center" vertical="center" shrinkToFit="1"/>
    </xf>
    <xf numFmtId="0" fontId="18" fillId="15" borderId="19" xfId="0" applyFont="1" applyFill="1" applyBorder="1" applyAlignment="1">
      <alignment horizontal="center" vertical="center" shrinkToFit="1"/>
    </xf>
    <xf numFmtId="0" fontId="18" fillId="15" borderId="32" xfId="0" applyFont="1" applyFill="1" applyBorder="1" applyAlignment="1">
      <alignment horizontal="center" vertical="center" shrinkToFit="1"/>
    </xf>
    <xf numFmtId="0" fontId="18" fillId="15" borderId="1" xfId="0" applyFont="1" applyFill="1" applyBorder="1" applyAlignment="1">
      <alignment horizontal="center" vertical="center" shrinkToFit="1"/>
    </xf>
    <xf numFmtId="0" fontId="18" fillId="15" borderId="18" xfId="0" applyFont="1" applyFill="1" applyBorder="1" applyAlignment="1">
      <alignment horizontal="center" vertical="center" shrinkToFit="1"/>
    </xf>
    <xf numFmtId="0" fontId="18" fillId="0" borderId="39" xfId="0" applyFont="1" applyBorder="1" applyAlignment="1">
      <alignment horizontal="center" vertical="center" shrinkToFit="1"/>
    </xf>
    <xf numFmtId="0" fontId="18" fillId="0" borderId="37" xfId="0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shrinkToFit="1"/>
    </xf>
    <xf numFmtId="0" fontId="6" fillId="0" borderId="37" xfId="0" applyFont="1" applyBorder="1" applyAlignment="1" applyProtection="1">
      <alignment horizontal="center" vertical="center" shrinkToFit="1"/>
    </xf>
    <xf numFmtId="0" fontId="6" fillId="0" borderId="39" xfId="0" applyFont="1" applyBorder="1" applyAlignment="1" applyProtection="1">
      <alignment horizontal="center" vertical="center" shrinkToFit="1"/>
    </xf>
    <xf numFmtId="178" fontId="18" fillId="0" borderId="37" xfId="0" applyNumberFormat="1" applyFont="1" applyBorder="1" applyAlignment="1">
      <alignment horizontal="center" vertical="center" shrinkToFit="1"/>
    </xf>
    <xf numFmtId="178" fontId="18" fillId="0" borderId="39" xfId="0" applyNumberFormat="1" applyFont="1" applyBorder="1" applyAlignment="1">
      <alignment horizontal="center" vertical="center" shrinkToFit="1"/>
    </xf>
    <xf numFmtId="178" fontId="18" fillId="0" borderId="38" xfId="0" applyNumberFormat="1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59" xfId="0" applyFont="1" applyBorder="1" applyAlignment="1">
      <alignment horizontal="center" vertical="center" shrinkToFit="1"/>
    </xf>
    <xf numFmtId="0" fontId="18" fillId="15" borderId="35" xfId="0" applyFont="1" applyFill="1" applyBorder="1" applyAlignment="1">
      <alignment horizontal="center" vertical="center" shrinkToFit="1"/>
    </xf>
    <xf numFmtId="0" fontId="18" fillId="15" borderId="36" xfId="0" applyFont="1" applyFill="1" applyBorder="1" applyAlignment="1">
      <alignment horizontal="center" vertical="center" shrinkToFit="1"/>
    </xf>
    <xf numFmtId="0" fontId="18" fillId="0" borderId="36" xfId="0" applyFont="1" applyBorder="1" applyAlignment="1">
      <alignment horizontal="center" vertical="center" shrinkToFit="1"/>
    </xf>
    <xf numFmtId="0" fontId="18" fillId="15" borderId="25" xfId="0" applyFont="1" applyFill="1" applyBorder="1" applyAlignment="1">
      <alignment horizontal="center" vertical="center" shrinkToFit="1"/>
    </xf>
    <xf numFmtId="0" fontId="18" fillId="15" borderId="26" xfId="0" applyFont="1" applyFill="1" applyBorder="1" applyAlignment="1">
      <alignment horizontal="center" vertical="center" shrinkToFit="1"/>
    </xf>
    <xf numFmtId="0" fontId="18" fillId="0" borderId="64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right" vertical="center" shrinkToFit="1"/>
    </xf>
    <xf numFmtId="38" fontId="18" fillId="0" borderId="36" xfId="0" applyNumberFormat="1" applyFont="1" applyBorder="1" applyAlignment="1">
      <alignment horizontal="center" vertical="center" shrinkToFit="1"/>
    </xf>
    <xf numFmtId="0" fontId="18" fillId="15" borderId="56" xfId="0" applyFont="1" applyFill="1" applyBorder="1" applyAlignment="1">
      <alignment horizontal="center" vertical="center" shrinkToFit="1"/>
    </xf>
    <xf numFmtId="38" fontId="18" fillId="0" borderId="35" xfId="1" applyFont="1" applyBorder="1" applyAlignment="1">
      <alignment horizontal="center" vertical="center" shrinkToFit="1"/>
    </xf>
    <xf numFmtId="38" fontId="18" fillId="0" borderId="36" xfId="1" applyFont="1" applyBorder="1" applyAlignment="1">
      <alignment horizontal="center" vertical="center" shrinkToFit="1"/>
    </xf>
    <xf numFmtId="178" fontId="18" fillId="0" borderId="15" xfId="0" applyNumberFormat="1" applyFont="1" applyBorder="1" applyAlignment="1">
      <alignment horizontal="right" vertical="center" shrinkToFit="1"/>
    </xf>
    <xf numFmtId="0" fontId="44" fillId="0" borderId="89" xfId="6" applyBorder="1" applyAlignment="1" applyProtection="1">
      <alignment horizontal="center" vertical="center"/>
    </xf>
    <xf numFmtId="0" fontId="41" fillId="0" borderId="89" xfId="0" applyFont="1" applyBorder="1" applyAlignment="1">
      <alignment horizontal="center" vertical="center"/>
    </xf>
    <xf numFmtId="0" fontId="41" fillId="0" borderId="105" xfId="0" applyFont="1" applyBorder="1" applyAlignment="1">
      <alignment horizontal="center" vertical="center"/>
    </xf>
    <xf numFmtId="0" fontId="41" fillId="5" borderId="13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16" xfId="0" applyFont="1" applyFill="1" applyBorder="1" applyAlignment="1">
      <alignment horizontal="center" vertical="center"/>
    </xf>
    <xf numFmtId="0" fontId="41" fillId="0" borderId="104" xfId="0" applyFont="1" applyBorder="1" applyAlignment="1">
      <alignment horizontal="center" vertical="center"/>
    </xf>
    <xf numFmtId="0" fontId="41" fillId="0" borderId="67" xfId="0" applyFont="1" applyBorder="1" applyAlignment="1">
      <alignment horizontal="center" vertical="center"/>
    </xf>
    <xf numFmtId="0" fontId="41" fillId="5" borderId="53" xfId="0" applyFont="1" applyFill="1" applyBorder="1" applyAlignment="1">
      <alignment horizontal="center" vertical="center"/>
    </xf>
    <xf numFmtId="0" fontId="41" fillId="5" borderId="43" xfId="0" applyFont="1" applyFill="1" applyBorder="1" applyAlignment="1">
      <alignment horizontal="center" vertical="center"/>
    </xf>
    <xf numFmtId="0" fontId="41" fillId="5" borderId="49" xfId="0" applyFont="1" applyFill="1" applyBorder="1" applyAlignment="1">
      <alignment horizontal="center" vertical="center"/>
    </xf>
    <xf numFmtId="0" fontId="41" fillId="5" borderId="42" xfId="0" applyFont="1" applyFill="1" applyBorder="1" applyAlignment="1">
      <alignment horizontal="center" vertical="center"/>
    </xf>
    <xf numFmtId="0" fontId="41" fillId="5" borderId="51" xfId="0" applyFont="1" applyFill="1" applyBorder="1" applyAlignment="1">
      <alignment horizontal="center" vertical="center"/>
    </xf>
    <xf numFmtId="0" fontId="41" fillId="5" borderId="54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86" xfId="0" applyFont="1" applyBorder="1" applyAlignment="1">
      <alignment horizontal="center" vertical="center" shrinkToFit="1"/>
    </xf>
    <xf numFmtId="0" fontId="18" fillId="0" borderId="87" xfId="0" applyFont="1" applyBorder="1" applyAlignment="1">
      <alignment horizontal="center" vertical="center" shrinkToFit="1"/>
    </xf>
    <xf numFmtId="0" fontId="18" fillId="0" borderId="14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 shrinkToFit="1"/>
    </xf>
    <xf numFmtId="0" fontId="34" fillId="0" borderId="11" xfId="0" applyFont="1" applyBorder="1" applyAlignment="1">
      <alignment horizontal="center" vertical="center" shrinkToFit="1"/>
    </xf>
    <xf numFmtId="0" fontId="34" fillId="0" borderId="12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39" fillId="0" borderId="82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35" fillId="18" borderId="81" xfId="0" applyFont="1" applyFill="1" applyBorder="1" applyAlignment="1">
      <alignment horizontal="center" vertical="center" shrinkToFit="1"/>
    </xf>
    <xf numFmtId="0" fontId="35" fillId="18" borderId="0" xfId="0" applyFont="1" applyFill="1" applyBorder="1" applyAlignment="1">
      <alignment horizontal="center" vertical="center" shrinkToFit="1"/>
    </xf>
    <xf numFmtId="0" fontId="36" fillId="0" borderId="81" xfId="0" applyFont="1" applyBorder="1" applyAlignment="1">
      <alignment horizontal="center" vertical="center" shrinkToFit="1"/>
    </xf>
    <xf numFmtId="0" fontId="35" fillId="0" borderId="0" xfId="0" applyFont="1" applyBorder="1" applyAlignment="1">
      <alignment horizontal="center" vertical="center" shrinkToFit="1"/>
    </xf>
    <xf numFmtId="0" fontId="35" fillId="0" borderId="81" xfId="0" applyFont="1" applyBorder="1" applyAlignment="1">
      <alignment horizontal="center" vertical="center" shrinkToFit="1"/>
    </xf>
    <xf numFmtId="0" fontId="18" fillId="0" borderId="88" xfId="0" applyFont="1" applyBorder="1" applyAlignment="1">
      <alignment horizontal="center" vertical="center" shrinkToFit="1"/>
    </xf>
    <xf numFmtId="0" fontId="18" fillId="0" borderId="75" xfId="0" applyFont="1" applyBorder="1" applyAlignment="1">
      <alignment horizontal="center" vertical="center" shrinkToFit="1"/>
    </xf>
    <xf numFmtId="0" fontId="0" fillId="0" borderId="89" xfId="0" applyBorder="1" applyAlignment="1" applyProtection="1">
      <alignment horizontal="left" vertical="center" shrinkToFit="1"/>
      <protection locked="0"/>
    </xf>
    <xf numFmtId="0" fontId="0" fillId="0" borderId="0" xfId="0" applyAlignment="1" applyProtection="1">
      <alignment horizontal="left" vertical="center" shrinkToFit="1"/>
      <protection locked="0"/>
    </xf>
    <xf numFmtId="0" fontId="40" fillId="0" borderId="0" xfId="0" applyFont="1" applyBorder="1" applyAlignment="1">
      <alignment horizontal="left" vertical="center" wrapText="1" shrinkToFit="1"/>
    </xf>
    <xf numFmtId="0" fontId="18" fillId="0" borderId="1" xfId="0" applyFont="1" applyBorder="1" applyAlignment="1">
      <alignment horizontal="left" vertical="center" wrapText="1" shrinkToFit="1"/>
    </xf>
    <xf numFmtId="0" fontId="18" fillId="0" borderId="1" xfId="0" applyFont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 shrinkToFit="1"/>
    </xf>
    <xf numFmtId="0" fontId="18" fillId="17" borderId="36" xfId="0" applyFont="1" applyFill="1" applyBorder="1" applyAlignment="1">
      <alignment horizontal="center" vertical="center" shrinkToFit="1"/>
    </xf>
    <xf numFmtId="38" fontId="18" fillId="17" borderId="36" xfId="0" applyNumberFormat="1" applyFont="1" applyFill="1" applyBorder="1" applyAlignment="1">
      <alignment horizontal="center" vertical="center" shrinkToFit="1"/>
    </xf>
    <xf numFmtId="0" fontId="18" fillId="17" borderId="64" xfId="0" applyFont="1" applyFill="1" applyBorder="1" applyAlignment="1">
      <alignment horizontal="center" vertical="center" shrinkToFit="1"/>
    </xf>
    <xf numFmtId="0" fontId="18" fillId="0" borderId="62" xfId="0" applyFont="1" applyFill="1" applyBorder="1" applyAlignment="1">
      <alignment horizontal="center" vertical="center" shrinkToFit="1"/>
    </xf>
    <xf numFmtId="0" fontId="18" fillId="0" borderId="19" xfId="0" applyFont="1" applyFill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0" borderId="76" xfId="0" applyFont="1" applyBorder="1" applyAlignment="1">
      <alignment horizontal="center" vertical="center" shrinkToFit="1"/>
    </xf>
    <xf numFmtId="0" fontId="18" fillId="0" borderId="35" xfId="0" applyFont="1" applyBorder="1" applyAlignment="1">
      <alignment horizontal="center" vertical="center" shrinkToFit="1"/>
    </xf>
    <xf numFmtId="0" fontId="18" fillId="0" borderId="51" xfId="0" applyFont="1" applyBorder="1" applyAlignment="1">
      <alignment horizontal="center" vertical="center" shrinkToFit="1"/>
    </xf>
    <xf numFmtId="0" fontId="18" fillId="17" borderId="32" xfId="0" applyFont="1" applyFill="1" applyBorder="1" applyAlignment="1">
      <alignment horizontal="center" vertical="center" shrinkToFit="1"/>
    </xf>
    <xf numFmtId="0" fontId="18" fillId="17" borderId="1" xfId="0" applyFont="1" applyFill="1" applyBorder="1" applyAlignment="1">
      <alignment horizontal="center" vertical="center" shrinkToFit="1"/>
    </xf>
    <xf numFmtId="0" fontId="18" fillId="0" borderId="62" xfId="0" applyFont="1" applyBorder="1" applyAlignment="1">
      <alignment horizontal="center" vertical="center" shrinkToFit="1"/>
    </xf>
    <xf numFmtId="38" fontId="18" fillId="17" borderId="35" xfId="1" applyFont="1" applyFill="1" applyBorder="1" applyAlignment="1">
      <alignment horizontal="center" vertical="center" shrinkToFit="1"/>
    </xf>
    <xf numFmtId="38" fontId="18" fillId="17" borderId="36" xfId="1" applyFont="1" applyFill="1" applyBorder="1" applyAlignment="1">
      <alignment horizontal="center" vertical="center" shrinkToFit="1"/>
    </xf>
    <xf numFmtId="0" fontId="18" fillId="17" borderId="59" xfId="0" applyFont="1" applyFill="1" applyBorder="1" applyAlignment="1">
      <alignment horizontal="center" vertical="center" shrinkToFit="1"/>
    </xf>
    <xf numFmtId="189" fontId="10" fillId="0" borderId="0" xfId="2" applyNumberFormat="1" applyFont="1" applyBorder="1" applyAlignment="1" applyProtection="1">
      <alignment horizontal="center" vertical="center" shrinkToFit="1"/>
      <protection locked="0"/>
    </xf>
  </cellXfs>
  <cellStyles count="7">
    <cellStyle name="パーセント" xfId="5" builtinId="5"/>
    <cellStyle name="パーセント 2" xfId="3"/>
    <cellStyle name="ハイパーリンク" xfId="6" builtinId="8"/>
    <cellStyle name="桁区切り" xfId="1" builtinId="6"/>
    <cellStyle name="標準" xfId="0" builtinId="0"/>
    <cellStyle name="標準 2" xfId="2"/>
    <cellStyle name="標準 3" xfId="4"/>
  </cellStyles>
  <dxfs count="44">
    <dxf>
      <fill>
        <patternFill>
          <bgColor indexed="44"/>
        </patternFill>
      </fill>
    </dxf>
    <dxf>
      <fill>
        <patternFill>
          <bgColor rgb="FFFF99CC"/>
        </patternFill>
      </fill>
    </dxf>
    <dxf>
      <fill>
        <patternFill>
          <bgColor indexed="44"/>
        </patternFill>
      </fill>
    </dxf>
    <dxf>
      <fill>
        <patternFill>
          <bgColor rgb="FFFF99CC"/>
        </patternFill>
      </fill>
    </dxf>
    <dxf>
      <fill>
        <patternFill>
          <bgColor rgb="FFFF99FF"/>
        </patternFill>
      </fill>
    </dxf>
    <dxf>
      <fill>
        <patternFill>
          <bgColor rgb="FFFF99CC"/>
        </patternFill>
      </fill>
    </dxf>
    <dxf>
      <fill>
        <patternFill>
          <bgColor theme="0" tint="-0.14996795556505021"/>
        </patternFill>
      </fill>
    </dxf>
    <dxf>
      <fill>
        <patternFill>
          <bgColor rgb="FFFF99CC"/>
        </patternFill>
      </fill>
    </dxf>
    <dxf>
      <fill>
        <patternFill>
          <bgColor rgb="FFFFCC99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8"/>
        </patternFill>
      </fill>
    </dxf>
    <dxf>
      <fill>
        <patternFill>
          <bgColor indexed="48"/>
        </patternFill>
      </fill>
    </dxf>
    <dxf>
      <fill>
        <patternFill>
          <bgColor indexed="48"/>
        </patternFill>
      </fill>
    </dxf>
    <dxf>
      <fill>
        <patternFill>
          <bgColor indexed="48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rgb="FFFF0000"/>
      </font>
      <fill>
        <patternFill>
          <bgColor theme="9" tint="0.39994506668294322"/>
        </patternFill>
      </fill>
    </dxf>
    <dxf>
      <fill>
        <patternFill patternType="solid">
          <fgColor auto="1"/>
          <bgColor theme="3" tint="0.59996337778862885"/>
        </patternFill>
      </fill>
    </dxf>
    <dxf>
      <font>
        <b val="0"/>
        <condense val="0"/>
        <extend val="0"/>
        <color indexed="9"/>
      </font>
    </dxf>
    <dxf>
      <fill>
        <patternFill>
          <bgColor theme="2" tint="-9.9948118533890809E-2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ill>
        <patternFill patternType="solid">
          <fgColor auto="1"/>
          <bgColor theme="3" tint="0.59996337778862885"/>
        </patternFill>
      </fill>
    </dxf>
    <dxf>
      <font>
        <b val="0"/>
        <condense val="0"/>
        <extend val="0"/>
        <color indexed="9"/>
      </font>
    </dxf>
    <dxf>
      <fill>
        <patternFill>
          <bgColor theme="2" tint="-9.9948118533890809E-2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ill>
        <patternFill patternType="solid">
          <fgColor auto="1"/>
          <bgColor theme="3" tint="0.59996337778862885"/>
        </patternFill>
      </fill>
    </dxf>
    <dxf>
      <font>
        <b val="0"/>
        <condense val="0"/>
        <extend val="0"/>
        <color indexed="9"/>
      </font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colors>
    <mruColors>
      <color rgb="FFFF99FF"/>
      <color rgb="FFFFCCFF"/>
      <color rgb="FFFFFF99"/>
      <color rgb="FFFF99CC"/>
      <color rgb="FFFFCC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file:///\\25.16.250.228\getchu\&#31934;&#31639;&#34920;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G33"/>
  <sheetViews>
    <sheetView view="pageBreakPreview" topLeftCell="A19" zoomScaleNormal="100" zoomScaleSheetLayoutView="100" workbookViewId="0">
      <selection activeCell="C18" sqref="C18"/>
    </sheetView>
  </sheetViews>
  <sheetFormatPr defaultColWidth="9" defaultRowHeight="18.75"/>
  <cols>
    <col min="1" max="7" width="12.625" style="190" customWidth="1"/>
    <col min="8" max="16384" width="9" style="190"/>
  </cols>
  <sheetData>
    <row r="1" spans="1:7">
      <c r="A1" s="440" t="s">
        <v>249</v>
      </c>
      <c r="B1" s="440"/>
      <c r="C1" s="440"/>
      <c r="D1" s="440"/>
      <c r="E1" s="440"/>
      <c r="F1" s="440"/>
      <c r="G1" s="440"/>
    </row>
    <row r="2" spans="1:7">
      <c r="D2" s="441">
        <f>精算表!W1</f>
        <v>43755</v>
      </c>
      <c r="E2" s="441"/>
      <c r="F2" s="441"/>
      <c r="G2" s="441"/>
    </row>
    <row r="3" spans="1:7" ht="27.75" customHeight="1" thickBot="1">
      <c r="A3" s="191" t="s">
        <v>33</v>
      </c>
      <c r="B3" s="191" t="s">
        <v>240</v>
      </c>
      <c r="C3" s="191" t="s">
        <v>241</v>
      </c>
      <c r="D3" s="191" t="s">
        <v>242</v>
      </c>
      <c r="E3" s="191" t="s">
        <v>243</v>
      </c>
      <c r="F3" s="191" t="s">
        <v>244</v>
      </c>
      <c r="G3" s="191" t="s">
        <v>245</v>
      </c>
    </row>
    <row r="4" spans="1:7" ht="27.75" customHeight="1" thickTop="1">
      <c r="A4" s="192">
        <v>6</v>
      </c>
      <c r="B4" s="192"/>
      <c r="C4" s="192" t="str">
        <f>IF(D4="","",SUM(D4:E4))</f>
        <v/>
      </c>
      <c r="D4" s="192" t="str">
        <f>IF(COUNTIFS(日報貼り付け用!$G$2:$G$258,A4,日報貼り付け用!$D$2:$D$258,"写真")=0,"",COUNTIFS(日報貼り付け用!$G$2:$G$258,A4,日報貼り付け用!$D$2:$D$258,"写真"))</f>
        <v/>
      </c>
      <c r="E4" s="192"/>
      <c r="F4" s="192"/>
      <c r="G4" s="192"/>
    </row>
    <row r="5" spans="1:7" s="247" customFormat="1" ht="27.75" hidden="1" customHeight="1">
      <c r="A5" s="192">
        <v>6.5</v>
      </c>
      <c r="B5" s="192"/>
      <c r="C5" s="192" t="str">
        <f>IF(D5="","",SUM(D5:E5))</f>
        <v/>
      </c>
      <c r="D5" s="192" t="str">
        <f>IF(COUNTIFS(日報貼り付け用!$G$2:$G$258,A5,日報貼り付け用!$D$2:$D$258,"写真")=0,"",COUNTIFS(日報貼り付け用!$G$2:$G$258,A5,日報貼り付け用!$D$2:$D$258,"写真"))</f>
        <v/>
      </c>
      <c r="E5" s="192"/>
      <c r="F5" s="192"/>
      <c r="G5" s="192"/>
    </row>
    <row r="6" spans="1:7" ht="27.75" customHeight="1">
      <c r="A6" s="192">
        <v>7</v>
      </c>
      <c r="B6" s="193"/>
      <c r="C6" s="192" t="str">
        <f t="shared" ref="C6:C22" si="0">IF(D6="","",SUM(D6:E6))</f>
        <v/>
      </c>
      <c r="D6" s="192" t="str">
        <f>IF(COUNTIFS(日報貼り付け用!$G$2:$G$258,A6,日報貼り付け用!$D$2:$D$258,"写真")=0,"",COUNTIFS(日報貼り付け用!$G$2:$G$258,A6,日報貼り付け用!$D$2:$D$258,"写真"))</f>
        <v/>
      </c>
      <c r="E6" s="193"/>
      <c r="F6" s="193"/>
      <c r="G6" s="192"/>
    </row>
    <row r="7" spans="1:7" ht="27.75" customHeight="1">
      <c r="A7" s="192">
        <v>8</v>
      </c>
      <c r="B7" s="193"/>
      <c r="C7" s="192" t="str">
        <f>IF(D7="","",SUM(D7:E7))</f>
        <v/>
      </c>
      <c r="D7" s="192" t="str">
        <f>IF(COUNTIFS(日報貼り付け用!$G$2:$G$258,A7,日報貼り付け用!$D$2:$D$258,"写真")=0,"",COUNTIFS(日報貼り付け用!$G$2:$G$258,A7,日報貼り付け用!$D$2:$D$258,"写真"))</f>
        <v/>
      </c>
      <c r="E7" s="193"/>
      <c r="F7" s="193"/>
      <c r="G7" s="192"/>
    </row>
    <row r="8" spans="1:7" ht="27.75" customHeight="1">
      <c r="A8" s="192">
        <v>9</v>
      </c>
      <c r="B8" s="216"/>
      <c r="C8" s="192" t="str">
        <f t="shared" ref="C8:C15" si="1">IF(D8="","",SUM(D8:E8))</f>
        <v/>
      </c>
      <c r="D8" s="192" t="str">
        <f>IF(COUNTIFS(日報貼り付け用!$G$2:$G$258,A8,日報貼り付け用!$D$2:$D$258,"写真")=0,"",COUNTIFS(日報貼り付け用!$G$2:$G$258,A8,日報貼り付け用!$D$2:$D$258,"写真"))</f>
        <v/>
      </c>
      <c r="E8" s="216"/>
      <c r="F8" s="216"/>
      <c r="G8" s="192"/>
    </row>
    <row r="9" spans="1:7" ht="27.75" customHeight="1">
      <c r="A9" s="192">
        <v>10</v>
      </c>
      <c r="B9" s="216"/>
      <c r="C9" s="192" t="str">
        <f t="shared" si="1"/>
        <v/>
      </c>
      <c r="D9" s="192" t="str">
        <f>IF(COUNTIFS(日報貼り付け用!$G$2:$G$258,A9,日報貼り付け用!$D$2:$D$258,"写真")=0,"",COUNTIFS(日報貼り付け用!$G$2:$G$258,A9,日報貼り付け用!$D$2:$D$258,"写真"))</f>
        <v/>
      </c>
      <c r="E9" s="216"/>
      <c r="F9" s="216"/>
      <c r="G9" s="192"/>
    </row>
    <row r="10" spans="1:7" ht="27.75" customHeight="1">
      <c r="A10" s="192">
        <v>11</v>
      </c>
      <c r="B10" s="216"/>
      <c r="C10" s="192" t="str">
        <f t="shared" si="1"/>
        <v/>
      </c>
      <c r="D10" s="192" t="str">
        <f>IF(COUNTIFS(日報貼り付け用!$G$2:$G$258,A10,日報貼り付け用!$D$2:$D$258,"写真")=0,"",COUNTIFS(日報貼り付け用!$G$2:$G$258,A10,日報貼り付け用!$D$2:$D$258,"写真"))</f>
        <v/>
      </c>
      <c r="E10" s="216"/>
      <c r="F10" s="216"/>
      <c r="G10" s="192"/>
    </row>
    <row r="11" spans="1:7" ht="27.75" customHeight="1">
      <c r="A11" s="192">
        <v>12</v>
      </c>
      <c r="B11" s="216"/>
      <c r="C11" s="192" t="str">
        <f t="shared" si="1"/>
        <v/>
      </c>
      <c r="D11" s="192" t="str">
        <f>IF(COUNTIFS(日報貼り付け用!$G$2:$G$258,A11,日報貼り付け用!$D$2:$D$258,"写真")=0,"",COUNTIFS(日報貼り付け用!$G$2:$G$258,A11,日報貼り付け用!$D$2:$D$258,"写真"))</f>
        <v/>
      </c>
      <c r="E11" s="216"/>
      <c r="F11" s="216"/>
      <c r="G11" s="192"/>
    </row>
    <row r="12" spans="1:7" ht="27.75" customHeight="1">
      <c r="A12" s="192">
        <v>13</v>
      </c>
      <c r="B12" s="216"/>
      <c r="C12" s="192" t="str">
        <f t="shared" si="1"/>
        <v/>
      </c>
      <c r="D12" s="192" t="str">
        <f>IF(COUNTIFS(日報貼り付け用!$G$2:$G$258,A12,日報貼り付け用!$D$2:$D$258,"写真")=0,"",COUNTIFS(日報貼り付け用!$G$2:$G$258,A12,日報貼り付け用!$D$2:$D$258,"写真"))</f>
        <v/>
      </c>
      <c r="E12" s="216"/>
      <c r="F12" s="216"/>
      <c r="G12" s="192"/>
    </row>
    <row r="13" spans="1:7" ht="27.75" customHeight="1">
      <c r="A13" s="192">
        <v>14</v>
      </c>
      <c r="B13" s="216"/>
      <c r="C13" s="192" t="str">
        <f t="shared" si="1"/>
        <v/>
      </c>
      <c r="D13" s="192" t="str">
        <f>IF(COUNTIFS(日報貼り付け用!$G$2:$G$258,A13,日報貼り付け用!$D$2:$D$258,"写真")=0,"",COUNTIFS(日報貼り付け用!$G$2:$G$258,A13,日報貼り付け用!$D$2:$D$258,"写真"))</f>
        <v/>
      </c>
      <c r="E13" s="216"/>
      <c r="F13" s="216"/>
      <c r="G13" s="192"/>
    </row>
    <row r="14" spans="1:7" ht="27.75" customHeight="1">
      <c r="A14" s="192">
        <v>15</v>
      </c>
      <c r="B14" s="216"/>
      <c r="C14" s="192" t="str">
        <f t="shared" si="1"/>
        <v/>
      </c>
      <c r="D14" s="192" t="str">
        <f>IF(COUNTIFS(日報貼り付け用!$G$2:$G$258,A14,日報貼り付け用!$D$2:$D$258,"写真")=0,"",COUNTIFS(日報貼り付け用!$G$2:$G$258,A14,日報貼り付け用!$D$2:$D$258,"写真"))</f>
        <v/>
      </c>
      <c r="E14" s="216"/>
      <c r="F14" s="216"/>
      <c r="G14" s="192"/>
    </row>
    <row r="15" spans="1:7" ht="27.75" customHeight="1">
      <c r="A15" s="192">
        <v>16</v>
      </c>
      <c r="B15" s="216"/>
      <c r="C15" s="192" t="str">
        <f t="shared" si="1"/>
        <v/>
      </c>
      <c r="D15" s="192" t="str">
        <f>IF(COUNTIFS(日報貼り付け用!$G$2:$G$258,A15,日報貼り付け用!$D$2:$D$258,"写真")=0,"",COUNTIFS(日報貼り付け用!$G$2:$G$258,A15,日報貼り付け用!$D$2:$D$258,"写真"))</f>
        <v/>
      </c>
      <c r="E15" s="216"/>
      <c r="F15" s="216"/>
      <c r="G15" s="192"/>
    </row>
    <row r="16" spans="1:7" ht="27.75" customHeight="1">
      <c r="A16" s="192">
        <v>17</v>
      </c>
      <c r="B16" s="216"/>
      <c r="C16" s="192" t="str">
        <f t="shared" si="0"/>
        <v/>
      </c>
      <c r="D16" s="192" t="str">
        <f>IF(COUNTIFS(日報貼り付け用!$G$2:$G$258,A16,日報貼り付け用!$D$2:$D$258,"写真")=0,"",COUNTIFS(日報貼り付け用!$G$2:$G$258,A16,日報貼り付け用!$D$2:$D$258,"写真"))</f>
        <v/>
      </c>
      <c r="E16" s="193"/>
      <c r="F16" s="193"/>
      <c r="G16" s="192"/>
    </row>
    <row r="17" spans="1:7" ht="27.75" customHeight="1">
      <c r="A17" s="192">
        <v>18</v>
      </c>
      <c r="B17" s="216"/>
      <c r="C17" s="192" t="str">
        <f t="shared" si="0"/>
        <v/>
      </c>
      <c r="D17" s="192" t="str">
        <f>IF(COUNTIFS(日報貼り付け用!$G$2:$G$258,A17,日報貼り付け用!$D$2:$D$258,"写真")=0,"",COUNTIFS(日報貼り付け用!$G$2:$G$258,A17,日報貼り付け用!$D$2:$D$258,"写真"))</f>
        <v/>
      </c>
      <c r="F17" s="193"/>
      <c r="G17" s="192"/>
    </row>
    <row r="18" spans="1:7" ht="27.75" customHeight="1">
      <c r="A18" s="192">
        <v>19</v>
      </c>
      <c r="B18" s="193"/>
      <c r="C18" s="192" t="str">
        <f t="shared" si="0"/>
        <v/>
      </c>
      <c r="D18" s="192" t="str">
        <f>IF(COUNTIFS(日報貼り付け用!$G$2:$G$258,A18,日報貼り付け用!$D$2:$D$258,"写真")=0,"",COUNTIFS(日報貼り付け用!$G$2:$G$258,A18,日報貼り付け用!$D$2:$D$258,"写真"))</f>
        <v/>
      </c>
      <c r="E18" s="193"/>
      <c r="F18" s="193"/>
      <c r="G18" s="192"/>
    </row>
    <row r="19" spans="1:7" ht="27.75" customHeight="1">
      <c r="A19" s="192">
        <v>20</v>
      </c>
      <c r="B19" s="193"/>
      <c r="C19" s="192" t="str">
        <f t="shared" si="0"/>
        <v/>
      </c>
      <c r="D19" s="192" t="str">
        <f>IF(COUNTIFS(日報貼り付け用!$G$2:$G$258,A19,日報貼り付け用!$D$2:$D$258,"写真")=0,"",COUNTIFS(日報貼り付け用!$G$2:$G$258,A19,日報貼り付け用!$D$2:$D$258,"写真"))</f>
        <v/>
      </c>
      <c r="E19" s="193"/>
      <c r="F19" s="193"/>
      <c r="G19" s="192"/>
    </row>
    <row r="20" spans="1:7" ht="27.75" customHeight="1">
      <c r="A20" s="192">
        <v>21</v>
      </c>
      <c r="B20" s="193"/>
      <c r="C20" s="192" t="str">
        <f t="shared" si="0"/>
        <v/>
      </c>
      <c r="D20" s="192" t="str">
        <f>IF(COUNTIFS(日報貼り付け用!$G$2:$G$258,A20,日報貼り付け用!$D$2:$D$258,"写真")=0,"",COUNTIFS(日報貼り付け用!$G$2:$G$258,A20,日報貼り付け用!$D$2:$D$258,"写真"))</f>
        <v/>
      </c>
      <c r="E20" s="193"/>
      <c r="F20" s="193"/>
      <c r="G20" s="192"/>
    </row>
    <row r="21" spans="1:7" ht="27.75" customHeight="1">
      <c r="A21" s="192">
        <v>22</v>
      </c>
      <c r="B21" s="193"/>
      <c r="C21" s="192" t="str">
        <f t="shared" si="0"/>
        <v/>
      </c>
      <c r="D21" s="192" t="str">
        <f>IF(COUNTIFS(日報貼り付け用!$G$2:$G$258,A21,日報貼り付け用!$D$2:$D$258,"写真")=0,"",COUNTIFS(日報貼り付け用!$G$2:$G$258,A21,日報貼り付け用!$D$2:$D$258,"写真"))</f>
        <v/>
      </c>
      <c r="E21" s="193"/>
      <c r="F21" s="193"/>
      <c r="G21" s="192"/>
    </row>
    <row r="22" spans="1:7" ht="27.75" customHeight="1" thickBot="1">
      <c r="A22" s="191">
        <v>23</v>
      </c>
      <c r="B22" s="191"/>
      <c r="C22" s="191" t="str">
        <f t="shared" si="0"/>
        <v/>
      </c>
      <c r="D22" s="191" t="str">
        <f>IF(COUNTIFS(日報貼り付け用!$G$2:$G$258,A22,日報貼り付け用!$D$2:$D$258,"写真")=0,"",COUNTIFS(日報貼り付け用!$G$2:$G$258,A22,日報貼り付け用!$D$2:$D$258,"写真"))</f>
        <v/>
      </c>
      <c r="E22" s="191"/>
      <c r="F22" s="191"/>
      <c r="G22" s="192"/>
    </row>
    <row r="23" spans="1:7" ht="27.75" customHeight="1" thickTop="1">
      <c r="A23" s="192" t="s">
        <v>37</v>
      </c>
      <c r="B23" s="192">
        <f>COUNTA(精算表!B21:'精算表'!B77)</f>
        <v>1</v>
      </c>
      <c r="C23" s="192">
        <f>SUM(C4:C22)</f>
        <v>0</v>
      </c>
      <c r="D23" s="192">
        <f>SUM(D4:D22)</f>
        <v>0</v>
      </c>
      <c r="E23" s="192">
        <f>SUM(E4:E22)</f>
        <v>0</v>
      </c>
      <c r="F23" s="192"/>
      <c r="G23" s="192"/>
    </row>
    <row r="25" spans="1:7">
      <c r="A25" s="442" t="s">
        <v>246</v>
      </c>
      <c r="B25" s="443"/>
      <c r="C25" s="443"/>
      <c r="D25" s="443"/>
      <c r="E25" s="443"/>
      <c r="F25" s="443"/>
      <c r="G25" s="444"/>
    </row>
    <row r="26" spans="1:7">
      <c r="A26" s="442" t="s">
        <v>247</v>
      </c>
      <c r="B26" s="443"/>
      <c r="C26" s="444"/>
      <c r="D26" s="442" t="s">
        <v>248</v>
      </c>
      <c r="E26" s="443"/>
      <c r="F26" s="443"/>
      <c r="G26" s="444"/>
    </row>
    <row r="27" spans="1:7">
      <c r="A27" s="430"/>
      <c r="B27" s="431"/>
      <c r="C27" s="432"/>
      <c r="D27" s="439"/>
      <c r="E27" s="439"/>
      <c r="F27" s="439"/>
      <c r="G27" s="439"/>
    </row>
    <row r="28" spans="1:7">
      <c r="A28" s="433"/>
      <c r="B28" s="434"/>
      <c r="C28" s="435"/>
      <c r="D28" s="439"/>
      <c r="E28" s="439"/>
      <c r="F28" s="439"/>
      <c r="G28" s="439"/>
    </row>
    <row r="29" spans="1:7">
      <c r="A29" s="433"/>
      <c r="B29" s="434"/>
      <c r="C29" s="435"/>
      <c r="D29" s="439"/>
      <c r="E29" s="439"/>
      <c r="F29" s="439"/>
      <c r="G29" s="439"/>
    </row>
    <row r="30" spans="1:7">
      <c r="A30" s="433"/>
      <c r="B30" s="434"/>
      <c r="C30" s="435"/>
      <c r="D30" s="439"/>
      <c r="E30" s="439"/>
      <c r="F30" s="439"/>
      <c r="G30" s="439"/>
    </row>
    <row r="31" spans="1:7">
      <c r="A31" s="433"/>
      <c r="B31" s="434"/>
      <c r="C31" s="435"/>
      <c r="D31" s="439"/>
      <c r="E31" s="439"/>
      <c r="F31" s="439"/>
      <c r="G31" s="439"/>
    </row>
    <row r="32" spans="1:7">
      <c r="A32" s="433"/>
      <c r="B32" s="434"/>
      <c r="C32" s="435"/>
      <c r="D32" s="439"/>
      <c r="E32" s="439"/>
      <c r="F32" s="439"/>
      <c r="G32" s="439"/>
    </row>
    <row r="33" spans="1:7">
      <c r="A33" s="436"/>
      <c r="B33" s="437"/>
      <c r="C33" s="438"/>
      <c r="D33" s="439"/>
      <c r="E33" s="439"/>
      <c r="F33" s="439"/>
      <c r="G33" s="439"/>
    </row>
  </sheetData>
  <mergeCells count="7">
    <mergeCell ref="A27:C33"/>
    <mergeCell ref="D27:G33"/>
    <mergeCell ref="A1:G1"/>
    <mergeCell ref="D2:G2"/>
    <mergeCell ref="A25:G25"/>
    <mergeCell ref="A26:C26"/>
    <mergeCell ref="D26:G26"/>
  </mergeCells>
  <phoneticPr fontId="4"/>
  <pageMargins left="0.7" right="0.7" top="0.75" bottom="0.75" header="0.3" footer="0.3"/>
  <pageSetup paperSize="9" scale="9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CI202"/>
  <sheetViews>
    <sheetView topLeftCell="A20" zoomScale="60" zoomScaleNormal="60" workbookViewId="0">
      <selection activeCell="Z21" sqref="Z21"/>
    </sheetView>
  </sheetViews>
  <sheetFormatPr defaultColWidth="9" defaultRowHeight="21"/>
  <cols>
    <col min="1" max="1" width="3.75" style="14" customWidth="1"/>
    <col min="2" max="2" width="13.125" style="14" customWidth="1"/>
    <col min="3" max="10" width="8.125" style="14" customWidth="1"/>
    <col min="11" max="12" width="7.625" style="14" customWidth="1"/>
    <col min="13" max="15" width="7.625" style="14" hidden="1" customWidth="1"/>
    <col min="16" max="16" width="8.25" style="14" customWidth="1"/>
    <col min="17" max="18" width="7.625" style="14" customWidth="1"/>
    <col min="19" max="23" width="7.625" style="14" hidden="1" customWidth="1"/>
    <col min="24" max="27" width="9.375" style="14" customWidth="1"/>
    <col min="28" max="48" width="5" style="14" hidden="1" customWidth="1"/>
    <col min="49" max="49" width="8.5" style="14" hidden="1" customWidth="1"/>
    <col min="50" max="50" width="11.875" style="14" hidden="1" customWidth="1"/>
    <col min="51" max="51" width="11.875" style="14" customWidth="1"/>
    <col min="52" max="52" width="3.125" style="14" customWidth="1"/>
    <col min="53" max="54" width="10.875" style="14" hidden="1" customWidth="1"/>
    <col min="55" max="56" width="10.875" style="14" customWidth="1"/>
    <col min="57" max="62" width="8.125" style="14" customWidth="1"/>
    <col min="63" max="63" width="8.625" style="14" customWidth="1"/>
    <col min="64" max="64" width="36.25" style="14" hidden="1" customWidth="1"/>
    <col min="65" max="65" width="8.125" style="14" hidden="1" customWidth="1"/>
    <col min="66" max="66" width="9.625" style="14" hidden="1" customWidth="1"/>
    <col min="67" max="71" width="9" style="14" hidden="1" customWidth="1"/>
    <col min="72" max="72" width="22.625" style="14" hidden="1" customWidth="1"/>
    <col min="73" max="77" width="9" style="14" hidden="1" customWidth="1"/>
    <col min="78" max="78" width="42" style="14" hidden="1" customWidth="1"/>
    <col min="79" max="85" width="9" style="14" hidden="1" customWidth="1"/>
    <col min="86" max="86" width="0.25" style="14" customWidth="1"/>
    <col min="87" max="89" width="9" style="14" customWidth="1"/>
    <col min="90" max="16384" width="9" style="14"/>
  </cols>
  <sheetData>
    <row r="1" spans="1:77" ht="63.75" customHeight="1" thickBot="1">
      <c r="C1" s="547" t="s">
        <v>398</v>
      </c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 t="s">
        <v>360</v>
      </c>
      <c r="T1" s="548"/>
      <c r="U1" s="548"/>
      <c r="V1" s="548"/>
      <c r="W1" s="541">
        <v>43755</v>
      </c>
      <c r="X1" s="541"/>
      <c r="Y1" s="541"/>
      <c r="Z1" s="541"/>
      <c r="AA1" s="541"/>
      <c r="AB1" s="541"/>
      <c r="AC1" s="541"/>
      <c r="AD1" s="541"/>
      <c r="AE1" s="541"/>
      <c r="AF1" s="541"/>
      <c r="AG1" s="541"/>
      <c r="AH1" s="541"/>
      <c r="AI1" s="541"/>
      <c r="AJ1" s="541"/>
      <c r="AK1" s="541"/>
      <c r="AL1" s="541"/>
      <c r="AM1" s="541"/>
      <c r="AN1" s="541"/>
      <c r="AO1" s="541"/>
      <c r="AP1" s="541"/>
      <c r="AQ1" s="541"/>
      <c r="AR1" s="541"/>
      <c r="AS1" s="541"/>
      <c r="AT1" s="541"/>
      <c r="AU1" s="541"/>
      <c r="AV1" s="541"/>
      <c r="AW1" s="541"/>
      <c r="AX1" s="541"/>
      <c r="AY1" s="541"/>
      <c r="AZ1" s="26"/>
      <c r="BA1" s="27"/>
      <c r="BW1" s="28" t="s">
        <v>31</v>
      </c>
      <c r="BX1" s="28" t="s">
        <v>32</v>
      </c>
      <c r="BY1" s="28"/>
    </row>
    <row r="2" spans="1:77" ht="33.75" hidden="1" customHeight="1">
      <c r="A2" s="542" t="s">
        <v>33</v>
      </c>
      <c r="B2" s="543"/>
      <c r="C2" s="544" t="s">
        <v>32</v>
      </c>
      <c r="D2" s="545"/>
      <c r="E2" s="545"/>
      <c r="F2" s="544" t="s">
        <v>34</v>
      </c>
      <c r="G2" s="545"/>
      <c r="H2" s="544" t="s">
        <v>35</v>
      </c>
      <c r="I2" s="545"/>
      <c r="J2" s="543" t="s">
        <v>36</v>
      </c>
      <c r="K2" s="546"/>
      <c r="L2" s="551" t="s">
        <v>33</v>
      </c>
      <c r="M2" s="545"/>
      <c r="N2" s="545"/>
      <c r="O2" s="545"/>
      <c r="P2" s="545"/>
      <c r="Q2" s="545"/>
      <c r="R2" s="549"/>
      <c r="S2" s="544" t="s">
        <v>17</v>
      </c>
      <c r="T2" s="545"/>
      <c r="U2" s="545"/>
      <c r="V2" s="549"/>
      <c r="W2" s="544" t="s">
        <v>34</v>
      </c>
      <c r="X2" s="545"/>
      <c r="Y2" s="544" t="s">
        <v>35</v>
      </c>
      <c r="Z2" s="549"/>
      <c r="AA2" s="545" t="s">
        <v>36</v>
      </c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 s="545"/>
      <c r="AQ2" s="545"/>
      <c r="AR2" s="545"/>
      <c r="AS2" s="545"/>
      <c r="AT2" s="545"/>
      <c r="AU2" s="545"/>
      <c r="AV2" s="545"/>
      <c r="AW2" s="545"/>
      <c r="AX2" s="545"/>
      <c r="AY2" s="550"/>
      <c r="BC2" s="29"/>
      <c r="BD2" s="29"/>
      <c r="BE2" s="29"/>
      <c r="BF2" s="29"/>
      <c r="BG2" s="29"/>
      <c r="BH2" s="29"/>
      <c r="BI2" s="29"/>
      <c r="BJ2" s="29"/>
      <c r="BQ2" s="30"/>
      <c r="BW2" s="28"/>
      <c r="BX2" s="28"/>
      <c r="BY2" s="28"/>
    </row>
    <row r="3" spans="1:77" ht="33.75" hidden="1" customHeight="1">
      <c r="A3" s="531"/>
      <c r="B3" s="532"/>
      <c r="C3" s="528"/>
      <c r="D3" s="529"/>
      <c r="E3" s="529"/>
      <c r="F3" s="459"/>
      <c r="G3" s="455"/>
      <c r="H3" s="459"/>
      <c r="I3" s="460"/>
      <c r="J3" s="527"/>
      <c r="K3" s="533"/>
      <c r="L3" s="539"/>
      <c r="M3" s="540"/>
      <c r="N3" s="540"/>
      <c r="O3" s="540"/>
      <c r="P3" s="540"/>
      <c r="Q3" s="540"/>
      <c r="R3" s="527"/>
      <c r="S3" s="534"/>
      <c r="T3" s="535"/>
      <c r="U3" s="535"/>
      <c r="V3" s="536"/>
      <c r="W3" s="459"/>
      <c r="X3" s="455"/>
      <c r="Y3" s="459"/>
      <c r="Z3" s="460"/>
      <c r="AA3" s="455"/>
      <c r="AB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  <c r="AN3" s="455"/>
      <c r="AO3" s="455"/>
      <c r="AP3" s="455"/>
      <c r="AQ3" s="455"/>
      <c r="AR3" s="455"/>
      <c r="AS3" s="455"/>
      <c r="AT3" s="455"/>
      <c r="AU3" s="455"/>
      <c r="AV3" s="455"/>
      <c r="AW3" s="455"/>
      <c r="AX3" s="455"/>
      <c r="AY3" s="456"/>
      <c r="BC3" s="29"/>
      <c r="BD3" s="29"/>
      <c r="BE3" s="29"/>
      <c r="BF3" s="29"/>
      <c r="BG3" s="29"/>
      <c r="BH3" s="29"/>
      <c r="BI3" s="29"/>
      <c r="BJ3" s="29"/>
      <c r="BW3" s="28"/>
      <c r="BX3" s="28"/>
      <c r="BY3" s="28"/>
    </row>
    <row r="4" spans="1:77" ht="33.75" hidden="1" customHeight="1">
      <c r="A4" s="526"/>
      <c r="B4" s="527"/>
      <c r="C4" s="528"/>
      <c r="D4" s="529"/>
      <c r="E4" s="530"/>
      <c r="F4" s="459"/>
      <c r="G4" s="460"/>
      <c r="H4" s="459"/>
      <c r="I4" s="460"/>
      <c r="J4" s="503"/>
      <c r="K4" s="504"/>
      <c r="L4" s="539"/>
      <c r="M4" s="540"/>
      <c r="N4" s="540"/>
      <c r="O4" s="540"/>
      <c r="P4" s="540"/>
      <c r="Q4" s="540"/>
      <c r="R4" s="527"/>
      <c r="S4" s="534"/>
      <c r="T4" s="535"/>
      <c r="U4" s="535"/>
      <c r="V4" s="536"/>
      <c r="W4" s="459"/>
      <c r="X4" s="455"/>
      <c r="Y4" s="459"/>
      <c r="Z4" s="460"/>
      <c r="AA4" s="455"/>
      <c r="AB4" s="455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  <c r="AN4" s="455"/>
      <c r="AO4" s="455"/>
      <c r="AP4" s="455"/>
      <c r="AQ4" s="455"/>
      <c r="AR4" s="455"/>
      <c r="AS4" s="455"/>
      <c r="AT4" s="455"/>
      <c r="AU4" s="455"/>
      <c r="AV4" s="455"/>
      <c r="AW4" s="455"/>
      <c r="AX4" s="455"/>
      <c r="AY4" s="456"/>
      <c r="BC4" s="29"/>
      <c r="BD4" s="29"/>
      <c r="BE4" s="29"/>
      <c r="BF4" s="29"/>
      <c r="BG4" s="29"/>
      <c r="BH4" s="29"/>
      <c r="BI4" s="29"/>
      <c r="BJ4" s="29"/>
      <c r="BW4" s="28"/>
      <c r="BX4" s="28"/>
      <c r="BY4" s="28"/>
    </row>
    <row r="5" spans="1:77" ht="33.75" hidden="1" customHeight="1">
      <c r="A5" s="526"/>
      <c r="B5" s="527"/>
      <c r="C5" s="528"/>
      <c r="D5" s="529"/>
      <c r="E5" s="530"/>
      <c r="F5" s="459"/>
      <c r="G5" s="460"/>
      <c r="H5" s="459"/>
      <c r="I5" s="460"/>
      <c r="J5" s="503"/>
      <c r="K5" s="504"/>
      <c r="L5" s="539"/>
      <c r="M5" s="540"/>
      <c r="N5" s="540"/>
      <c r="O5" s="540"/>
      <c r="P5" s="540"/>
      <c r="Q5" s="540"/>
      <c r="R5" s="527"/>
      <c r="S5" s="534"/>
      <c r="T5" s="535"/>
      <c r="U5" s="535"/>
      <c r="V5" s="536"/>
      <c r="W5" s="459"/>
      <c r="X5" s="455"/>
      <c r="Y5" s="459"/>
      <c r="Z5" s="460"/>
      <c r="AA5" s="455"/>
      <c r="AB5" s="455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  <c r="AN5" s="455"/>
      <c r="AO5" s="455"/>
      <c r="AP5" s="455"/>
      <c r="AQ5" s="455"/>
      <c r="AR5" s="455"/>
      <c r="AS5" s="455"/>
      <c r="AT5" s="455"/>
      <c r="AU5" s="455"/>
      <c r="AV5" s="455"/>
      <c r="AW5" s="455"/>
      <c r="AX5" s="455"/>
      <c r="AY5" s="456"/>
      <c r="BC5" s="29"/>
      <c r="BD5" s="29"/>
      <c r="BE5" s="29"/>
      <c r="BF5" s="29"/>
      <c r="BG5" s="29"/>
      <c r="BH5" s="29"/>
      <c r="BI5" s="29"/>
      <c r="BJ5" s="29"/>
      <c r="BW5" s="28"/>
      <c r="BX5" s="28"/>
      <c r="BY5" s="28"/>
    </row>
    <row r="6" spans="1:77" ht="33.75" hidden="1" customHeight="1">
      <c r="A6" s="531"/>
      <c r="B6" s="532"/>
      <c r="C6" s="528"/>
      <c r="D6" s="529"/>
      <c r="E6" s="529"/>
      <c r="F6" s="459"/>
      <c r="G6" s="460"/>
      <c r="H6" s="459"/>
      <c r="I6" s="460"/>
      <c r="J6" s="503"/>
      <c r="K6" s="504"/>
      <c r="L6" s="539"/>
      <c r="M6" s="540"/>
      <c r="N6" s="540"/>
      <c r="O6" s="540"/>
      <c r="P6" s="540"/>
      <c r="Q6" s="540"/>
      <c r="R6" s="527"/>
      <c r="S6" s="534"/>
      <c r="T6" s="535"/>
      <c r="U6" s="535"/>
      <c r="V6" s="536"/>
      <c r="W6" s="459"/>
      <c r="X6" s="455"/>
      <c r="Y6" s="459"/>
      <c r="Z6" s="460"/>
      <c r="AA6" s="455"/>
      <c r="AB6" s="455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  <c r="AN6" s="455"/>
      <c r="AO6" s="455"/>
      <c r="AP6" s="455"/>
      <c r="AQ6" s="455"/>
      <c r="AR6" s="455"/>
      <c r="AS6" s="455"/>
      <c r="AT6" s="455"/>
      <c r="AU6" s="455"/>
      <c r="AV6" s="455"/>
      <c r="AW6" s="455"/>
      <c r="AX6" s="455"/>
      <c r="AY6" s="456"/>
      <c r="BC6" s="29"/>
      <c r="BD6" s="29"/>
      <c r="BE6" s="29"/>
      <c r="BF6" s="29"/>
      <c r="BG6" s="29"/>
      <c r="BH6" s="29"/>
      <c r="BI6" s="29"/>
      <c r="BJ6" s="29"/>
      <c r="BQ6" s="30"/>
      <c r="BW6" s="28"/>
      <c r="BX6" s="28"/>
      <c r="BY6" s="28"/>
    </row>
    <row r="7" spans="1:77" ht="33.75" hidden="1" customHeight="1">
      <c r="A7" s="531"/>
      <c r="B7" s="532"/>
      <c r="C7" s="528"/>
      <c r="D7" s="529"/>
      <c r="E7" s="529"/>
      <c r="F7" s="459"/>
      <c r="G7" s="455"/>
      <c r="H7" s="459"/>
      <c r="I7" s="460"/>
      <c r="J7" s="527"/>
      <c r="K7" s="533"/>
      <c r="L7" s="539"/>
      <c r="M7" s="540"/>
      <c r="N7" s="540"/>
      <c r="O7" s="540"/>
      <c r="P7" s="540"/>
      <c r="Q7" s="540"/>
      <c r="R7" s="527"/>
      <c r="S7" s="534"/>
      <c r="T7" s="535"/>
      <c r="U7" s="535"/>
      <c r="V7" s="536"/>
      <c r="W7" s="459"/>
      <c r="X7" s="455"/>
      <c r="Y7" s="463"/>
      <c r="Z7" s="464"/>
      <c r="AA7" s="455"/>
      <c r="AB7" s="455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  <c r="AN7" s="455"/>
      <c r="AO7" s="455"/>
      <c r="AP7" s="455"/>
      <c r="AQ7" s="455"/>
      <c r="AR7" s="455"/>
      <c r="AS7" s="455"/>
      <c r="AT7" s="455"/>
      <c r="AU7" s="455"/>
      <c r="AV7" s="455"/>
      <c r="AW7" s="455"/>
      <c r="AX7" s="455"/>
      <c r="AY7" s="456"/>
      <c r="BC7" s="29"/>
      <c r="BD7" s="29"/>
      <c r="BE7" s="29"/>
      <c r="BF7" s="29"/>
      <c r="BG7" s="29"/>
      <c r="BH7" s="29"/>
      <c r="BI7" s="29"/>
      <c r="BJ7" s="29"/>
      <c r="BW7" s="28"/>
      <c r="BX7" s="28"/>
      <c r="BY7" s="28"/>
    </row>
    <row r="8" spans="1:77" ht="33.75" hidden="1" customHeight="1" thickBot="1">
      <c r="A8" s="537"/>
      <c r="B8" s="538"/>
      <c r="C8" s="522"/>
      <c r="D8" s="523"/>
      <c r="E8" s="523"/>
      <c r="F8" s="457"/>
      <c r="G8" s="461"/>
      <c r="H8" s="457"/>
      <c r="I8" s="458"/>
      <c r="J8" s="516"/>
      <c r="K8" s="524"/>
      <c r="L8" s="514"/>
      <c r="M8" s="515"/>
      <c r="N8" s="515"/>
      <c r="O8" s="515"/>
      <c r="P8" s="515"/>
      <c r="Q8" s="515"/>
      <c r="R8" s="516"/>
      <c r="S8" s="517"/>
      <c r="T8" s="518"/>
      <c r="U8" s="518"/>
      <c r="V8" s="519"/>
      <c r="W8" s="457"/>
      <c r="X8" s="461"/>
      <c r="Y8" s="457"/>
      <c r="Z8" s="458"/>
      <c r="AA8" s="461"/>
      <c r="AB8" s="461"/>
      <c r="AC8" s="461"/>
      <c r="AD8" s="461"/>
      <c r="AE8" s="461"/>
      <c r="AF8" s="461"/>
      <c r="AG8" s="461"/>
      <c r="AH8" s="461"/>
      <c r="AI8" s="461"/>
      <c r="AJ8" s="461"/>
      <c r="AK8" s="461"/>
      <c r="AL8" s="461"/>
      <c r="AM8" s="461"/>
      <c r="AN8" s="461"/>
      <c r="AO8" s="461"/>
      <c r="AP8" s="461"/>
      <c r="AQ8" s="461"/>
      <c r="AR8" s="461"/>
      <c r="AS8" s="461"/>
      <c r="AT8" s="461"/>
      <c r="AU8" s="461"/>
      <c r="AV8" s="461"/>
      <c r="AW8" s="461"/>
      <c r="AX8" s="461"/>
      <c r="AY8" s="462"/>
      <c r="BC8" s="29"/>
      <c r="BD8" s="29"/>
      <c r="BE8" s="29"/>
      <c r="BF8" s="29"/>
      <c r="BG8" s="29"/>
      <c r="BH8" s="29"/>
      <c r="BI8" s="29"/>
      <c r="BJ8" s="29"/>
      <c r="BW8" s="28"/>
      <c r="BX8" s="28"/>
      <c r="BY8" s="28"/>
    </row>
    <row r="9" spans="1:77" ht="33.75" hidden="1" customHeight="1" thickBot="1">
      <c r="A9" s="31"/>
      <c r="B9" s="32" t="s">
        <v>37</v>
      </c>
      <c r="C9" s="505">
        <f>C3+C4+C5+C6+C7+C8+S3+S4+S5+S6+S7+S8</f>
        <v>0</v>
      </c>
      <c r="D9" s="505"/>
      <c r="E9" s="505"/>
      <c r="F9" s="505"/>
      <c r="G9" s="505"/>
      <c r="H9" s="505"/>
      <c r="I9" s="505"/>
      <c r="J9" s="505"/>
      <c r="K9" s="505"/>
      <c r="L9" s="505"/>
      <c r="M9" s="505"/>
      <c r="N9" s="505"/>
      <c r="O9" s="505"/>
      <c r="P9" s="505"/>
      <c r="Q9" s="505"/>
      <c r="R9" s="505"/>
      <c r="S9" s="506"/>
      <c r="T9" s="507"/>
      <c r="U9" s="508"/>
      <c r="V9" s="508"/>
      <c r="W9" s="508"/>
      <c r="X9" s="508"/>
      <c r="Y9" s="508"/>
      <c r="Z9" s="508"/>
      <c r="AA9" s="508"/>
      <c r="AB9" s="508"/>
      <c r="AC9" s="508"/>
      <c r="AD9" s="508"/>
      <c r="AE9" s="508"/>
      <c r="AF9" s="508"/>
      <c r="AG9" s="508"/>
      <c r="AH9" s="508"/>
      <c r="AI9" s="508"/>
      <c r="AJ9" s="508"/>
      <c r="AK9" s="508"/>
      <c r="AL9" s="508"/>
      <c r="AM9" s="508"/>
      <c r="AN9" s="508"/>
      <c r="AO9" s="508"/>
      <c r="AP9" s="508"/>
      <c r="AQ9" s="508"/>
      <c r="AR9" s="508"/>
      <c r="AS9" s="508"/>
      <c r="AT9" s="508"/>
      <c r="AU9" s="508"/>
      <c r="AV9" s="508"/>
      <c r="AW9" s="508"/>
      <c r="AX9" s="508"/>
      <c r="AY9" s="509"/>
      <c r="BW9" s="28"/>
      <c r="BX9" s="28"/>
      <c r="BY9" s="28"/>
    </row>
    <row r="10" spans="1:77" ht="33.75" hidden="1" customHeight="1" thickBot="1">
      <c r="A10" s="33"/>
      <c r="B10" s="34" t="s">
        <v>38</v>
      </c>
      <c r="C10" s="35">
        <v>8000</v>
      </c>
      <c r="D10" s="35"/>
      <c r="E10" s="35">
        <v>10500</v>
      </c>
      <c r="F10" s="35"/>
      <c r="G10" s="35">
        <v>13000</v>
      </c>
      <c r="H10" s="35"/>
      <c r="I10" s="35">
        <v>15500</v>
      </c>
      <c r="J10" s="35"/>
      <c r="K10" s="35">
        <v>21000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>
        <v>500</v>
      </c>
      <c r="AC10" s="35">
        <v>500</v>
      </c>
      <c r="AD10" s="35">
        <v>500</v>
      </c>
      <c r="AE10" s="35">
        <v>500</v>
      </c>
      <c r="AF10" s="35">
        <v>1000</v>
      </c>
      <c r="AG10" s="35">
        <v>1000</v>
      </c>
      <c r="AH10" s="35">
        <v>2500</v>
      </c>
      <c r="AI10" s="35">
        <v>2500</v>
      </c>
      <c r="AJ10" s="35">
        <v>2500</v>
      </c>
      <c r="AK10" s="35">
        <v>5000</v>
      </c>
      <c r="AL10" s="35">
        <v>1100</v>
      </c>
      <c r="AM10" s="35">
        <v>500</v>
      </c>
      <c r="AN10" s="35">
        <v>500</v>
      </c>
      <c r="AO10" s="35">
        <v>150</v>
      </c>
      <c r="AP10" s="35">
        <v>300</v>
      </c>
      <c r="AQ10" s="35">
        <v>2000</v>
      </c>
      <c r="AR10" s="35">
        <v>3000</v>
      </c>
      <c r="AS10" s="35">
        <v>500</v>
      </c>
      <c r="AT10" s="35">
        <v>100</v>
      </c>
      <c r="AU10" s="35">
        <v>100</v>
      </c>
      <c r="AV10" s="35"/>
      <c r="AW10" s="35"/>
      <c r="AX10" s="35"/>
      <c r="AY10" s="36"/>
      <c r="BL10" s="14" t="s">
        <v>39</v>
      </c>
      <c r="BM10" s="14">
        <v>0</v>
      </c>
      <c r="BW10" s="28"/>
      <c r="BX10" s="28"/>
      <c r="BY10" s="28"/>
    </row>
    <row r="11" spans="1:77" ht="33.75" hidden="1" customHeight="1" thickBot="1">
      <c r="A11" s="33"/>
      <c r="B11" s="34" t="s">
        <v>350</v>
      </c>
      <c r="C11" s="35">
        <v>9500</v>
      </c>
      <c r="D11" s="35"/>
      <c r="E11" s="35">
        <v>14500</v>
      </c>
      <c r="F11" s="35"/>
      <c r="G11" s="35">
        <v>19000</v>
      </c>
      <c r="H11" s="35"/>
      <c r="I11" s="35">
        <v>24000</v>
      </c>
      <c r="J11" s="35"/>
      <c r="K11" s="35">
        <v>29000</v>
      </c>
      <c r="L11" s="35"/>
      <c r="M11" s="35"/>
      <c r="N11" s="35"/>
      <c r="O11" s="35"/>
      <c r="P11" s="35"/>
      <c r="Q11" s="35">
        <v>1000</v>
      </c>
      <c r="R11" s="35">
        <v>1000</v>
      </c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6"/>
      <c r="BW11" s="28"/>
      <c r="BX11" s="28"/>
      <c r="BY11" s="28"/>
    </row>
    <row r="12" spans="1:77" ht="33.75" hidden="1" customHeight="1" thickBot="1">
      <c r="A12" s="33"/>
      <c r="B12" s="34" t="s">
        <v>40</v>
      </c>
      <c r="C12" s="35">
        <v>0</v>
      </c>
      <c r="D12" s="35"/>
      <c r="E12" s="35">
        <v>1000</v>
      </c>
      <c r="F12" s="35"/>
      <c r="G12" s="35">
        <v>2000</v>
      </c>
      <c r="H12" s="35"/>
      <c r="I12" s="35">
        <v>3000</v>
      </c>
      <c r="J12" s="35"/>
      <c r="K12" s="35">
        <v>4000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6"/>
      <c r="BW12" s="28"/>
      <c r="BX12" s="28"/>
      <c r="BY12" s="28"/>
    </row>
    <row r="13" spans="1:77" ht="33.75" hidden="1" customHeight="1" thickBot="1">
      <c r="A13" s="33"/>
      <c r="B13" s="34" t="s">
        <v>41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6"/>
      <c r="BW13" s="28"/>
      <c r="BX13" s="28"/>
      <c r="BY13" s="28"/>
    </row>
    <row r="14" spans="1:77" ht="33.75" hidden="1" customHeight="1" thickBot="1">
      <c r="A14" s="33"/>
      <c r="B14" s="34" t="s">
        <v>42</v>
      </c>
      <c r="C14" s="35">
        <v>18000</v>
      </c>
      <c r="D14" s="35"/>
      <c r="E14" s="35">
        <v>25500</v>
      </c>
      <c r="F14" s="35"/>
      <c r="G14" s="35">
        <v>33000</v>
      </c>
      <c r="H14" s="35"/>
      <c r="I14" s="35">
        <v>40500</v>
      </c>
      <c r="J14" s="35"/>
      <c r="K14" s="35">
        <v>51000</v>
      </c>
      <c r="L14" s="35"/>
      <c r="M14" s="35"/>
      <c r="N14" s="35"/>
      <c r="O14" s="35"/>
      <c r="P14" s="35"/>
      <c r="Q14" s="35">
        <v>2000</v>
      </c>
      <c r="R14" s="35">
        <v>1000</v>
      </c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6"/>
      <c r="BB14" s="30"/>
      <c r="BQ14" s="30"/>
      <c r="BW14" s="28"/>
      <c r="BX14" s="28"/>
      <c r="BY14" s="28"/>
    </row>
    <row r="15" spans="1:77" ht="33.75" hidden="1" customHeight="1" thickBot="1">
      <c r="A15" s="33"/>
      <c r="B15" s="34" t="s">
        <v>43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6"/>
      <c r="BB15" s="30"/>
      <c r="BQ15" s="30"/>
      <c r="BW15" s="28"/>
      <c r="BX15" s="28"/>
      <c r="BY15" s="28"/>
    </row>
    <row r="16" spans="1:77" ht="33.75" hidden="1" customHeight="1" thickBot="1">
      <c r="A16" s="33"/>
      <c r="B16" s="34" t="s">
        <v>44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6"/>
      <c r="BW16" s="28"/>
      <c r="BX16" s="28"/>
      <c r="BY16" s="28"/>
    </row>
    <row r="17" spans="1:87" ht="33.75" hidden="1" customHeight="1" thickBot="1">
      <c r="A17" s="33"/>
      <c r="B17" s="34" t="s">
        <v>45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6"/>
      <c r="BW17" s="28"/>
      <c r="BX17" s="28"/>
      <c r="BY17" s="28"/>
    </row>
    <row r="18" spans="1:87" ht="33.75" hidden="1" customHeight="1" thickBot="1">
      <c r="A18" s="33"/>
      <c r="B18" s="34" t="s">
        <v>46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6"/>
      <c r="BB18" s="30"/>
      <c r="BQ18" s="30"/>
      <c r="BW18" s="28"/>
      <c r="BX18" s="28"/>
      <c r="BY18" s="28"/>
    </row>
    <row r="19" spans="1:87" ht="33.75" hidden="1" customHeight="1" thickBot="1">
      <c r="A19" s="33"/>
      <c r="B19" s="253" t="s">
        <v>47</v>
      </c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 t="s">
        <v>351</v>
      </c>
      <c r="AC19" s="37" t="s">
        <v>352</v>
      </c>
      <c r="AD19" s="37" t="s">
        <v>353</v>
      </c>
      <c r="AE19" s="37" t="s">
        <v>354</v>
      </c>
      <c r="AF19" s="37" t="s">
        <v>355</v>
      </c>
      <c r="AG19" s="37" t="s">
        <v>48</v>
      </c>
      <c r="AH19" s="37" t="s">
        <v>49</v>
      </c>
      <c r="AI19" s="37" t="s">
        <v>50</v>
      </c>
      <c r="AJ19" s="37" t="s">
        <v>51</v>
      </c>
      <c r="AK19" s="37" t="s">
        <v>52</v>
      </c>
      <c r="AL19" s="37" t="s">
        <v>356</v>
      </c>
      <c r="AM19" s="37" t="s">
        <v>53</v>
      </c>
      <c r="AN19" s="37" t="s">
        <v>54</v>
      </c>
      <c r="AO19" s="37" t="s">
        <v>55</v>
      </c>
      <c r="AP19" s="37" t="s">
        <v>56</v>
      </c>
      <c r="AQ19" s="37" t="s">
        <v>57</v>
      </c>
      <c r="AR19" s="37" t="s">
        <v>58</v>
      </c>
      <c r="AS19" s="37" t="s">
        <v>59</v>
      </c>
      <c r="AT19" s="37" t="s">
        <v>357</v>
      </c>
      <c r="AU19" s="37" t="s">
        <v>358</v>
      </c>
      <c r="AV19" s="37" t="s">
        <v>60</v>
      </c>
      <c r="AW19" s="37"/>
      <c r="AX19" s="37"/>
      <c r="AY19" s="38"/>
      <c r="BB19" s="30"/>
      <c r="BW19" s="28"/>
      <c r="BX19" s="28"/>
      <c r="BY19" s="28"/>
    </row>
    <row r="20" spans="1:87" ht="33.75" customHeight="1" thickBot="1">
      <c r="A20" s="39"/>
      <c r="B20" s="146" t="s">
        <v>61</v>
      </c>
      <c r="C20" s="147">
        <v>45</v>
      </c>
      <c r="D20" s="148" t="s">
        <v>62</v>
      </c>
      <c r="E20" s="149">
        <v>60</v>
      </c>
      <c r="F20" s="148" t="s">
        <v>62</v>
      </c>
      <c r="G20" s="150">
        <v>75</v>
      </c>
      <c r="H20" s="148" t="s">
        <v>62</v>
      </c>
      <c r="I20" s="151">
        <v>90</v>
      </c>
      <c r="J20" s="148" t="s">
        <v>62</v>
      </c>
      <c r="K20" s="152">
        <v>120</v>
      </c>
      <c r="L20" s="148" t="s">
        <v>62</v>
      </c>
      <c r="M20" s="152">
        <v>150</v>
      </c>
      <c r="N20" s="148" t="s">
        <v>207</v>
      </c>
      <c r="O20" s="153" t="s">
        <v>209</v>
      </c>
      <c r="P20" s="154" t="s">
        <v>361</v>
      </c>
      <c r="Q20" s="153">
        <v>2000</v>
      </c>
      <c r="R20" s="153">
        <v>1000</v>
      </c>
      <c r="S20" s="153" t="s">
        <v>161</v>
      </c>
      <c r="T20" s="153" t="s">
        <v>161</v>
      </c>
      <c r="U20" s="153" t="s">
        <v>161</v>
      </c>
      <c r="V20" s="153" t="s">
        <v>161</v>
      </c>
      <c r="W20" s="153" t="s">
        <v>161</v>
      </c>
      <c r="X20" s="148" t="s">
        <v>62</v>
      </c>
      <c r="Y20" s="155" t="s">
        <v>359</v>
      </c>
      <c r="Z20" s="155" t="s">
        <v>64</v>
      </c>
      <c r="AA20" s="156" t="s">
        <v>41</v>
      </c>
      <c r="AB20" s="157" t="s">
        <v>65</v>
      </c>
      <c r="AC20" s="157" t="s">
        <v>66</v>
      </c>
      <c r="AD20" s="157" t="s">
        <v>67</v>
      </c>
      <c r="AE20" s="157" t="s">
        <v>68</v>
      </c>
      <c r="AF20" s="157" t="s">
        <v>69</v>
      </c>
      <c r="AG20" s="157" t="s">
        <v>70</v>
      </c>
      <c r="AH20" s="157" t="s">
        <v>71</v>
      </c>
      <c r="AI20" s="157" t="s">
        <v>72</v>
      </c>
      <c r="AJ20" s="157" t="s">
        <v>73</v>
      </c>
      <c r="AK20" s="157" t="s">
        <v>74</v>
      </c>
      <c r="AL20" s="157" t="s">
        <v>75</v>
      </c>
      <c r="AM20" s="157" t="s">
        <v>76</v>
      </c>
      <c r="AN20" s="157" t="s">
        <v>77</v>
      </c>
      <c r="AO20" s="157" t="s">
        <v>78</v>
      </c>
      <c r="AP20" s="157" t="s">
        <v>79</v>
      </c>
      <c r="AQ20" s="157" t="s">
        <v>80</v>
      </c>
      <c r="AR20" s="157" t="s">
        <v>81</v>
      </c>
      <c r="AS20" s="157" t="s">
        <v>82</v>
      </c>
      <c r="AT20" s="157" t="s">
        <v>83</v>
      </c>
      <c r="AU20" s="157" t="s">
        <v>84</v>
      </c>
      <c r="AV20" s="158" t="s">
        <v>60</v>
      </c>
      <c r="AW20" s="157" t="s">
        <v>85</v>
      </c>
      <c r="AX20" s="157" t="s">
        <v>86</v>
      </c>
      <c r="AY20" s="159" t="s">
        <v>37</v>
      </c>
      <c r="BC20" s="40"/>
      <c r="BD20" s="295" t="s">
        <v>87</v>
      </c>
      <c r="BE20" s="295" t="s">
        <v>88</v>
      </c>
      <c r="BF20" s="295" t="s">
        <v>362</v>
      </c>
      <c r="BG20" s="295" t="s">
        <v>89</v>
      </c>
      <c r="BH20" s="296" t="s">
        <v>363</v>
      </c>
      <c r="BI20" s="296"/>
      <c r="BJ20" s="296"/>
      <c r="BK20" s="297" t="s">
        <v>159</v>
      </c>
      <c r="BL20" s="293" t="s">
        <v>90</v>
      </c>
      <c r="BM20" s="294" t="str">
        <f>BD20</f>
        <v>45分</v>
      </c>
      <c r="BN20" s="294" t="str">
        <f t="shared" ref="BN20:BS20" si="0">BE20</f>
        <v>60分</v>
      </c>
      <c r="BO20" s="294" t="str">
        <f t="shared" si="0"/>
        <v>75分</v>
      </c>
      <c r="BP20" s="294" t="str">
        <f t="shared" si="0"/>
        <v>90分</v>
      </c>
      <c r="BQ20" s="294" t="str">
        <f t="shared" si="0"/>
        <v>120分</v>
      </c>
      <c r="BR20" s="294">
        <f t="shared" si="0"/>
        <v>0</v>
      </c>
      <c r="BS20" s="41">
        <f t="shared" si="0"/>
        <v>0</v>
      </c>
      <c r="BW20" s="28"/>
      <c r="BX20" s="28"/>
      <c r="BY20" s="254"/>
      <c r="BZ20" s="251" t="s">
        <v>90</v>
      </c>
      <c r="CA20" s="252" t="str">
        <f>BM20</f>
        <v>45分</v>
      </c>
      <c r="CB20" s="252" t="str">
        <f t="shared" ref="CB20:CG20" si="1">BN20</f>
        <v>60分</v>
      </c>
      <c r="CC20" s="252" t="str">
        <f t="shared" si="1"/>
        <v>75分</v>
      </c>
      <c r="CD20" s="252" t="str">
        <f t="shared" si="1"/>
        <v>90分</v>
      </c>
      <c r="CE20" s="252" t="str">
        <f t="shared" si="1"/>
        <v>120分</v>
      </c>
      <c r="CF20" s="252">
        <f t="shared" si="1"/>
        <v>0</v>
      </c>
      <c r="CG20" s="41">
        <f t="shared" si="1"/>
        <v>0</v>
      </c>
    </row>
    <row r="21" spans="1:87" ht="33.75" customHeight="1">
      <c r="A21" s="43">
        <v>1</v>
      </c>
      <c r="B21" s="48" t="s">
        <v>459</v>
      </c>
      <c r="C21" s="232">
        <f>SUMPRODUCT((足元帳!$K$2:$K$231=B21)*(足元帳!$BB$2:$BB$231=1))</f>
        <v>0</v>
      </c>
      <c r="D21" s="234">
        <f>SUMPRODUCT((足元帳!$K$2:$K$231=B21)*(足元帳!$BB$2:$BB$231=1)*(足元帳!$AZ$2:$AZ$231&lt;=2))</f>
        <v>0</v>
      </c>
      <c r="E21" s="232">
        <f>SUMPRODUCT((足元帳!$K$2:$K$231=B21)*(足元帳!$BB$2:$BB$231=2))</f>
        <v>0</v>
      </c>
      <c r="F21" s="235">
        <f>SUMPRODUCT((足元帳!$K$2:$K$231=B21)*(足元帳!$BB$2:$BB$231=2)*(足元帳!$AZ$2:$AZ$231&lt;=2))</f>
        <v>0</v>
      </c>
      <c r="G21" s="232">
        <f>SUMPRODUCT((足元帳!$K$2:$K$231=B21)*(足元帳!$BB$2:$BB$231=3))</f>
        <v>0</v>
      </c>
      <c r="H21" s="235">
        <f>SUMPRODUCT((足元帳!$K$2:$K$231=B21)*(足元帳!$BB$2:$BB$231=3)*(足元帳!$AZ$2:$AZ$231&lt;=2))</f>
        <v>0</v>
      </c>
      <c r="I21" s="232">
        <f>SUMPRODUCT((足元帳!$K$2:$K$231=B21)*(足元帳!$BB$2:$BB$231=4))</f>
        <v>0</v>
      </c>
      <c r="J21" s="235">
        <f>SUMPRODUCT((足元帳!$K$2:$K$231=B21)*(足元帳!$BB$2:$BB$231=4)*(足元帳!$AZ$2:$AZ$231&lt;=2))</f>
        <v>0</v>
      </c>
      <c r="K21" s="232">
        <f>SUMPRODUCT((足元帳!$K$2:$K$231=B21)*(足元帳!$BB$2:$BB$231=5))</f>
        <v>0</v>
      </c>
      <c r="L21" s="235">
        <f>SUMPRODUCT((足元帳!$K$2:$K$231=B21)*(足元帳!$BB$2:$BB$231=5)*(足元帳!$AZ$2:$AZ$231&lt;=2))</f>
        <v>0</v>
      </c>
      <c r="M21" s="232">
        <f>SUMPRODUCT((足元帳!$K$2:$K$231=B21)*(足元帳!$BB$2:$BB$231=6))</f>
        <v>0</v>
      </c>
      <c r="N21" s="232">
        <f>SUMPRODUCT((足元帳!$K$2:$K$231=B21)*(足元帳!$BB$2:$BB$231=6)*(足元帳!$AZ$2:$AZ$231&lt;=2))</f>
        <v>0</v>
      </c>
      <c r="O21" s="232"/>
      <c r="P21" s="232">
        <f>SUMPRODUCT((足元帳!$K$2:$K$231=B21)*(足元帳!$AS$2:$AS$231=足元帳!$AS$1)*(足元帳!$BB$2:$BB$231=1)*500)+SUMPRODUCT((足元帳!$K$2:$K$231=B21)*(足元帳!$AS$2:$AS$231=足元帳!$AS$1)*(足元帳!$BB$2:$BB$231=2)*500)+SUMPRODUCT((足元帳!$K$2:$K$231=B21)*(足元帳!$AS$2:$AS$231=足元帳!$AS$1)*(足元帳!$BB$2:$BB$231=3)*500)+SUMPRODUCT((足元帳!$K$2:$K$231=B21)*(足元帳!$AS$2:$AS$231=足元帳!$AS$1)*(足元帳!$BB$2:$BB$231=4)*1000)+SUMPRODUCT((足元帳!$K$2:$K$231=B21)*(足元帳!$AS$2:$AS$231=足元帳!$AS$1)*(足元帳!$BB$2:$BB$231=5)*1000)+SUMPRODUCT((足元帳!$K$2:$K$231=B21)*(足元帳!$AS$2:$AS$231=足元帳!$AS$1)*(足元帳!$BB$2:$BB$231=6)*300)</f>
        <v>0</v>
      </c>
      <c r="Q21" s="232">
        <f>SUMPRODUCT((足元帳!$K$2:$K$231=B21)*(足元帳!$BQ$2:$BV$231=Q$20))</f>
        <v>0</v>
      </c>
      <c r="R21" s="232">
        <f>SUMPRODUCT((足元帳!$K$2:$K$231=B21)*(足元帳!$BQ$2:$BV$231=R$20))</f>
        <v>0</v>
      </c>
      <c r="S21" s="232">
        <f>SUMPRODUCT((足元帳!$K$2:$K$231=B21)*(足元帳!$BQ$2:$BV$231=S$20))</f>
        <v>0</v>
      </c>
      <c r="T21" s="232">
        <f>SUMPRODUCT((足元帳!$K$2:$K$231=B21)*(足元帳!$BQ$2:$BV$231=T$20))</f>
        <v>0</v>
      </c>
      <c r="U21" s="232">
        <f>SUMPRODUCT((足元帳!$K$2:$K$231=B21)*(足元帳!$BK$2:$BK$231=3000)*3000)+SUMPRODUCT((足元帳!$K$2:$K$231=B21)*(足元帳!$BK$2:$BK$231=4000)*4000)+SUMPRODUCT((足元帳!$K$2:$K$231=B21)*(足元帳!$BK$2:$BK$231=5000)*5000)+SUMPRODUCT((足元帳!$K$2:$K$231=B21)*(足元帳!$BK$2:$BK$231=6000)*6000)</f>
        <v>0</v>
      </c>
      <c r="V21" s="232"/>
      <c r="W21" s="255"/>
      <c r="X21" s="233">
        <f t="shared" ref="X21:X62" si="2">D21*C$12+F21*E$12+H21*G$12+J21*I$12+L21*K$12+N21*M$12+O21+P21</f>
        <v>0</v>
      </c>
      <c r="Y21" s="233">
        <f t="shared" ref="Y21:Y62" si="3">Q21*Q$11+R21*R$11+S21*S$11+T21*T$11-U21</f>
        <v>0</v>
      </c>
      <c r="Z21" s="236">
        <f>C21*C$11+E21*E$11+G21*G$11+I21*I$11+K21*K$11+M21*M$11+X21+Y21
+IF(管理シート!$BQ$4 &lt;&gt; "ON",0,SUMPRODUCT((足元帳!$K$2:$K$231=B21)*(足元帳!$BB$2:$BB$231=4)*(足元帳!$AZ$2:$AZ$231&gt;=3)*(足元帳!$AP$2:$AP$231&lt;&gt;""))*管理シート!$BP$4)+
IF(管理シート!$BQ$5 &lt;&gt; "ON",0,SUMPRODUCT((足元帳!$K$2:$K$231=B21)*(足元帳!$BB$2:$BB$231=5)*(足元帳!$AZ$2:$AZ$231&gt;=3)*(足元帳!$AP$2:$AP$231&lt;&gt;""))*管理シート!$BP$5)</f>
        <v>0</v>
      </c>
      <c r="AA21" s="233">
        <f t="shared" ref="AA21:AA62" si="4">C21*C$13+E21*E$13+G21*G$13+I21*I$13+K21*K$13+M21*M$13+U21</f>
        <v>0</v>
      </c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237"/>
      <c r="AQ21" s="237"/>
      <c r="AR21" s="237"/>
      <c r="AS21" s="237"/>
      <c r="AT21" s="237"/>
      <c r="AU21" s="237"/>
      <c r="AV21" s="237"/>
      <c r="AW21" s="237"/>
      <c r="AX21" s="237"/>
      <c r="AY21" s="238">
        <f t="shared" ref="AY21:AY62" si="5">Z21-AA21</f>
        <v>0</v>
      </c>
      <c r="AZ21" s="4"/>
      <c r="BA21" s="5"/>
      <c r="BB21" s="6" t="str">
        <f t="shared" ref="BB21:BB62" si="6">IF(AZ21="","",AY21)</f>
        <v/>
      </c>
      <c r="BC21" s="7" t="str">
        <f>管理シート!CB4</f>
        <v>入無</v>
      </c>
      <c r="BD21" s="23">
        <f>SUMPRODUCT((足元帳!$BB$2:$BB$231=1)*(足元帳!$BJ$2:$BJ$231=1))</f>
        <v>0</v>
      </c>
      <c r="BE21" s="23">
        <f>SUMPRODUCT((足元帳!$BB$2:$BB$231=2)*(足元帳!$BJ$2:$BJ$231=1))</f>
        <v>0</v>
      </c>
      <c r="BF21" s="23">
        <f>SUMPRODUCT((足元帳!$BB$2:$BB$231=3)*(足元帳!$BJ$2:$BJ$231=1))</f>
        <v>0</v>
      </c>
      <c r="BG21" s="23">
        <f>SUMPRODUCT((足元帳!$BB$2:$BB$231=4)*(足元帳!$BJ$2:$BJ$231=1))</f>
        <v>0</v>
      </c>
      <c r="BH21" s="23">
        <f>SUMPRODUCT((足元帳!$BB$2:$BB$231=5)*(足元帳!$BJ$2:$BJ$231=1))</f>
        <v>0</v>
      </c>
      <c r="BI21" s="23">
        <f>SUMPRODUCT((足元帳!$BB$2:$BB$231=6)*(足元帳!$BJ$2:$BJ$231=1))</f>
        <v>0</v>
      </c>
      <c r="BJ21" s="79">
        <f>SUMPRODUCT((足元帳!$BB$2:$BB$231=7)*(足元帳!$BJ$2:$BJ$231=1))</f>
        <v>0</v>
      </c>
      <c r="BK21" s="298">
        <f>SUM(BD21:BJ21)</f>
        <v>0</v>
      </c>
      <c r="BL21" s="7" t="str">
        <f>管理シート!CB4</f>
        <v>入無</v>
      </c>
      <c r="BM21" s="45">
        <v>8000</v>
      </c>
      <c r="BN21" s="45">
        <v>10500</v>
      </c>
      <c r="BO21" s="45">
        <v>13000</v>
      </c>
      <c r="BP21" s="45">
        <v>15500</v>
      </c>
      <c r="BQ21" s="45">
        <v>21000</v>
      </c>
      <c r="BR21" s="45"/>
      <c r="BS21" s="46"/>
      <c r="BT21" s="1">
        <f>BM21*BD21+BN21*BE21+BO21*BF21+BP21*BG21+BQ21*BH21+BR21*BI21+BS21*BJ21</f>
        <v>0</v>
      </c>
      <c r="BW21" s="28"/>
      <c r="BX21" s="28"/>
      <c r="BY21" s="254"/>
      <c r="BZ21" s="7" t="str">
        <f>BL21</f>
        <v>入無</v>
      </c>
      <c r="CA21" s="45">
        <f>SUMPRODUCT((足元帳!$BB$2:$BB$231=1)*(足元帳!$BJ$2:$BJ$231=1)*(足元帳!$AL$2:$AL$231="●"))</f>
        <v>0</v>
      </c>
      <c r="CB21" s="45">
        <f>SUMPRODUCT((足元帳!$BB$2:$BB$231=2)*(足元帳!$BJ$2:$BJ$231=1)*(足元帳!$AL$2:$AL$231="●"))</f>
        <v>0</v>
      </c>
      <c r="CC21" s="45">
        <f>SUMPRODUCT((足元帳!$BB$2:$BB$231=3)*(足元帳!$BJ$2:$BJ$231=1)*(足元帳!$AL$2:$AL$231="●"))</f>
        <v>0</v>
      </c>
      <c r="CD21" s="45">
        <f>SUMPRODUCT((足元帳!$BB$2:$BB$231=4)*(足元帳!$BJ$2:$BJ$231=1)*(足元帳!$AL$2:$AL$231="●"))</f>
        <v>0</v>
      </c>
      <c r="CE21" s="8">
        <f>SUMPRODUCT((足元帳!$BB$2:$BB$231=5)*(足元帳!$BJ$2:$BJ$231=1)*(足元帳!$AL$2:$AL$231="●"))</f>
        <v>0</v>
      </c>
      <c r="CF21" s="45">
        <f>SUMPRODUCT((足元帳!$BB$2:$BB$231=6)*(足元帳!$BJ$2:$BJ$231=1)*(足元帳!$AL$2:$AL$231="●"))</f>
        <v>0</v>
      </c>
      <c r="CG21" s="46">
        <f>SUMPRODUCT((足元帳!$BB$2:$BB$231=7)*(足元帳!$BJ$2:$BJ$231=1)*(足元帳!$AL$2:$AL$231="●"))</f>
        <v>0</v>
      </c>
      <c r="CH21" s="1">
        <f t="shared" ref="CH21:CH29" si="7">CA21*BM21+CB21*BN21+CC21*BO21+CD21*BP21+CE21*BQ21+CF21*BR21+CG21*BS21</f>
        <v>0</v>
      </c>
    </row>
    <row r="22" spans="1:87" ht="33.75" customHeight="1">
      <c r="A22" s="47">
        <v>2</v>
      </c>
      <c r="B22" s="10"/>
      <c r="C22" s="20">
        <f>SUMPRODUCT((足元帳!$K$2:$K$231=B22)*(足元帳!$BB$2:$BB$231=1))</f>
        <v>0</v>
      </c>
      <c r="D22" s="21">
        <f>SUMPRODUCT((足元帳!$K$2:$K$231=B22)*(足元帳!$BB$2:$BB$231=1)*(足元帳!$AZ$2:$AZ$231&lt;=2))</f>
        <v>0</v>
      </c>
      <c r="E22" s="20">
        <f>SUMPRODUCT((足元帳!$K$2:$K$231=B22)*(足元帳!$BB$2:$BB$231=2))</f>
        <v>0</v>
      </c>
      <c r="F22" s="22">
        <f>SUMPRODUCT((足元帳!$K$2:$K$231=B22)*(足元帳!$BB$2:$BB$231=2)*(足元帳!$AZ$2:$AZ$231&lt;=2))</f>
        <v>0</v>
      </c>
      <c r="G22" s="20">
        <f>SUMPRODUCT((足元帳!$K$2:$K$231=B22)*(足元帳!$BB$2:$BB$231=3))</f>
        <v>0</v>
      </c>
      <c r="H22" s="22">
        <f>SUMPRODUCT((足元帳!$K$2:$K$231=B22)*(足元帳!$BB$2:$BB$231=3)*(足元帳!$AZ$2:$AZ$231&lt;=2))</f>
        <v>0</v>
      </c>
      <c r="I22" s="20">
        <f>SUMPRODUCT((足元帳!$K$2:$K$231=B22)*(足元帳!$BB$2:$BB$231=4))</f>
        <v>0</v>
      </c>
      <c r="J22" s="22">
        <f>SUMPRODUCT((足元帳!$K$2:$K$231=B22)*(足元帳!$BB$2:$BB$231=4)*(足元帳!$AZ$2:$AZ$231&lt;=2))</f>
        <v>0</v>
      </c>
      <c r="K22" s="20">
        <f>SUMPRODUCT((足元帳!$K$2:$K$231=B22)*(足元帳!$BB$2:$BB$231=5))</f>
        <v>0</v>
      </c>
      <c r="L22" s="22">
        <f>SUMPRODUCT((足元帳!$K$2:$K$231=B22)*(足元帳!$BB$2:$BB$231=5)*(足元帳!$AZ$2:$AZ$231&lt;=2))</f>
        <v>0</v>
      </c>
      <c r="M22" s="20">
        <f>SUMPRODUCT((足元帳!$K$2:$K$231=B22)*(足元帳!$BB$2:$BB$231=6))</f>
        <v>0</v>
      </c>
      <c r="N22" s="20">
        <f>SUMPRODUCT((足元帳!$K$2:$K$231=B22)*(足元帳!$BB$2:$BB$231=6)*(足元帳!$AZ$2:$AZ$231&lt;=2))</f>
        <v>0</v>
      </c>
      <c r="O22" s="20"/>
      <c r="P22" s="20">
        <f>SUMPRODUCT((足元帳!$K$2:$K$231=B22)*(足元帳!$AS$2:$AS$231=足元帳!$AS$1)*(足元帳!$BB$2:$BB$231=1)*500)+SUMPRODUCT((足元帳!$K$2:$K$231=B22)*(足元帳!$AS$2:$AS$231=足元帳!$AS$1)*(足元帳!$BB$2:$BB$231=2)*500)+SUMPRODUCT((足元帳!$K$2:$K$231=B22)*(足元帳!$AS$2:$AS$231=足元帳!$AS$1)*(足元帳!$BB$2:$BB$231=3)*500)+SUMPRODUCT((足元帳!$K$2:$K$231=B22)*(足元帳!$AS$2:$AS$231=足元帳!$AS$1)*(足元帳!$BB$2:$BB$231=4)*1000)+SUMPRODUCT((足元帳!$K$2:$K$231=B22)*(足元帳!$AS$2:$AS$231=足元帳!$AS$1)*(足元帳!$BB$2:$BB$231=5)*1000)+SUMPRODUCT((足元帳!$K$2:$K$231=B22)*(足元帳!$AS$2:$AS$231=足元帳!$AS$1)*(足元帳!$BB$2:$BB$231=6)*300)</f>
        <v>0</v>
      </c>
      <c r="Q22" s="20">
        <f>SUMPRODUCT((足元帳!$K$2:$K$231=B22)*(足元帳!$BQ$2:$BV$231=Q$20))</f>
        <v>0</v>
      </c>
      <c r="R22" s="20">
        <f>SUMPRODUCT((足元帳!$K$2:$K$231=B22)*(足元帳!$BQ$2:$BV$231=R$20))</f>
        <v>0</v>
      </c>
      <c r="S22" s="20">
        <f>SUMPRODUCT((足元帳!$K$2:$K$231=B22)*(足元帳!$BQ$2:$BV$231=S$20))</f>
        <v>0</v>
      </c>
      <c r="T22" s="20">
        <f>SUMPRODUCT((足元帳!$K$2:$K$231=B22)*(足元帳!$BQ$2:$BV$231=T$20))</f>
        <v>0</v>
      </c>
      <c r="U22" s="20">
        <f>SUMPRODUCT((足元帳!$K$2:$K$231=B22)*(足元帳!$BK$2:$BK$231=3000)*3000)+SUMPRODUCT((足元帳!$K$2:$K$231=B22)*(足元帳!$BK$2:$BK$231=4000)*4000)+SUMPRODUCT((足元帳!$K$2:$K$231=B22)*(足元帳!$BK$2:$BK$231=5000)*5000)+SUMPRODUCT((足元帳!$K$2:$K$231=B22)*(足元帳!$BK$2:$BK$231=6000)*6000)</f>
        <v>0</v>
      </c>
      <c r="V22" s="20"/>
      <c r="W22" s="256"/>
      <c r="X22" s="131">
        <f t="shared" si="2"/>
        <v>0</v>
      </c>
      <c r="Y22" s="131">
        <f t="shared" si="3"/>
        <v>0</v>
      </c>
      <c r="Z22" s="132">
        <f>C22*C$11+E22*E$11+G22*G$11+I22*I$11+K22*K$11+M22*M$11+X22+Y22
+IF(管理シート!$BQ$4 &lt;&gt; "ON",0,SUMPRODUCT((足元帳!$K$2:$K$231=B22)*(足元帳!$BB$2:$BB$231=4)*(足元帳!$AZ$2:$AZ$231&gt;=3)*(足元帳!$AP$2:$AP$231&lt;&gt;""))*管理シート!$BP$4)+
IF(管理シート!$BQ$5 &lt;&gt; "ON",0,SUMPRODUCT((足元帳!$K$2:$K$231=B22)*(足元帳!$BB$2:$BB$231=5)*(足元帳!$AZ$2:$AZ$231&gt;=3)*(足元帳!$AP$2:$AP$231&lt;&gt;""))*管理シート!$BP$5)</f>
        <v>0</v>
      </c>
      <c r="AA22" s="131">
        <f t="shared" si="4"/>
        <v>0</v>
      </c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4">
        <f t="shared" si="5"/>
        <v>0</v>
      </c>
      <c r="AZ22" s="4"/>
      <c r="BA22" s="5"/>
      <c r="BB22" s="6" t="str">
        <f t="shared" si="6"/>
        <v/>
      </c>
      <c r="BC22" s="7" t="str">
        <f>管理シート!CB5</f>
        <v>新人割</v>
      </c>
      <c r="BD22" s="23">
        <f>SUMPRODUCT((足元帳!$BB$2:$BB$231=1)*(足元帳!$BJ$2:$BJ$231=2))</f>
        <v>0</v>
      </c>
      <c r="BE22" s="23">
        <f>SUMPRODUCT((足元帳!$BB$2:$BB$231=2)*(足元帳!$BJ$2:$BJ$231=2))</f>
        <v>0</v>
      </c>
      <c r="BF22" s="23">
        <f>SUMPRODUCT((足元帳!$BB$2:$BB$231=3)*(足元帳!$BJ$2:$BJ$231=2))</f>
        <v>0</v>
      </c>
      <c r="BG22" s="23">
        <f>SUMPRODUCT((足元帳!$BB$2:$BB$231=4)*(足元帳!$BJ$2:$BJ$231=2))</f>
        <v>0</v>
      </c>
      <c r="BH22" s="23">
        <f>SUMPRODUCT((足元帳!$BB$2:$BB$231=5)*(足元帳!$BJ$2:$BJ$231=2))</f>
        <v>0</v>
      </c>
      <c r="BI22" s="23">
        <f>SUMPRODUCT((足元帳!$BB$2:$BB$231=6)*(足元帳!$BJ$2:$BJ$231=2))</f>
        <v>0</v>
      </c>
      <c r="BJ22" s="79">
        <f>SUMPRODUCT((足元帳!$BB$2:$BB$231=7)*(足元帳!$BJ$2:$BJ$231=2))</f>
        <v>0</v>
      </c>
      <c r="BK22" s="298">
        <f t="shared" ref="BK22:BK34" si="8">SUM(BD22:BJ22)</f>
        <v>0</v>
      </c>
      <c r="BL22" s="7" t="str">
        <f>管理シート!CB5</f>
        <v>新人割</v>
      </c>
      <c r="BM22" s="45">
        <v>4000</v>
      </c>
      <c r="BN22" s="45">
        <v>5000</v>
      </c>
      <c r="BO22" s="45">
        <v>6000</v>
      </c>
      <c r="BP22" s="45">
        <v>7000</v>
      </c>
      <c r="BQ22" s="45">
        <v>9000</v>
      </c>
      <c r="BR22" s="45"/>
      <c r="BS22" s="46"/>
      <c r="BT22" s="1">
        <f>BM22*BD22+BN22*BE22+BO22*BF22+BP22*BG22+BQ22*BH22+BR22*BI22+BS22*BJ22</f>
        <v>0</v>
      </c>
      <c r="BW22" s="28"/>
      <c r="BX22" s="28"/>
      <c r="BY22" s="254"/>
      <c r="BZ22" s="7" t="str">
        <f t="shared" ref="BZ22:BZ30" si="9">BL22</f>
        <v>新人割</v>
      </c>
      <c r="CA22" s="45">
        <f>SUMPRODUCT((足元帳!$BB$2:$BB$231=1)*(足元帳!$BJ$2:$BJ$231=2)*(足元帳!$AL$2:$AL$231="●"))</f>
        <v>0</v>
      </c>
      <c r="CB22" s="45">
        <f>SUMPRODUCT((足元帳!$BB$2:$BB$231=2)*(足元帳!$BJ$2:$BJ$231=2)*(足元帳!$AL$2:$AL$231="●"))</f>
        <v>0</v>
      </c>
      <c r="CC22" s="45">
        <f>SUMPRODUCT((足元帳!$BB$2:$BB$231=3)*(足元帳!$BJ$2:$BJ$231=2)*(足元帳!$AL$2:$AL$231="●"))</f>
        <v>0</v>
      </c>
      <c r="CD22" s="45">
        <f>SUMPRODUCT((足元帳!$BB$2:$BB$231=4)*(足元帳!$BJ$2:$BJ$231=2)*(足元帳!$AL$2:$AL$231="●"))</f>
        <v>0</v>
      </c>
      <c r="CE22" s="8">
        <f>SUMPRODUCT((足元帳!$BB$2:$BB$231=5)*(足元帳!$BJ$2:$BJ$231=2)*(足元帳!$AL$2:$AL$231="●"))</f>
        <v>0</v>
      </c>
      <c r="CF22" s="45">
        <f>SUMPRODUCT((足元帳!$BB$2:$BB$231=6)*(足元帳!$BJ$2:$BJ$231=2)*(足元帳!$AL$2:$AL$231="●"))</f>
        <v>0</v>
      </c>
      <c r="CG22" s="46">
        <f>SUMPRODUCT((足元帳!$BB$2:$BB$231=7)*(足元帳!$BJ$2:$BJ$231=2)*(足元帳!$AL$2:$AL$231="●"))</f>
        <v>0</v>
      </c>
      <c r="CH22" s="1">
        <f t="shared" si="7"/>
        <v>0</v>
      </c>
    </row>
    <row r="23" spans="1:87" ht="33.75" customHeight="1">
      <c r="A23" s="47">
        <v>3</v>
      </c>
      <c r="B23" s="10"/>
      <c r="C23" s="20">
        <f>SUMPRODUCT((足元帳!$K$2:$K$231=B23)*(足元帳!$BB$2:$BB$231=1))</f>
        <v>0</v>
      </c>
      <c r="D23" s="21">
        <f>SUMPRODUCT((足元帳!$K$2:$K$231=B23)*(足元帳!$BB$2:$BB$231=1)*(足元帳!$AZ$2:$AZ$231&lt;=2))</f>
        <v>0</v>
      </c>
      <c r="E23" s="20">
        <f>SUMPRODUCT((足元帳!$K$2:$K$231=B23)*(足元帳!$BB$2:$BB$231=2))</f>
        <v>0</v>
      </c>
      <c r="F23" s="22">
        <f>SUMPRODUCT((足元帳!$K$2:$K$231=B23)*(足元帳!$BB$2:$BB$231=2)*(足元帳!$AZ$2:$AZ$231&lt;=2))</f>
        <v>0</v>
      </c>
      <c r="G23" s="20">
        <f>SUMPRODUCT((足元帳!$K$2:$K$231=B23)*(足元帳!$BB$2:$BB$231=3))</f>
        <v>0</v>
      </c>
      <c r="H23" s="22">
        <f>SUMPRODUCT((足元帳!$K$2:$K$231=B23)*(足元帳!$BB$2:$BB$231=3)*(足元帳!$AZ$2:$AZ$231&lt;=2))</f>
        <v>0</v>
      </c>
      <c r="I23" s="20">
        <f>SUMPRODUCT((足元帳!$K$2:$K$231=B23)*(足元帳!$BB$2:$BB$231=4))</f>
        <v>0</v>
      </c>
      <c r="J23" s="22">
        <f>SUMPRODUCT((足元帳!$K$2:$K$231=B23)*(足元帳!$BB$2:$BB$231=4)*(足元帳!$AZ$2:$AZ$231&lt;=2))</f>
        <v>0</v>
      </c>
      <c r="K23" s="20">
        <f>SUMPRODUCT((足元帳!$K$2:$K$231=B23)*(足元帳!$BB$2:$BB$231=5))</f>
        <v>0</v>
      </c>
      <c r="L23" s="22">
        <f>SUMPRODUCT((足元帳!$K$2:$K$231=B23)*(足元帳!$BB$2:$BB$231=5)*(足元帳!$AZ$2:$AZ$231&lt;=2))</f>
        <v>0</v>
      </c>
      <c r="M23" s="20">
        <f>SUMPRODUCT((足元帳!$K$2:$K$231=B23)*(足元帳!$BB$2:$BB$231=6))</f>
        <v>0</v>
      </c>
      <c r="N23" s="20">
        <f>SUMPRODUCT((足元帳!$K$2:$K$231=B23)*(足元帳!$BB$2:$BB$231=6)*(足元帳!$AZ$2:$AZ$231&lt;=2))</f>
        <v>0</v>
      </c>
      <c r="O23" s="20"/>
      <c r="P23" s="20">
        <f>SUMPRODUCT((足元帳!$K$2:$K$231=B23)*(足元帳!$AS$2:$AS$231=足元帳!$AS$1)*(足元帳!$BB$2:$BB$231=1)*500)+SUMPRODUCT((足元帳!$K$2:$K$231=B23)*(足元帳!$AS$2:$AS$231=足元帳!$AS$1)*(足元帳!$BB$2:$BB$231=2)*500)+SUMPRODUCT((足元帳!$K$2:$K$231=B23)*(足元帳!$AS$2:$AS$231=足元帳!$AS$1)*(足元帳!$BB$2:$BB$231=3)*500)+SUMPRODUCT((足元帳!$K$2:$K$231=B23)*(足元帳!$AS$2:$AS$231=足元帳!$AS$1)*(足元帳!$BB$2:$BB$231=4)*1000)+SUMPRODUCT((足元帳!$K$2:$K$231=B23)*(足元帳!$AS$2:$AS$231=足元帳!$AS$1)*(足元帳!$BB$2:$BB$231=5)*1000)+SUMPRODUCT((足元帳!$K$2:$K$231=B23)*(足元帳!$AS$2:$AS$231=足元帳!$AS$1)*(足元帳!$BB$2:$BB$231=6)*300)</f>
        <v>0</v>
      </c>
      <c r="Q23" s="20">
        <f>SUMPRODUCT((足元帳!$K$2:$K$231=B23)*(足元帳!$BQ$2:$BV$231=Q$20))</f>
        <v>0</v>
      </c>
      <c r="R23" s="20">
        <f>SUMPRODUCT((足元帳!$K$2:$K$231=B23)*(足元帳!$BQ$2:$BV$231=R$20))</f>
        <v>0</v>
      </c>
      <c r="S23" s="20">
        <f>SUMPRODUCT((足元帳!$K$2:$K$231=B23)*(足元帳!$BQ$2:$BV$231=S$20))</f>
        <v>0</v>
      </c>
      <c r="T23" s="20">
        <f>SUMPRODUCT((足元帳!$K$2:$K$231=B23)*(足元帳!$BQ$2:$BV$231=T$20))</f>
        <v>0</v>
      </c>
      <c r="U23" s="20">
        <f>SUMPRODUCT((足元帳!$K$2:$K$231=B23)*(足元帳!$BK$2:$BK$231=3000)*3000)+SUMPRODUCT((足元帳!$K$2:$K$231=B23)*(足元帳!$BK$2:$BK$231=4000)*4000)+SUMPRODUCT((足元帳!$K$2:$K$231=B23)*(足元帳!$BK$2:$BK$231=5000)*5000)+SUMPRODUCT((足元帳!$K$2:$K$231=B23)*(足元帳!$BK$2:$BK$231=6000)*6000)</f>
        <v>0</v>
      </c>
      <c r="V23" s="20"/>
      <c r="W23" s="256"/>
      <c r="X23" s="131">
        <f t="shared" si="2"/>
        <v>0</v>
      </c>
      <c r="Y23" s="131">
        <f t="shared" si="3"/>
        <v>0</v>
      </c>
      <c r="Z23" s="132">
        <f>C23*C$11+E23*E$11+G23*G$11+I23*I$11+K23*K$11+M23*M$11+X23+Y23
+IF(管理シート!$BQ$4 &lt;&gt; "ON",0,SUMPRODUCT((足元帳!$K$2:$K$231=B23)*(足元帳!$BB$2:$BB$231=4)*(足元帳!$AZ$2:$AZ$231&gt;=3)*(足元帳!$AP$2:$AP$231&lt;&gt;""))*管理シート!$BP$4)+
IF(管理シート!$BQ$5 &lt;&gt; "ON",0,SUMPRODUCT((足元帳!$K$2:$K$231=B23)*(足元帳!$BB$2:$BB$231=5)*(足元帳!$AZ$2:$AZ$231&gt;=3)*(足元帳!$AP$2:$AP$231&lt;&gt;""))*管理シート!$BP$5)</f>
        <v>0</v>
      </c>
      <c r="AA23" s="131">
        <f t="shared" si="4"/>
        <v>0</v>
      </c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4">
        <f t="shared" si="5"/>
        <v>0</v>
      </c>
      <c r="AZ23" s="4"/>
      <c r="BA23" s="4"/>
      <c r="BB23" s="6" t="str">
        <f t="shared" si="6"/>
        <v/>
      </c>
      <c r="BC23" s="7" t="str">
        <f>管理シート!CB6</f>
        <v>午前割</v>
      </c>
      <c r="BD23" s="23">
        <f>SUMPRODUCT((足元帳!$BB$2:$BB$231=1)*(足元帳!$BJ$2:$BJ$231=3))</f>
        <v>0</v>
      </c>
      <c r="BE23" s="23">
        <f>SUMPRODUCT((足元帳!$BB$2:$BB$231=2)*(足元帳!$BJ$2:$BJ$231=3))</f>
        <v>0</v>
      </c>
      <c r="BF23" s="23">
        <f>SUMPRODUCT((足元帳!$BB$2:$BB$231=3)*(足元帳!$BJ$2:$BJ$231=3))</f>
        <v>0</v>
      </c>
      <c r="BG23" s="23">
        <f>SUMPRODUCT((足元帳!$BB$2:$BB$231=4)*(足元帳!$BJ$2:$BJ$231=3))</f>
        <v>0</v>
      </c>
      <c r="BH23" s="23">
        <f>SUMPRODUCT((足元帳!$BB$2:$BB$231=5)*(足元帳!$BJ$2:$BJ$231=3))</f>
        <v>0</v>
      </c>
      <c r="BI23" s="23">
        <f>SUMPRODUCT((足元帳!$BB$2:$BB$231=6)*(足元帳!$BJ$2:$BJ$231=3))</f>
        <v>0</v>
      </c>
      <c r="BJ23" s="79">
        <f>SUMPRODUCT((足元帳!$BB$2:$BB$231=7)*(足元帳!$BJ$2:$BJ$231=3))</f>
        <v>0</v>
      </c>
      <c r="BK23" s="298">
        <f>SUM(BD23:BJ23)</f>
        <v>0</v>
      </c>
      <c r="BL23" s="7" t="str">
        <f>管理シート!CB6</f>
        <v>午前割</v>
      </c>
      <c r="BM23" s="45"/>
      <c r="BN23" s="45">
        <v>5000</v>
      </c>
      <c r="BO23" s="45">
        <v>6000</v>
      </c>
      <c r="BP23" s="45">
        <v>7000</v>
      </c>
      <c r="BQ23" s="45">
        <v>9000</v>
      </c>
      <c r="BR23" s="45"/>
      <c r="BS23" s="46"/>
      <c r="BT23" s="1">
        <f>BM23*BD23+BN23*BE23+BO23*BF23+BP23*BG23+BQ23*BH23+BR23*BI23+BS23*BJ23</f>
        <v>0</v>
      </c>
      <c r="BW23" s="28"/>
      <c r="BX23" s="28"/>
      <c r="BY23" s="254"/>
      <c r="BZ23" s="7" t="str">
        <f t="shared" si="9"/>
        <v>午前割</v>
      </c>
      <c r="CA23" s="45">
        <f>SUMPRODUCT((足元帳!$BB$2:$BB$231=1)*(足元帳!$BJ$2:$BJ$231=3)*(足元帳!$AL$2:$AL$231="●"))</f>
        <v>0</v>
      </c>
      <c r="CB23" s="45">
        <f>SUMPRODUCT((足元帳!$BB$2:$BB$231=2)*(足元帳!$BJ$2:$BJ$231=3)*(足元帳!$AL$2:$AL$231="●"))</f>
        <v>0</v>
      </c>
      <c r="CC23" s="45">
        <f>SUMPRODUCT((足元帳!$BB$2:$BB$231=3)*(足元帳!$BJ$2:$BJ$231=3)*(足元帳!$AL$2:$AL$231="●"))</f>
        <v>0</v>
      </c>
      <c r="CD23" s="45">
        <f>SUMPRODUCT((足元帳!$BB$2:$BB$231=4)*(足元帳!$BJ$2:$BJ$231=3)*(足元帳!$AL$2:$AL$231="●"))</f>
        <v>0</v>
      </c>
      <c r="CE23" s="8">
        <f>SUMPRODUCT((足元帳!$BB$2:$BB$231=5)*(足元帳!$BJ$2:$BJ$231=3)*(足元帳!$AL$2:$AL$231="●"))</f>
        <v>0</v>
      </c>
      <c r="CF23" s="45">
        <f>SUMPRODUCT((足元帳!$BB$2:$BB$231=6)*(足元帳!$BJ$2:$BJ$231=3)*(足元帳!$AL$2:$AL$231="●"))</f>
        <v>0</v>
      </c>
      <c r="CG23" s="46">
        <f>SUMPRODUCT((足元帳!$BB$2:$BB$231=7)*(足元帳!$BJ$2:$BJ$231=3)*(足元帳!$AL$2:$AL$231="●"))</f>
        <v>0</v>
      </c>
      <c r="CH23" s="1">
        <f>CA23*BM23+CB23*BN23+CC23*BO23+CD23*BP23+CE23*BQ23+CF23*BR23+CG23*BS23</f>
        <v>0</v>
      </c>
    </row>
    <row r="24" spans="1:87" ht="33.75" customHeight="1">
      <c r="A24" s="47">
        <v>4</v>
      </c>
      <c r="B24" s="10"/>
      <c r="C24" s="20">
        <f>SUMPRODUCT((足元帳!$K$2:$K$231=B24)*(足元帳!$BB$2:$BB$231=1))</f>
        <v>0</v>
      </c>
      <c r="D24" s="21">
        <f>SUMPRODUCT((足元帳!$K$2:$K$231=B24)*(足元帳!$BB$2:$BB$231=1)*(足元帳!$AZ$2:$AZ$231&lt;=2))</f>
        <v>0</v>
      </c>
      <c r="E24" s="20">
        <f>SUMPRODUCT((足元帳!$K$2:$K$231=B24)*(足元帳!$BB$2:$BB$231=2))</f>
        <v>0</v>
      </c>
      <c r="F24" s="22">
        <f>SUMPRODUCT((足元帳!$K$2:$K$231=B24)*(足元帳!$BB$2:$BB$231=2)*(足元帳!$AZ$2:$AZ$231&lt;=2))</f>
        <v>0</v>
      </c>
      <c r="G24" s="20">
        <f>SUMPRODUCT((足元帳!$K$2:$K$231=B24)*(足元帳!$BB$2:$BB$231=3))</f>
        <v>0</v>
      </c>
      <c r="H24" s="22">
        <f>SUMPRODUCT((足元帳!$K$2:$K$231=B24)*(足元帳!$BB$2:$BB$231=3)*(足元帳!$AZ$2:$AZ$231&lt;=2))</f>
        <v>0</v>
      </c>
      <c r="I24" s="20">
        <f>SUMPRODUCT((足元帳!$K$2:$K$231=B24)*(足元帳!$BB$2:$BB$231=4))</f>
        <v>0</v>
      </c>
      <c r="J24" s="22">
        <f>SUMPRODUCT((足元帳!$K$2:$K$231=B24)*(足元帳!$BB$2:$BB$231=4)*(足元帳!$AZ$2:$AZ$231&lt;=2))</f>
        <v>0</v>
      </c>
      <c r="K24" s="20">
        <f>SUMPRODUCT((足元帳!$K$2:$K$231=B24)*(足元帳!$BB$2:$BB$231=5))</f>
        <v>0</v>
      </c>
      <c r="L24" s="22">
        <f>SUMPRODUCT((足元帳!$K$2:$K$231=B24)*(足元帳!$BB$2:$BB$231=5)*(足元帳!$AZ$2:$AZ$231&lt;=2))</f>
        <v>0</v>
      </c>
      <c r="M24" s="20">
        <f>SUMPRODUCT((足元帳!$K$2:$K$231=B24)*(足元帳!$BB$2:$BB$231=6))</f>
        <v>0</v>
      </c>
      <c r="N24" s="20">
        <f>SUMPRODUCT((足元帳!$K$2:$K$231=B24)*(足元帳!$BB$2:$BB$231=6)*(足元帳!$AZ$2:$AZ$231&lt;=2))</f>
        <v>0</v>
      </c>
      <c r="O24" s="20"/>
      <c r="P24" s="20">
        <f>SUMPRODUCT((足元帳!$K$2:$K$231=B24)*(足元帳!$AS$2:$AS$231=足元帳!$AS$1)*(足元帳!$BB$2:$BB$231=1)*500)+SUMPRODUCT((足元帳!$K$2:$K$231=B24)*(足元帳!$AS$2:$AS$231=足元帳!$AS$1)*(足元帳!$BB$2:$BB$231=2)*500)+SUMPRODUCT((足元帳!$K$2:$K$231=B24)*(足元帳!$AS$2:$AS$231=足元帳!$AS$1)*(足元帳!$BB$2:$BB$231=3)*500)+SUMPRODUCT((足元帳!$K$2:$K$231=B24)*(足元帳!$AS$2:$AS$231=足元帳!$AS$1)*(足元帳!$BB$2:$BB$231=4)*1000)+SUMPRODUCT((足元帳!$K$2:$K$231=B24)*(足元帳!$AS$2:$AS$231=足元帳!$AS$1)*(足元帳!$BB$2:$BB$231=5)*1000)+SUMPRODUCT((足元帳!$K$2:$K$231=B24)*(足元帳!$AS$2:$AS$231=足元帳!$AS$1)*(足元帳!$BB$2:$BB$231=6)*300)</f>
        <v>0</v>
      </c>
      <c r="Q24" s="20">
        <f>SUMPRODUCT((足元帳!$K$2:$K$231=B24)*(足元帳!$BQ$2:$BV$231=Q$20))</f>
        <v>0</v>
      </c>
      <c r="R24" s="20">
        <f>SUMPRODUCT((足元帳!$K$2:$K$231=B24)*(足元帳!$BQ$2:$BV$231=R$20))</f>
        <v>0</v>
      </c>
      <c r="S24" s="20">
        <f>SUMPRODUCT((足元帳!$K$2:$K$231=B24)*(足元帳!$BQ$2:$BV$231=S$20))</f>
        <v>0</v>
      </c>
      <c r="T24" s="20">
        <f>SUMPRODUCT((足元帳!$K$2:$K$231=B24)*(足元帳!$BQ$2:$BV$231=T$20))</f>
        <v>0</v>
      </c>
      <c r="U24" s="20">
        <f>SUMPRODUCT((足元帳!$K$2:$K$231=B24)*(足元帳!$BK$2:$BK$231=3000)*3000)+SUMPRODUCT((足元帳!$K$2:$K$231=B24)*(足元帳!$BK$2:$BK$231=4000)*4000)+SUMPRODUCT((足元帳!$K$2:$K$231=B24)*(足元帳!$BK$2:$BK$231=5000)*5000)+SUMPRODUCT((足元帳!$K$2:$K$231=B24)*(足元帳!$BK$2:$BK$231=6000)*6000)</f>
        <v>0</v>
      </c>
      <c r="V24" s="20"/>
      <c r="W24" s="256"/>
      <c r="X24" s="131">
        <f t="shared" si="2"/>
        <v>0</v>
      </c>
      <c r="Y24" s="131">
        <f t="shared" si="3"/>
        <v>0</v>
      </c>
      <c r="Z24" s="132">
        <f>C24*C$11+E24*E$11+G24*G$11+I24*I$11+K24*K$11+M24*M$11+X24+Y24
+IF(管理シート!$BQ$4 &lt;&gt; "ON",0,SUMPRODUCT((足元帳!$K$2:$K$231=B24)*(足元帳!$BB$2:$BB$231=4)*(足元帳!$AZ$2:$AZ$231&gt;=3)*(足元帳!$AP$2:$AP$231&lt;&gt;""))*管理シート!$BP$4)+
IF(管理シート!$BQ$5 &lt;&gt; "ON",0,SUMPRODUCT((足元帳!$K$2:$K$231=B24)*(足元帳!$BB$2:$BB$231=5)*(足元帳!$AZ$2:$AZ$231&gt;=3)*(足元帳!$AP$2:$AP$231&lt;&gt;""))*管理シート!$BP$5)</f>
        <v>0</v>
      </c>
      <c r="AA24" s="131">
        <f t="shared" si="4"/>
        <v>0</v>
      </c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4">
        <f t="shared" si="5"/>
        <v>0</v>
      </c>
      <c r="AZ24" s="4"/>
      <c r="BA24" s="4"/>
      <c r="BB24" s="6" t="str">
        <f t="shared" si="6"/>
        <v/>
      </c>
      <c r="BC24" s="7" t="str">
        <f>管理シート!CB7</f>
        <v>知割</v>
      </c>
      <c r="BD24" s="23">
        <f>SUMPRODUCT((足元帳!$BB$2:$BB$231=1)*(足元帳!$BJ$2:$BJ$231=4))</f>
        <v>0</v>
      </c>
      <c r="BE24" s="23">
        <f>SUMPRODUCT((足元帳!$BB$2:$BB$231=2)*(足元帳!$BJ$2:$BJ$231=4))</f>
        <v>0</v>
      </c>
      <c r="BF24" s="23">
        <f>SUMPRODUCT((足元帳!$BB$2:$BB$231=3)*(足元帳!$BJ$2:$BJ$231=4))</f>
        <v>0</v>
      </c>
      <c r="BG24" s="23">
        <f>SUMPRODUCT((足元帳!$BB$2:$BB$231=4)*(足元帳!$BJ$2:$BJ$231=4))</f>
        <v>0</v>
      </c>
      <c r="BH24" s="23">
        <f>SUMPRODUCT((足元帳!$BB$2:$BB$231=5)*(足元帳!$BJ$2:$BJ$231=4))</f>
        <v>0</v>
      </c>
      <c r="BI24" s="23">
        <f>SUMPRODUCT((足元帳!$BB$2:$BB$231=6)*(足元帳!$BJ$2:$BJ$231=4))</f>
        <v>0</v>
      </c>
      <c r="BJ24" s="79">
        <f>SUMPRODUCT((足元帳!$BB$2:$BB$231=7)*(足元帳!$BJ$2:$BJ$231=4))</f>
        <v>0</v>
      </c>
      <c r="BK24" s="298">
        <f t="shared" si="8"/>
        <v>0</v>
      </c>
      <c r="BL24" s="7" t="str">
        <f>管理シート!CB7</f>
        <v>知割</v>
      </c>
      <c r="BM24" s="45">
        <v>3000</v>
      </c>
      <c r="BN24" s="45">
        <v>4000</v>
      </c>
      <c r="BO24" s="45">
        <v>5000</v>
      </c>
      <c r="BP24" s="45">
        <v>6000</v>
      </c>
      <c r="BQ24" s="45">
        <v>7000</v>
      </c>
      <c r="BR24" s="45"/>
      <c r="BS24" s="46"/>
      <c r="BT24" s="1">
        <f>BM24*BD24+BN24*BE24+BO24*BF24+BP24*BG24+BQ24*BH24+BR24*BI24+BS24*BJ24</f>
        <v>0</v>
      </c>
      <c r="BW24" s="28"/>
      <c r="BX24" s="28"/>
      <c r="BY24" s="254"/>
      <c r="BZ24" s="7" t="str">
        <f t="shared" si="9"/>
        <v>知割</v>
      </c>
      <c r="CA24" s="45">
        <f>SUMPRODUCT((足元帳!$BB$2:$BB$231=1)*(足元帳!$BJ$2:$BJ$231=4)*(足元帳!$AL$2:$AL$231="●"))</f>
        <v>0</v>
      </c>
      <c r="CB24" s="45">
        <f>SUMPRODUCT((足元帳!$BB$2:$BB$231=2)*(足元帳!$BJ$2:$BJ$231=4)*(足元帳!$AL$2:$AL$231="●"))</f>
        <v>0</v>
      </c>
      <c r="CC24" s="45">
        <f>SUMPRODUCT((足元帳!$BB$2:$BB$231=3)*(足元帳!$BJ$2:$BJ$231=4)*(足元帳!$AL$2:$AL$231="●"))</f>
        <v>0</v>
      </c>
      <c r="CD24" s="45">
        <f>SUMPRODUCT((足元帳!$BB$2:$BB$231=4)*(足元帳!$BJ$2:$BJ$231=4)*(足元帳!$AL$2:$AL$231="●"))</f>
        <v>0</v>
      </c>
      <c r="CE24" s="8">
        <f>SUMPRODUCT((足元帳!$BB$2:$BB$231=5)*(足元帳!$BJ$2:$BJ$231=4)*(足元帳!$AL$2:$AL$231="●"))</f>
        <v>0</v>
      </c>
      <c r="CF24" s="45">
        <f>SUMPRODUCT((足元帳!$BB$2:$BB$231=6)*(足元帳!$BJ$2:$BJ$231=4)*(足元帳!$AL$2:$AL$231="●"))</f>
        <v>0</v>
      </c>
      <c r="CG24" s="46">
        <f>SUMPRODUCT((足元帳!$BB$2:$BB$231=7)*(足元帳!$BJ$2:$BJ$231=4)*(足元帳!$AL$2:$AL$231="●"))</f>
        <v>0</v>
      </c>
      <c r="CH24" s="1">
        <f t="shared" si="7"/>
        <v>0</v>
      </c>
    </row>
    <row r="25" spans="1:87" ht="33.75" customHeight="1">
      <c r="A25" s="47">
        <v>5</v>
      </c>
      <c r="B25" s="10"/>
      <c r="C25" s="20">
        <f>SUMPRODUCT((足元帳!$K$2:$K$231=B25)*(足元帳!$BB$2:$BB$231=1))</f>
        <v>0</v>
      </c>
      <c r="D25" s="21">
        <f>SUMPRODUCT((足元帳!$K$2:$K$231=B25)*(足元帳!$BB$2:$BB$231=1)*(足元帳!$AZ$2:$AZ$231&lt;=2))</f>
        <v>0</v>
      </c>
      <c r="E25" s="20">
        <f>SUMPRODUCT((足元帳!$K$2:$K$231=B25)*(足元帳!$BB$2:$BB$231=2))</f>
        <v>0</v>
      </c>
      <c r="F25" s="22">
        <f>SUMPRODUCT((足元帳!$K$2:$K$231=B25)*(足元帳!$BB$2:$BB$231=2)*(足元帳!$AZ$2:$AZ$231&lt;=2))</f>
        <v>0</v>
      </c>
      <c r="G25" s="20">
        <f>SUMPRODUCT((足元帳!$K$2:$K$231=B25)*(足元帳!$BB$2:$BB$231=3))</f>
        <v>0</v>
      </c>
      <c r="H25" s="22">
        <f>SUMPRODUCT((足元帳!$K$2:$K$231=B25)*(足元帳!$BB$2:$BB$231=3)*(足元帳!$AZ$2:$AZ$231&lt;=2))</f>
        <v>0</v>
      </c>
      <c r="I25" s="20">
        <f>SUMPRODUCT((足元帳!$K$2:$K$231=B25)*(足元帳!$BB$2:$BB$231=4))</f>
        <v>0</v>
      </c>
      <c r="J25" s="22">
        <f>SUMPRODUCT((足元帳!$K$2:$K$231=B25)*(足元帳!$BB$2:$BB$231=4)*(足元帳!$AZ$2:$AZ$231&lt;=2))</f>
        <v>0</v>
      </c>
      <c r="K25" s="20">
        <f>SUMPRODUCT((足元帳!$K$2:$K$231=B25)*(足元帳!$BB$2:$BB$231=5))</f>
        <v>0</v>
      </c>
      <c r="L25" s="22">
        <f>SUMPRODUCT((足元帳!$K$2:$K$231=B25)*(足元帳!$BB$2:$BB$231=5)*(足元帳!$AZ$2:$AZ$231&lt;=2))</f>
        <v>0</v>
      </c>
      <c r="M25" s="20">
        <f>SUMPRODUCT((足元帳!$K$2:$K$231=B25)*(足元帳!$BB$2:$BB$231=6))</f>
        <v>0</v>
      </c>
      <c r="N25" s="20">
        <f>SUMPRODUCT((足元帳!$K$2:$K$231=B25)*(足元帳!$BB$2:$BB$231=6)*(足元帳!$AZ$2:$AZ$231&lt;=2))</f>
        <v>0</v>
      </c>
      <c r="O25" s="20"/>
      <c r="P25" s="20">
        <f>SUMPRODUCT((足元帳!$K$2:$K$231=B25)*(足元帳!$AS$2:$AS$231=足元帳!$AS$1)*(足元帳!$BB$2:$BB$231=1)*500)+SUMPRODUCT((足元帳!$K$2:$K$231=B25)*(足元帳!$AS$2:$AS$231=足元帳!$AS$1)*(足元帳!$BB$2:$BB$231=2)*500)+SUMPRODUCT((足元帳!$K$2:$K$231=B25)*(足元帳!$AS$2:$AS$231=足元帳!$AS$1)*(足元帳!$BB$2:$BB$231=3)*500)+SUMPRODUCT((足元帳!$K$2:$K$231=B25)*(足元帳!$AS$2:$AS$231=足元帳!$AS$1)*(足元帳!$BB$2:$BB$231=4)*1000)+SUMPRODUCT((足元帳!$K$2:$K$231=B25)*(足元帳!$AS$2:$AS$231=足元帳!$AS$1)*(足元帳!$BB$2:$BB$231=5)*1000)+SUMPRODUCT((足元帳!$K$2:$K$231=B25)*(足元帳!$AS$2:$AS$231=足元帳!$AS$1)*(足元帳!$BB$2:$BB$231=6)*300)</f>
        <v>0</v>
      </c>
      <c r="Q25" s="20">
        <f>SUMPRODUCT((足元帳!$K$2:$K$231=B25)*(足元帳!$BQ$2:$BV$231=Q$20))</f>
        <v>0</v>
      </c>
      <c r="R25" s="20">
        <f>SUMPRODUCT((足元帳!$K$2:$K$231=B25)*(足元帳!$BQ$2:$BV$231=R$20))</f>
        <v>0</v>
      </c>
      <c r="S25" s="20">
        <f>SUMPRODUCT((足元帳!$K$2:$K$231=B25)*(足元帳!$BQ$2:$BV$231=S$20))</f>
        <v>0</v>
      </c>
      <c r="T25" s="20">
        <f>SUMPRODUCT((足元帳!$K$2:$K$231=B25)*(足元帳!$BQ$2:$BV$231=T$20))</f>
        <v>0</v>
      </c>
      <c r="U25" s="20">
        <f>SUMPRODUCT((足元帳!$K$2:$K$231=B25)*(足元帳!$BK$2:$BK$231=3000)*3000)+SUMPRODUCT((足元帳!$K$2:$K$231=B25)*(足元帳!$BK$2:$BK$231=4000)*4000)+SUMPRODUCT((足元帳!$K$2:$K$231=B25)*(足元帳!$BK$2:$BK$231=5000)*5000)+SUMPRODUCT((足元帳!$K$2:$K$231=B25)*(足元帳!$BK$2:$BK$231=6000)*6000)</f>
        <v>0</v>
      </c>
      <c r="V25" s="20"/>
      <c r="W25" s="256"/>
      <c r="X25" s="131">
        <f t="shared" si="2"/>
        <v>0</v>
      </c>
      <c r="Y25" s="131">
        <f t="shared" si="3"/>
        <v>0</v>
      </c>
      <c r="Z25" s="132">
        <f>C25*C$11+E25*E$11+G25*G$11+I25*I$11+K25*K$11+M25*M$11+X25+Y25
+IF(管理シート!$BQ$4 &lt;&gt; "ON",0,SUMPRODUCT((足元帳!$K$2:$K$231=B25)*(足元帳!$BB$2:$BB$231=4)*(足元帳!$AZ$2:$AZ$231&gt;=3)*(足元帳!$AP$2:$AP$231&lt;&gt;""))*管理シート!$BP$4)+
IF(管理シート!$BQ$5 &lt;&gt; "ON",0,SUMPRODUCT((足元帳!$K$2:$K$231=B25)*(足元帳!$BB$2:$BB$231=5)*(足元帳!$AZ$2:$AZ$231&gt;=3)*(足元帳!$AP$2:$AP$231&lt;&gt;""))*管理シート!$BP$5)</f>
        <v>0</v>
      </c>
      <c r="AA25" s="131">
        <f t="shared" si="4"/>
        <v>0</v>
      </c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4">
        <f t="shared" si="5"/>
        <v>0</v>
      </c>
      <c r="AZ25" s="4"/>
      <c r="BA25" s="5"/>
      <c r="BB25" s="6" t="str">
        <f t="shared" si="6"/>
        <v/>
      </c>
      <c r="BC25" s="7" t="str">
        <f>管理シート!CB8</f>
        <v>超早朝割</v>
      </c>
      <c r="BD25" s="23">
        <f>SUMPRODUCT((足元帳!$BB$2:$BB$231=1)*(足元帳!$BJ$2:$BJ$231=5))</f>
        <v>0</v>
      </c>
      <c r="BE25" s="23">
        <f>SUMPRODUCT((足元帳!$BB$2:$BB$231=2)*(足元帳!$BJ$2:$BJ$231=5))</f>
        <v>0</v>
      </c>
      <c r="BF25" s="23">
        <f>SUMPRODUCT((足元帳!$BB$2:$BB$231=3)*(足元帳!$BJ$2:$BJ$231=5))</f>
        <v>0</v>
      </c>
      <c r="BG25" s="23">
        <f>SUMPRODUCT((足元帳!$BB$2:$BB$231=4)*(足元帳!$BJ$2:$BJ$231=5))</f>
        <v>0</v>
      </c>
      <c r="BH25" s="23">
        <f>SUMPRODUCT((足元帳!$BB$2:$BB$231=5)*(足元帳!$BJ$2:$BJ$231=5))</f>
        <v>0</v>
      </c>
      <c r="BI25" s="23">
        <f>SUMPRODUCT((足元帳!$BB$2:$BB$231=6)*(足元帳!$BJ$2:$BJ$231=5))</f>
        <v>0</v>
      </c>
      <c r="BJ25" s="79">
        <f>SUMPRODUCT((足元帳!$BB$2:$BB$231=7)*(足元帳!$BJ$2:$BJ$231=5))</f>
        <v>0</v>
      </c>
      <c r="BK25" s="298">
        <f t="shared" si="8"/>
        <v>0</v>
      </c>
      <c r="BL25" s="7" t="str">
        <f>管理シート!CB8</f>
        <v>超早朝割</v>
      </c>
      <c r="BM25" s="45"/>
      <c r="BN25" s="45">
        <v>7000</v>
      </c>
      <c r="BO25" s="45">
        <v>8000</v>
      </c>
      <c r="BP25" s="45">
        <v>10000</v>
      </c>
      <c r="BQ25" s="45">
        <v>10000</v>
      </c>
      <c r="BR25" s="45"/>
      <c r="BS25" s="46"/>
      <c r="BT25" s="1">
        <f t="shared" ref="BT25:BT34" si="10">BM25*BD25+BN25*BE25+BO25*BF25+BP25*BG25+BQ25*BH25+BR25*BI25+BS25*BJ25</f>
        <v>0</v>
      </c>
      <c r="BW25" s="28"/>
      <c r="BX25" s="28"/>
      <c r="BY25" s="254"/>
      <c r="BZ25" s="7" t="str">
        <f t="shared" si="9"/>
        <v>超早朝割</v>
      </c>
      <c r="CA25" s="45">
        <f>SUMPRODUCT((足元帳!$BB$2:$BB$231=1)*(足元帳!$BJ$2:$BJ$231=5)*(足元帳!$AL$2:$AL$231="●"))</f>
        <v>0</v>
      </c>
      <c r="CB25" s="45">
        <f>SUMPRODUCT((足元帳!$BB$2:$BB$231=2)*(足元帳!$BJ$2:$BJ$231=5)*(足元帳!$AL$2:$AL$231="●"))</f>
        <v>0</v>
      </c>
      <c r="CC25" s="45">
        <f>SUMPRODUCT((足元帳!$BB$2:$BB$231=3)*(足元帳!$BJ$2:$BJ$231=5)*(足元帳!$AL$2:$AL$231="●"))</f>
        <v>0</v>
      </c>
      <c r="CD25" s="45">
        <f>SUMPRODUCT((足元帳!$BB$2:$BB$231=4)*(足元帳!$BJ$2:$BJ$231=5)*(足元帳!$AL$2:$AL$231="●"))</f>
        <v>0</v>
      </c>
      <c r="CE25" s="8">
        <f>SUMPRODUCT((足元帳!$BB$2:$BB$231=5)*(足元帳!$BJ$2:$BJ$231=5)*(足元帳!$AL$2:$AL$231="●"))</f>
        <v>0</v>
      </c>
      <c r="CF25" s="45">
        <f>SUMPRODUCT((足元帳!$BB$2:$BB$231=6)*(足元帳!$BJ$2:$BJ$231=5)*(足元帳!$AL$2:$AL$231="●"))</f>
        <v>0</v>
      </c>
      <c r="CG25" s="46">
        <f>SUMPRODUCT((足元帳!$BB$2:$BB$231=7)*(足元帳!$BJ$2:$BJ$231=5)*(足元帳!$AL$2:$AL$231="●"))</f>
        <v>0</v>
      </c>
      <c r="CH25" s="1">
        <f t="shared" si="7"/>
        <v>0</v>
      </c>
    </row>
    <row r="26" spans="1:87" ht="33.75" customHeight="1">
      <c r="A26" s="47">
        <v>6</v>
      </c>
      <c r="B26" s="10"/>
      <c r="C26" s="20">
        <f>SUMPRODUCT((足元帳!$K$2:$K$231=B26)*(足元帳!$BB$2:$BB$231=1))</f>
        <v>0</v>
      </c>
      <c r="D26" s="21">
        <f>SUMPRODUCT((足元帳!$K$2:$K$231=B26)*(足元帳!$BB$2:$BB$231=1)*(足元帳!$AZ$2:$AZ$231&lt;=2))</f>
        <v>0</v>
      </c>
      <c r="E26" s="20">
        <f>SUMPRODUCT((足元帳!$K$2:$K$231=B26)*(足元帳!$BB$2:$BB$231=2))</f>
        <v>0</v>
      </c>
      <c r="F26" s="22">
        <f>SUMPRODUCT((足元帳!$K$2:$K$231=B26)*(足元帳!$BB$2:$BB$231=2)*(足元帳!$AZ$2:$AZ$231&lt;=2))</f>
        <v>0</v>
      </c>
      <c r="G26" s="20">
        <f>SUMPRODUCT((足元帳!$K$2:$K$231=B26)*(足元帳!$BB$2:$BB$231=3))</f>
        <v>0</v>
      </c>
      <c r="H26" s="22">
        <f>SUMPRODUCT((足元帳!$K$2:$K$231=B26)*(足元帳!$BB$2:$BB$231=3)*(足元帳!$AZ$2:$AZ$231&lt;=2))</f>
        <v>0</v>
      </c>
      <c r="I26" s="20">
        <f>SUMPRODUCT((足元帳!$K$2:$K$231=B26)*(足元帳!$BB$2:$BB$231=4))</f>
        <v>0</v>
      </c>
      <c r="J26" s="22">
        <f>SUMPRODUCT((足元帳!$K$2:$K$231=B26)*(足元帳!$BB$2:$BB$231=4)*(足元帳!$AZ$2:$AZ$231&lt;=2))</f>
        <v>0</v>
      </c>
      <c r="K26" s="20">
        <f>SUMPRODUCT((足元帳!$K$2:$K$231=B26)*(足元帳!$BB$2:$BB$231=5))</f>
        <v>0</v>
      </c>
      <c r="L26" s="22">
        <f>SUMPRODUCT((足元帳!$K$2:$K$231=B26)*(足元帳!$BB$2:$BB$231=5)*(足元帳!$AZ$2:$AZ$231&lt;=2))</f>
        <v>0</v>
      </c>
      <c r="M26" s="20">
        <f>SUMPRODUCT((足元帳!$K$2:$K$231=B26)*(足元帳!$BB$2:$BB$231=6))</f>
        <v>0</v>
      </c>
      <c r="N26" s="20">
        <f>SUMPRODUCT((足元帳!$K$2:$K$231=B26)*(足元帳!$BB$2:$BB$231=6)*(足元帳!$AZ$2:$AZ$231&lt;=2))</f>
        <v>0</v>
      </c>
      <c r="O26" s="20"/>
      <c r="P26" s="20">
        <f>SUMPRODUCT((足元帳!$K$2:$K$231=B26)*(足元帳!$AS$2:$AS$231=足元帳!$AS$1)*(足元帳!$BB$2:$BB$231=1)*500)+SUMPRODUCT((足元帳!$K$2:$K$231=B26)*(足元帳!$AS$2:$AS$231=足元帳!$AS$1)*(足元帳!$BB$2:$BB$231=2)*500)+SUMPRODUCT((足元帳!$K$2:$K$231=B26)*(足元帳!$AS$2:$AS$231=足元帳!$AS$1)*(足元帳!$BB$2:$BB$231=3)*500)+SUMPRODUCT((足元帳!$K$2:$K$231=B26)*(足元帳!$AS$2:$AS$231=足元帳!$AS$1)*(足元帳!$BB$2:$BB$231=4)*1000)+SUMPRODUCT((足元帳!$K$2:$K$231=B26)*(足元帳!$AS$2:$AS$231=足元帳!$AS$1)*(足元帳!$BB$2:$BB$231=5)*1000)+SUMPRODUCT((足元帳!$K$2:$K$231=B26)*(足元帳!$AS$2:$AS$231=足元帳!$AS$1)*(足元帳!$BB$2:$BB$231=6)*300)</f>
        <v>0</v>
      </c>
      <c r="Q26" s="20">
        <f>SUMPRODUCT((足元帳!$K$2:$K$231=B26)*(足元帳!$BQ$2:$BV$231=Q$20))</f>
        <v>0</v>
      </c>
      <c r="R26" s="20">
        <f>SUMPRODUCT((足元帳!$K$2:$K$231=B26)*(足元帳!$BQ$2:$BV$231=R$20))</f>
        <v>0</v>
      </c>
      <c r="S26" s="20">
        <f>SUMPRODUCT((足元帳!$K$2:$K$231=B26)*(足元帳!$BQ$2:$BV$231=S$20))</f>
        <v>0</v>
      </c>
      <c r="T26" s="20">
        <f>SUMPRODUCT((足元帳!$K$2:$K$231=B26)*(足元帳!$BQ$2:$BV$231=T$20))</f>
        <v>0</v>
      </c>
      <c r="U26" s="20">
        <f>SUMPRODUCT((足元帳!$K$2:$K$231=B26)*(足元帳!$BK$2:$BK$231=3000)*3000)+SUMPRODUCT((足元帳!$K$2:$K$231=B26)*(足元帳!$BK$2:$BK$231=4000)*4000)+SUMPRODUCT((足元帳!$K$2:$K$231=B26)*(足元帳!$BK$2:$BK$231=5000)*5000)+SUMPRODUCT((足元帳!$K$2:$K$231=B26)*(足元帳!$BK$2:$BK$231=6000)*6000)</f>
        <v>0</v>
      </c>
      <c r="V26" s="20"/>
      <c r="W26" s="256"/>
      <c r="X26" s="131">
        <f t="shared" si="2"/>
        <v>0</v>
      </c>
      <c r="Y26" s="131">
        <f t="shared" si="3"/>
        <v>0</v>
      </c>
      <c r="Z26" s="132">
        <f>C26*C$11+E26*E$11+G26*G$11+I26*I$11+K26*K$11+M26*M$11+X26+Y26
+IF(管理シート!$BQ$4 &lt;&gt; "ON",0,SUMPRODUCT((足元帳!$K$2:$K$231=B26)*(足元帳!$BB$2:$BB$231=4)*(足元帳!$AZ$2:$AZ$231&gt;=3)*(足元帳!$AP$2:$AP$231&lt;&gt;""))*管理シート!$BP$4)+
IF(管理シート!$BQ$5 &lt;&gt; "ON",0,SUMPRODUCT((足元帳!$K$2:$K$231=B26)*(足元帳!$BB$2:$BB$231=5)*(足元帳!$AZ$2:$AZ$231&gt;=3)*(足元帳!$AP$2:$AP$231&lt;&gt;""))*管理シート!$BP$5)</f>
        <v>0</v>
      </c>
      <c r="AA26" s="131">
        <f t="shared" si="4"/>
        <v>0</v>
      </c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4">
        <f t="shared" si="5"/>
        <v>0</v>
      </c>
      <c r="AZ26" s="4"/>
      <c r="BA26" s="5"/>
      <c r="BB26" s="6" t="str">
        <f t="shared" si="6"/>
        <v/>
      </c>
      <c r="BC26" s="7" t="str">
        <f>管理シート!CB9</f>
        <v>早朝割</v>
      </c>
      <c r="BD26" s="23">
        <f>SUMPRODUCT((足元帳!$BB$2:$BB$231=1)*(足元帳!$BJ$2:$BJ$231=6))</f>
        <v>0</v>
      </c>
      <c r="BE26" s="23">
        <f>SUMPRODUCT((足元帳!$BB$2:$BB$231=2)*(足元帳!$BJ$2:$BJ$231=6))</f>
        <v>0</v>
      </c>
      <c r="BF26" s="23">
        <f>SUMPRODUCT((足元帳!$BB$2:$BB$231=3)*(足元帳!$BJ$2:$BJ$231=6))</f>
        <v>0</v>
      </c>
      <c r="BG26" s="23">
        <f>SUMPRODUCT((足元帳!$BB$2:$BB$231=4)*(足元帳!$BJ$2:$BJ$231=6))</f>
        <v>0</v>
      </c>
      <c r="BH26" s="23">
        <f>SUMPRODUCT((足元帳!$BB$2:$BB$231=5)*(足元帳!$BJ$2:$BJ$231=6))</f>
        <v>0</v>
      </c>
      <c r="BI26" s="23">
        <f>SUMPRODUCT((足元帳!$BB$2:$BB$231=6)*(足元帳!$BJ$2:$BJ$231=6))</f>
        <v>0</v>
      </c>
      <c r="BJ26" s="79">
        <f>SUMPRODUCT((足元帳!$BB$2:$BB$231=7)*(足元帳!$BJ$2:$BJ$231=6))</f>
        <v>0</v>
      </c>
      <c r="BK26" s="298">
        <f t="shared" si="8"/>
        <v>0</v>
      </c>
      <c r="BL26" s="7" t="str">
        <f>管理シート!CB9</f>
        <v>早朝割</v>
      </c>
      <c r="BM26" s="45"/>
      <c r="BN26" s="45">
        <v>7000</v>
      </c>
      <c r="BO26" s="45">
        <v>6000</v>
      </c>
      <c r="BP26" s="45">
        <v>8000</v>
      </c>
      <c r="BQ26" s="45">
        <v>10000</v>
      </c>
      <c r="BR26" s="45"/>
      <c r="BS26" s="46"/>
      <c r="BT26" s="1">
        <f t="shared" si="10"/>
        <v>0</v>
      </c>
      <c r="BW26" s="28"/>
      <c r="BX26" s="28"/>
      <c r="BY26" s="254"/>
      <c r="BZ26" s="7" t="str">
        <f t="shared" si="9"/>
        <v>早朝割</v>
      </c>
      <c r="CA26" s="45">
        <f>SUMPRODUCT((足元帳!$BB$2:$BB$231=1)*(足元帳!$BJ$2:$BJ$231=6)*(足元帳!$AL$2:$AL$231="●"))</f>
        <v>0</v>
      </c>
      <c r="CB26" s="45">
        <f>SUMPRODUCT((足元帳!$BB$2:$BB$231=2)*(足元帳!$BJ$2:$BJ$231=6)*(足元帳!$AL$2:$AL$231="●"))</f>
        <v>0</v>
      </c>
      <c r="CC26" s="45">
        <f>SUMPRODUCT((足元帳!$BB$2:$BB$231=3)*(足元帳!$BJ$2:$BJ$231=6)*(足元帳!$AL$2:$AL$231="●"))</f>
        <v>0</v>
      </c>
      <c r="CD26" s="45">
        <f>SUMPRODUCT((足元帳!$BB$2:$BB$231=4)*(足元帳!$BJ$2:$BJ$231=6)*(足元帳!$AL$2:$AL$231="●"))</f>
        <v>0</v>
      </c>
      <c r="CE26" s="8">
        <f>SUMPRODUCT((足元帳!$BB$2:$BB$231=5)*(足元帳!$BJ$2:$BJ$231=6)*(足元帳!$AL$2:$AL$231="●"))</f>
        <v>0</v>
      </c>
      <c r="CF26" s="45">
        <f>SUMPRODUCT((足元帳!$BB$2:$BB$231=6)*(足元帳!$BJ$2:$BJ$231=6)*(足元帳!$AL$2:$AL$231="●"))</f>
        <v>0</v>
      </c>
      <c r="CG26" s="46">
        <f>SUMPRODUCT((足元帳!$BB$2:$BB$231=7)*(足元帳!$BJ$2:$BJ$231=6)*(足元帳!$AL$2:$AL$231="●"))</f>
        <v>0</v>
      </c>
      <c r="CH26" s="1">
        <f t="shared" si="7"/>
        <v>0</v>
      </c>
    </row>
    <row r="27" spans="1:87" ht="33.75" customHeight="1">
      <c r="A27" s="47">
        <v>7</v>
      </c>
      <c r="B27" s="10"/>
      <c r="C27" s="20">
        <f>SUMPRODUCT((足元帳!$K$2:$K$231=B27)*(足元帳!$BB$2:$BB$231=1))</f>
        <v>0</v>
      </c>
      <c r="D27" s="21">
        <f>SUMPRODUCT((足元帳!$K$2:$K$231=B27)*(足元帳!$BB$2:$BB$231=1)*(足元帳!$AZ$2:$AZ$231&lt;=2))</f>
        <v>0</v>
      </c>
      <c r="E27" s="20">
        <f>SUMPRODUCT((足元帳!$K$2:$K$231=B27)*(足元帳!$BB$2:$BB$231=2))</f>
        <v>0</v>
      </c>
      <c r="F27" s="22">
        <f>SUMPRODUCT((足元帳!$K$2:$K$231=B27)*(足元帳!$BB$2:$BB$231=2)*(足元帳!$AZ$2:$AZ$231&lt;=2))</f>
        <v>0</v>
      </c>
      <c r="G27" s="20">
        <f>SUMPRODUCT((足元帳!$K$2:$K$231=B27)*(足元帳!$BB$2:$BB$231=3))</f>
        <v>0</v>
      </c>
      <c r="H27" s="22">
        <f>SUMPRODUCT((足元帳!$K$2:$K$231=B27)*(足元帳!$BB$2:$BB$231=3)*(足元帳!$AZ$2:$AZ$231&lt;=2))</f>
        <v>0</v>
      </c>
      <c r="I27" s="20">
        <f>SUMPRODUCT((足元帳!$K$2:$K$231=B27)*(足元帳!$BB$2:$BB$231=4))</f>
        <v>0</v>
      </c>
      <c r="J27" s="22">
        <f>SUMPRODUCT((足元帳!$K$2:$K$231=B27)*(足元帳!$BB$2:$BB$231=4)*(足元帳!$AZ$2:$AZ$231&lt;=2))</f>
        <v>0</v>
      </c>
      <c r="K27" s="20">
        <f>SUMPRODUCT((足元帳!$K$2:$K$231=B27)*(足元帳!$BB$2:$BB$231=5))</f>
        <v>0</v>
      </c>
      <c r="L27" s="22">
        <f>SUMPRODUCT((足元帳!$K$2:$K$231=B27)*(足元帳!$BB$2:$BB$231=5)*(足元帳!$AZ$2:$AZ$231&lt;=2))</f>
        <v>0</v>
      </c>
      <c r="M27" s="20">
        <f>SUMPRODUCT((足元帳!$K$2:$K$231=B27)*(足元帳!$BB$2:$BB$231=6))</f>
        <v>0</v>
      </c>
      <c r="N27" s="20">
        <f>SUMPRODUCT((足元帳!$K$2:$K$231=B27)*(足元帳!$BB$2:$BB$231=6)*(足元帳!$AZ$2:$AZ$231&lt;=2))</f>
        <v>0</v>
      </c>
      <c r="O27" s="20"/>
      <c r="P27" s="20">
        <f>SUMPRODUCT((足元帳!$K$2:$K$231=B27)*(足元帳!$AS$2:$AS$231=足元帳!$AS$1)*(足元帳!$BB$2:$BB$231=1)*500)+SUMPRODUCT((足元帳!$K$2:$K$231=B27)*(足元帳!$AS$2:$AS$231=足元帳!$AS$1)*(足元帳!$BB$2:$BB$231=2)*500)+SUMPRODUCT((足元帳!$K$2:$K$231=B27)*(足元帳!$AS$2:$AS$231=足元帳!$AS$1)*(足元帳!$BB$2:$BB$231=3)*500)+SUMPRODUCT((足元帳!$K$2:$K$231=B27)*(足元帳!$AS$2:$AS$231=足元帳!$AS$1)*(足元帳!$BB$2:$BB$231=4)*1000)+SUMPRODUCT((足元帳!$K$2:$K$231=B27)*(足元帳!$AS$2:$AS$231=足元帳!$AS$1)*(足元帳!$BB$2:$BB$231=5)*1000)+SUMPRODUCT((足元帳!$K$2:$K$231=B27)*(足元帳!$AS$2:$AS$231=足元帳!$AS$1)*(足元帳!$BB$2:$BB$231=6)*300)</f>
        <v>0</v>
      </c>
      <c r="Q27" s="20">
        <f>SUMPRODUCT((足元帳!$K$2:$K$231=B27)*(足元帳!$BQ$2:$BV$231=Q$20))</f>
        <v>0</v>
      </c>
      <c r="R27" s="20">
        <f>SUMPRODUCT((足元帳!$K$2:$K$231=B27)*(足元帳!$BQ$2:$BV$231=R$20))</f>
        <v>0</v>
      </c>
      <c r="S27" s="20">
        <f>SUMPRODUCT((足元帳!$K$2:$K$231=B27)*(足元帳!$BQ$2:$BV$231=S$20))</f>
        <v>0</v>
      </c>
      <c r="T27" s="20">
        <f>SUMPRODUCT((足元帳!$K$2:$K$231=B27)*(足元帳!$BQ$2:$BV$231=T$20))</f>
        <v>0</v>
      </c>
      <c r="U27" s="20">
        <f>SUMPRODUCT((足元帳!$K$2:$K$231=B27)*(足元帳!$BK$2:$BK$231=3000)*3000)+SUMPRODUCT((足元帳!$K$2:$K$231=B27)*(足元帳!$BK$2:$BK$231=4000)*4000)+SUMPRODUCT((足元帳!$K$2:$K$231=B27)*(足元帳!$BK$2:$BK$231=5000)*5000)+SUMPRODUCT((足元帳!$K$2:$K$231=B27)*(足元帳!$BK$2:$BK$231=6000)*6000)</f>
        <v>0</v>
      </c>
      <c r="V27" s="20"/>
      <c r="W27" s="256"/>
      <c r="X27" s="131">
        <f t="shared" si="2"/>
        <v>0</v>
      </c>
      <c r="Y27" s="131">
        <f t="shared" si="3"/>
        <v>0</v>
      </c>
      <c r="Z27" s="132">
        <f>C27*C$11+E27*E$11+G27*G$11+I27*I$11+K27*K$11+M27*M$11+X27+Y27
+IF(管理シート!$BQ$4 &lt;&gt; "ON",0,SUMPRODUCT((足元帳!$K$2:$K$231=B27)*(足元帳!$BB$2:$BB$231=4)*(足元帳!$AZ$2:$AZ$231&gt;=3)*(足元帳!$AP$2:$AP$231&lt;&gt;""))*管理シート!$BP$4)+
IF(管理シート!$BQ$5 &lt;&gt; "ON",0,SUMPRODUCT((足元帳!$K$2:$K$231=B27)*(足元帳!$BB$2:$BB$231=5)*(足元帳!$AZ$2:$AZ$231&gt;=3)*(足元帳!$AP$2:$AP$231&lt;&gt;""))*管理シート!$BP$5)</f>
        <v>0</v>
      </c>
      <c r="AA27" s="131">
        <f t="shared" si="4"/>
        <v>0</v>
      </c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4">
        <f t="shared" si="5"/>
        <v>0</v>
      </c>
      <c r="AZ27" s="4"/>
      <c r="BA27" s="4"/>
      <c r="BB27" s="6" t="str">
        <f t="shared" si="6"/>
        <v/>
      </c>
      <c r="BC27" s="7" t="str">
        <f>管理シート!CB10</f>
        <v>2輪入無</v>
      </c>
      <c r="BD27" s="23">
        <f>SUMPRODUCT((足元帳!$BB$2:$BB$231=1)*(足元帳!$BJ$2:$BJ$231=7))</f>
        <v>0</v>
      </c>
      <c r="BE27" s="23">
        <f>SUMPRODUCT((足元帳!$BB$2:$BB$231=2)*(足元帳!$BJ$2:$BJ$231=7))</f>
        <v>0</v>
      </c>
      <c r="BF27" s="23">
        <f>SUMPRODUCT((足元帳!$BB$2:$BB$231=3)*(足元帳!$BJ$2:$BJ$231=7))</f>
        <v>0</v>
      </c>
      <c r="BG27" s="23">
        <f>SUMPRODUCT((足元帳!$BB$2:$BB$231=4)*(足元帳!$BJ$2:$BJ$231=7))</f>
        <v>0</v>
      </c>
      <c r="BH27" s="23">
        <f>SUMPRODUCT((足元帳!$BB$2:$BB$231=5)*(足元帳!$BJ$2:$BJ$231=7))</f>
        <v>0</v>
      </c>
      <c r="BI27" s="23">
        <f>SUMPRODUCT((足元帳!$BB$2:$BB$231=6)*(足元帳!$BJ$2:$BJ$231=7))</f>
        <v>0</v>
      </c>
      <c r="BJ27" s="79">
        <f>SUMPRODUCT((足元帳!$BB$2:$BB$231=7)*(足元帳!$BJ$2:$BJ$231=7))</f>
        <v>0</v>
      </c>
      <c r="BK27" s="298">
        <f t="shared" si="8"/>
        <v>0</v>
      </c>
      <c r="BL27" s="7" t="str">
        <f>管理シート!CB10</f>
        <v>2輪入無</v>
      </c>
      <c r="BM27" s="45"/>
      <c r="BN27" s="45">
        <v>10500</v>
      </c>
      <c r="BO27" s="45">
        <v>13000</v>
      </c>
      <c r="BP27" s="45">
        <v>15500</v>
      </c>
      <c r="BQ27" s="45">
        <v>21000</v>
      </c>
      <c r="BR27" s="45"/>
      <c r="BS27" s="46"/>
      <c r="BT27" s="1">
        <f t="shared" si="10"/>
        <v>0</v>
      </c>
      <c r="BW27" s="28"/>
      <c r="BX27" s="28"/>
      <c r="BY27" s="254"/>
      <c r="BZ27" s="7" t="str">
        <f t="shared" si="9"/>
        <v>2輪入無</v>
      </c>
      <c r="CA27" s="45">
        <f>SUMPRODUCT((足元帳!$BB$2:$BB$231=1)*(足元帳!$BJ$2:$BJ$231=7)*(足元帳!$AL$2:$AL$231="●"))</f>
        <v>0</v>
      </c>
      <c r="CB27" s="45">
        <f>SUMPRODUCT((足元帳!$BB$2:$BB$231=2)*(足元帳!$BJ$2:$BJ$231=7)*(足元帳!$AL$2:$AL$231="●"))</f>
        <v>0</v>
      </c>
      <c r="CC27" s="45">
        <f>SUMPRODUCT((足元帳!$BB$2:$BB$231=3)*(足元帳!$BJ$2:$BJ$231=7)*(足元帳!$AL$2:$AL$231="●"))</f>
        <v>0</v>
      </c>
      <c r="CD27" s="45">
        <f>SUMPRODUCT((足元帳!$BB$2:$BB$231=4)*(足元帳!$BJ$2:$BJ$231=7)*(足元帳!$AL$2:$AL$231="●"))</f>
        <v>0</v>
      </c>
      <c r="CE27" s="8">
        <f>SUMPRODUCT((足元帳!$BB$2:$BB$231=5)*(足元帳!$BJ$2:$BJ$231=7)*(足元帳!$AL$2:$AL$231="●"))</f>
        <v>0</v>
      </c>
      <c r="CF27" s="45">
        <f>SUMPRODUCT((足元帳!$BB$2:$BB$231=6)*(足元帳!$BJ$2:$BJ$231=7)*(足元帳!$AL$2:$AL$231="●"))</f>
        <v>0</v>
      </c>
      <c r="CG27" s="46">
        <f>SUMPRODUCT((足元帳!$BB$2:$BB$231=7)*(足元帳!$BJ$2:$BJ$231=7)*(足元帳!$AL$2:$AL$231="●"))</f>
        <v>0</v>
      </c>
      <c r="CH27" s="1">
        <f t="shared" si="7"/>
        <v>0</v>
      </c>
    </row>
    <row r="28" spans="1:87" ht="33.75" customHeight="1">
      <c r="A28" s="47">
        <v>8</v>
      </c>
      <c r="B28" s="10"/>
      <c r="C28" s="20">
        <f>SUMPRODUCT((足元帳!$K$2:$K$231=B28)*(足元帳!$BB$2:$BB$231=1))</f>
        <v>0</v>
      </c>
      <c r="D28" s="21">
        <f>SUMPRODUCT((足元帳!$K$2:$K$231=B28)*(足元帳!$BB$2:$BB$231=1)*(足元帳!$AZ$2:$AZ$231&lt;=2))</f>
        <v>0</v>
      </c>
      <c r="E28" s="20">
        <f>SUMPRODUCT((足元帳!$K$2:$K$231=B28)*(足元帳!$BB$2:$BB$231=2))</f>
        <v>0</v>
      </c>
      <c r="F28" s="22">
        <f>SUMPRODUCT((足元帳!$K$2:$K$231=B28)*(足元帳!$BB$2:$BB$231=2)*(足元帳!$AZ$2:$AZ$231&lt;=2))</f>
        <v>0</v>
      </c>
      <c r="G28" s="20">
        <f>SUMPRODUCT((足元帳!$K$2:$K$231=B28)*(足元帳!$BB$2:$BB$231=3))</f>
        <v>0</v>
      </c>
      <c r="H28" s="22">
        <f>SUMPRODUCT((足元帳!$K$2:$K$231=B28)*(足元帳!$BB$2:$BB$231=3)*(足元帳!$AZ$2:$AZ$231&lt;=2))</f>
        <v>0</v>
      </c>
      <c r="I28" s="20">
        <f>SUMPRODUCT((足元帳!$K$2:$K$231=B28)*(足元帳!$BB$2:$BB$231=4))</f>
        <v>0</v>
      </c>
      <c r="J28" s="22">
        <f>SUMPRODUCT((足元帳!$K$2:$K$231=B28)*(足元帳!$BB$2:$BB$231=4)*(足元帳!$AZ$2:$AZ$231&lt;=2))</f>
        <v>0</v>
      </c>
      <c r="K28" s="20">
        <f>SUMPRODUCT((足元帳!$K$2:$K$231=B28)*(足元帳!$BB$2:$BB$231=5))</f>
        <v>0</v>
      </c>
      <c r="L28" s="22">
        <f>SUMPRODUCT((足元帳!$K$2:$K$231=B28)*(足元帳!$BB$2:$BB$231=5)*(足元帳!$AZ$2:$AZ$231&lt;=2))</f>
        <v>0</v>
      </c>
      <c r="M28" s="20">
        <f>SUMPRODUCT((足元帳!$K$2:$K$231=B28)*(足元帳!$BB$2:$BB$231=6))</f>
        <v>0</v>
      </c>
      <c r="N28" s="20">
        <f>SUMPRODUCT((足元帳!$K$2:$K$231=B28)*(足元帳!$BB$2:$BB$231=6)*(足元帳!$AZ$2:$AZ$231&lt;=2))</f>
        <v>0</v>
      </c>
      <c r="O28" s="20"/>
      <c r="P28" s="20">
        <f>SUMPRODUCT((足元帳!$K$2:$K$231=B28)*(足元帳!$AS$2:$AS$231=足元帳!$AS$1)*(足元帳!$BB$2:$BB$231=1)*500)+SUMPRODUCT((足元帳!$K$2:$K$231=B28)*(足元帳!$AS$2:$AS$231=足元帳!$AS$1)*(足元帳!$BB$2:$BB$231=2)*500)+SUMPRODUCT((足元帳!$K$2:$K$231=B28)*(足元帳!$AS$2:$AS$231=足元帳!$AS$1)*(足元帳!$BB$2:$BB$231=3)*500)+SUMPRODUCT((足元帳!$K$2:$K$231=B28)*(足元帳!$AS$2:$AS$231=足元帳!$AS$1)*(足元帳!$BB$2:$BB$231=4)*1000)+SUMPRODUCT((足元帳!$K$2:$K$231=B28)*(足元帳!$AS$2:$AS$231=足元帳!$AS$1)*(足元帳!$BB$2:$BB$231=5)*1000)+SUMPRODUCT((足元帳!$K$2:$K$231=B28)*(足元帳!$AS$2:$AS$231=足元帳!$AS$1)*(足元帳!$BB$2:$BB$231=6)*300)</f>
        <v>0</v>
      </c>
      <c r="Q28" s="20">
        <f>SUMPRODUCT((足元帳!$K$2:$K$231=B28)*(足元帳!$BQ$2:$BV$231=Q$20))</f>
        <v>0</v>
      </c>
      <c r="R28" s="20">
        <f>SUMPRODUCT((足元帳!$K$2:$K$231=B28)*(足元帳!$BQ$2:$BV$231=R$20))</f>
        <v>0</v>
      </c>
      <c r="S28" s="20">
        <f>SUMPRODUCT((足元帳!$K$2:$K$231=B28)*(足元帳!$BQ$2:$BV$231=S$20))</f>
        <v>0</v>
      </c>
      <c r="T28" s="20">
        <f>SUMPRODUCT((足元帳!$K$2:$K$231=B28)*(足元帳!$BQ$2:$BV$231=T$20))</f>
        <v>0</v>
      </c>
      <c r="U28" s="20">
        <f>SUMPRODUCT((足元帳!$K$2:$K$231=B28)*(足元帳!$BK$2:$BK$231=3000)*3000)+SUMPRODUCT((足元帳!$K$2:$K$231=B28)*(足元帳!$BK$2:$BK$231=4000)*4000)+SUMPRODUCT((足元帳!$K$2:$K$231=B28)*(足元帳!$BK$2:$BK$231=5000)*5000)+SUMPRODUCT((足元帳!$K$2:$K$231=B28)*(足元帳!$BK$2:$BK$231=6000)*6000)</f>
        <v>0</v>
      </c>
      <c r="V28" s="20"/>
      <c r="W28" s="256"/>
      <c r="X28" s="131">
        <f t="shared" si="2"/>
        <v>0</v>
      </c>
      <c r="Y28" s="131">
        <f t="shared" si="3"/>
        <v>0</v>
      </c>
      <c r="Z28" s="132">
        <f>C28*C$11+E28*E$11+G28*G$11+I28*I$11+K28*K$11+M28*M$11+X28+Y28
+IF(管理シート!$BQ$4 &lt;&gt; "ON",0,SUMPRODUCT((足元帳!$K$2:$K$231=B28)*(足元帳!$BB$2:$BB$231=4)*(足元帳!$AZ$2:$AZ$231&gt;=3)*(足元帳!$AP$2:$AP$231&lt;&gt;""))*管理シート!$BP$4)+
IF(管理シート!$BQ$5 &lt;&gt; "ON",0,SUMPRODUCT((足元帳!$K$2:$K$231=B28)*(足元帳!$BB$2:$BB$231=5)*(足元帳!$AZ$2:$AZ$231&gt;=3)*(足元帳!$AP$2:$AP$231&lt;&gt;""))*管理シート!$BP$5)</f>
        <v>0</v>
      </c>
      <c r="AA28" s="131">
        <f t="shared" si="4"/>
        <v>0</v>
      </c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4">
        <f t="shared" si="5"/>
        <v>0</v>
      </c>
      <c r="AZ28" s="4"/>
      <c r="BA28" s="4"/>
      <c r="BB28" s="6" t="str">
        <f t="shared" si="6"/>
        <v/>
      </c>
      <c r="BC28" s="7" t="str">
        <f>管理シート!CB11</f>
        <v>還元チケット</v>
      </c>
      <c r="BD28" s="23">
        <f>SUMPRODUCT((足元帳!$BB$2:$BB$231=1)*(足元帳!$BJ$2:$BJ$231=8))</f>
        <v>0</v>
      </c>
      <c r="BE28" s="23">
        <f>SUMPRODUCT((足元帳!$BB$2:$BB$231=2)*(足元帳!$BJ$2:$BJ$231=8))</f>
        <v>0</v>
      </c>
      <c r="BF28" s="23">
        <f>SUMPRODUCT((足元帳!$BB$2:$BB$231=3)*(足元帳!$BJ$2:$BJ$231=8))</f>
        <v>0</v>
      </c>
      <c r="BG28" s="23">
        <f>SUMPRODUCT((足元帳!$BB$2:$BB$231=4)*(足元帳!$BJ$2:$BJ$231=8))</f>
        <v>0</v>
      </c>
      <c r="BH28" s="23">
        <f>SUMPRODUCT((足元帳!$BB$2:$BB$231=5)*(足元帳!$BJ$2:$BJ$231=8))</f>
        <v>0</v>
      </c>
      <c r="BI28" s="23">
        <f>SUMPRODUCT((足元帳!$BB$2:$BB$231=6)*(足元帳!$BJ$2:$BJ$231=8))</f>
        <v>0</v>
      </c>
      <c r="BJ28" s="79">
        <f>SUMPRODUCT((足元帳!$BB$2:$BB$231=7)*(足元帳!$BJ$2:$BJ$231=8))</f>
        <v>0</v>
      </c>
      <c r="BK28" s="298">
        <f t="shared" si="8"/>
        <v>0</v>
      </c>
      <c r="BL28" s="7" t="str">
        <f>管理シート!CB11</f>
        <v>還元チケット</v>
      </c>
      <c r="BM28" s="45"/>
      <c r="BN28" s="45">
        <v>2000</v>
      </c>
      <c r="BO28" s="45">
        <v>3000</v>
      </c>
      <c r="BP28" s="45">
        <v>4000</v>
      </c>
      <c r="BQ28" s="45">
        <v>4000</v>
      </c>
      <c r="BR28" s="45"/>
      <c r="BS28" s="46"/>
      <c r="BT28" s="1">
        <f t="shared" si="10"/>
        <v>0</v>
      </c>
      <c r="BW28" s="28"/>
      <c r="BX28" s="28"/>
      <c r="BY28" s="254"/>
      <c r="BZ28" s="7" t="str">
        <f t="shared" si="9"/>
        <v>還元チケット</v>
      </c>
      <c r="CA28" s="45">
        <f>SUMPRODUCT((足元帳!$BB$2:$BB$231=1)*(足元帳!$BJ$2:$BJ$231=8)*(足元帳!$AL$2:$AL$231="●"))</f>
        <v>0</v>
      </c>
      <c r="CB28" s="45">
        <f>SUMPRODUCT((足元帳!$BB$2:$BB$231=2)*(足元帳!$BJ$2:$BJ$231=8)*(足元帳!$AL$2:$AL$231="●"))</f>
        <v>0</v>
      </c>
      <c r="CC28" s="45">
        <f>SUMPRODUCT((足元帳!$BB$2:$BB$231=3)*(足元帳!$BJ$2:$BJ$231=8)*(足元帳!$AL$2:$AL$231="●"))</f>
        <v>0</v>
      </c>
      <c r="CD28" s="45">
        <f>SUMPRODUCT((足元帳!$BB$2:$BB$231=4)*(足元帳!$BJ$2:$BJ$231=8)*(足元帳!$AL$2:$AL$231="●"))</f>
        <v>0</v>
      </c>
      <c r="CE28" s="8">
        <f>SUMPRODUCT((足元帳!$BB$2:$BB$231=5)*(足元帳!$BJ$2:$BJ$231=8)*(足元帳!$AL$2:$AL$231="●"))</f>
        <v>0</v>
      </c>
      <c r="CF28" s="45">
        <f>SUMPRODUCT((足元帳!$BB$2:$BB$231=6)*(足元帳!$BJ$2:$BJ$231=8)*(足元帳!$AL$2:$AL$231="●"))</f>
        <v>0</v>
      </c>
      <c r="CG28" s="46">
        <f>SUMPRODUCT((足元帳!$BB$2:$BB$231=7)*(足元帳!$BJ$2:$BJ$231=8)*(足元帳!$AL$2:$AL$231="●"))</f>
        <v>0</v>
      </c>
      <c r="CH28" s="1">
        <f t="shared" si="7"/>
        <v>0</v>
      </c>
    </row>
    <row r="29" spans="1:87" ht="33.75" customHeight="1">
      <c r="A29" s="47">
        <v>9</v>
      </c>
      <c r="B29" s="10"/>
      <c r="C29" s="20">
        <f>SUMPRODUCT((足元帳!$K$2:$K$231=B29)*(足元帳!$BB$2:$BB$231=1))</f>
        <v>0</v>
      </c>
      <c r="D29" s="21">
        <f>SUMPRODUCT((足元帳!$K$2:$K$231=B29)*(足元帳!$BB$2:$BB$231=1)*(足元帳!$AZ$2:$AZ$231&lt;=2))</f>
        <v>0</v>
      </c>
      <c r="E29" s="20">
        <f>SUMPRODUCT((足元帳!$K$2:$K$231=B29)*(足元帳!$BB$2:$BB$231=2))</f>
        <v>0</v>
      </c>
      <c r="F29" s="22">
        <f>SUMPRODUCT((足元帳!$K$2:$K$231=B29)*(足元帳!$BB$2:$BB$231=2)*(足元帳!$AZ$2:$AZ$231&lt;=2))</f>
        <v>0</v>
      </c>
      <c r="G29" s="20">
        <f>SUMPRODUCT((足元帳!$K$2:$K$231=B29)*(足元帳!$BB$2:$BB$231=3))</f>
        <v>0</v>
      </c>
      <c r="H29" s="22">
        <f>SUMPRODUCT((足元帳!$K$2:$K$231=B29)*(足元帳!$BB$2:$BB$231=3)*(足元帳!$AZ$2:$AZ$231&lt;=2))</f>
        <v>0</v>
      </c>
      <c r="I29" s="20">
        <f>SUMPRODUCT((足元帳!$K$2:$K$231=B29)*(足元帳!$BB$2:$BB$231=4))</f>
        <v>0</v>
      </c>
      <c r="J29" s="22">
        <f>SUMPRODUCT((足元帳!$K$2:$K$231=B29)*(足元帳!$BB$2:$BB$231=4)*(足元帳!$AZ$2:$AZ$231&lt;=2))</f>
        <v>0</v>
      </c>
      <c r="K29" s="20">
        <f>SUMPRODUCT((足元帳!$K$2:$K$231=B29)*(足元帳!$BB$2:$BB$231=5))</f>
        <v>0</v>
      </c>
      <c r="L29" s="22">
        <f>SUMPRODUCT((足元帳!$K$2:$K$231=B29)*(足元帳!$BB$2:$BB$231=5)*(足元帳!$AZ$2:$AZ$231&lt;=2))</f>
        <v>0</v>
      </c>
      <c r="M29" s="20">
        <f>SUMPRODUCT((足元帳!$K$2:$K$231=B29)*(足元帳!$BB$2:$BB$231=6))</f>
        <v>0</v>
      </c>
      <c r="N29" s="20">
        <f>SUMPRODUCT((足元帳!$K$2:$K$231=B29)*(足元帳!$BB$2:$BB$231=6)*(足元帳!$AZ$2:$AZ$231&lt;=2))</f>
        <v>0</v>
      </c>
      <c r="O29" s="20"/>
      <c r="P29" s="20">
        <f>SUMPRODUCT((足元帳!$K$2:$K$231=B29)*(足元帳!$AS$2:$AS$231=足元帳!$AS$1)*(足元帳!$BB$2:$BB$231=1)*500)+SUMPRODUCT((足元帳!$K$2:$K$231=B29)*(足元帳!$AS$2:$AS$231=足元帳!$AS$1)*(足元帳!$BB$2:$BB$231=2)*500)+SUMPRODUCT((足元帳!$K$2:$K$231=B29)*(足元帳!$AS$2:$AS$231=足元帳!$AS$1)*(足元帳!$BB$2:$BB$231=3)*500)+SUMPRODUCT((足元帳!$K$2:$K$231=B29)*(足元帳!$AS$2:$AS$231=足元帳!$AS$1)*(足元帳!$BB$2:$BB$231=4)*1000)+SUMPRODUCT((足元帳!$K$2:$K$231=B29)*(足元帳!$AS$2:$AS$231=足元帳!$AS$1)*(足元帳!$BB$2:$BB$231=5)*1000)+SUMPRODUCT((足元帳!$K$2:$K$231=B29)*(足元帳!$AS$2:$AS$231=足元帳!$AS$1)*(足元帳!$BB$2:$BB$231=6)*300)</f>
        <v>0</v>
      </c>
      <c r="Q29" s="20">
        <f>SUMPRODUCT((足元帳!$K$2:$K$231=B29)*(足元帳!$BQ$2:$BV$231=Q$20))</f>
        <v>0</v>
      </c>
      <c r="R29" s="20">
        <f>SUMPRODUCT((足元帳!$K$2:$K$231=B29)*(足元帳!$BQ$2:$BV$231=R$20))</f>
        <v>0</v>
      </c>
      <c r="S29" s="20">
        <f>SUMPRODUCT((足元帳!$K$2:$K$231=B29)*(足元帳!$BQ$2:$BV$231=S$20))</f>
        <v>0</v>
      </c>
      <c r="T29" s="20">
        <f>SUMPRODUCT((足元帳!$K$2:$K$231=B29)*(足元帳!$BQ$2:$BV$231=T$20))</f>
        <v>0</v>
      </c>
      <c r="U29" s="20">
        <f>SUMPRODUCT((足元帳!$K$2:$K$231=B29)*(足元帳!$BK$2:$BK$231=3000)*3000)+SUMPRODUCT((足元帳!$K$2:$K$231=B29)*(足元帳!$BK$2:$BK$231=4000)*4000)+SUMPRODUCT((足元帳!$K$2:$K$231=B29)*(足元帳!$BK$2:$BK$231=5000)*5000)+SUMPRODUCT((足元帳!$K$2:$K$231=B29)*(足元帳!$BK$2:$BK$231=6000)*6000)</f>
        <v>0</v>
      </c>
      <c r="V29" s="20"/>
      <c r="W29" s="256"/>
      <c r="X29" s="131">
        <f t="shared" si="2"/>
        <v>0</v>
      </c>
      <c r="Y29" s="131">
        <f t="shared" si="3"/>
        <v>0</v>
      </c>
      <c r="Z29" s="132">
        <f>C29*C$11+E29*E$11+G29*G$11+I29*I$11+K29*K$11+M29*M$11+X29+Y29
+IF(管理シート!$BQ$4 &lt;&gt; "ON",0,SUMPRODUCT((足元帳!$K$2:$K$231=B29)*(足元帳!$BB$2:$BB$231=4)*(足元帳!$AZ$2:$AZ$231&gt;=3)*(足元帳!$AP$2:$AP$231&lt;&gt;""))*管理シート!$BP$4)+
IF(管理シート!$BQ$5 &lt;&gt; "ON",0,SUMPRODUCT((足元帳!$K$2:$K$231=B29)*(足元帳!$BB$2:$BB$231=5)*(足元帳!$AZ$2:$AZ$231&gt;=3)*(足元帳!$AP$2:$AP$231&lt;&gt;""))*管理シート!$BP$5)</f>
        <v>0</v>
      </c>
      <c r="AA29" s="131">
        <f t="shared" si="4"/>
        <v>0</v>
      </c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4">
        <f t="shared" si="5"/>
        <v>0</v>
      </c>
      <c r="AZ29" s="4"/>
      <c r="BA29" s="4"/>
      <c r="BB29" s="6" t="str">
        <f t="shared" si="6"/>
        <v/>
      </c>
      <c r="BC29" s="7" t="str">
        <f>管理シート!CB12</f>
        <v>協力店優待券</v>
      </c>
      <c r="BD29" s="23">
        <f>SUMPRODUCT((足元帳!$BB$2:$BB$231=1)*(足元帳!$BJ$2:$BJ$231=9))</f>
        <v>0</v>
      </c>
      <c r="BE29" s="23">
        <f>SUMPRODUCT((足元帳!$BB$2:$BB$231=2)*(足元帳!$BJ$2:$BJ$231=9))</f>
        <v>0</v>
      </c>
      <c r="BF29" s="23">
        <f>SUMPRODUCT((足元帳!$BB$2:$BB$231=3)*(足元帳!$BJ$2:$BJ$231=9))</f>
        <v>0</v>
      </c>
      <c r="BG29" s="23">
        <f>SUMPRODUCT((足元帳!$BB$2:$BB$231=4)*(足元帳!$BJ$2:$BJ$231=9))</f>
        <v>0</v>
      </c>
      <c r="BH29" s="23">
        <f>SUMPRODUCT((足元帳!$BB$2:$BB$231=5)*(足元帳!$BJ$2:$BJ$231=9))</f>
        <v>0</v>
      </c>
      <c r="BI29" s="23">
        <f>SUMPRODUCT((足元帳!$BB$2:$BB$231=6)*(足元帳!$BJ$2:$BJ$231=9))</f>
        <v>0</v>
      </c>
      <c r="BJ29" s="79">
        <f>SUMPRODUCT((足元帳!$BB$2:$BB$231=7)*(足元帳!$BJ$2:$BJ$231=9))</f>
        <v>0</v>
      </c>
      <c r="BK29" s="298">
        <f t="shared" si="8"/>
        <v>0</v>
      </c>
      <c r="BL29" s="7" t="str">
        <f>管理シート!CB12</f>
        <v>協力店優待券</v>
      </c>
      <c r="BM29" s="45"/>
      <c r="BN29" s="45"/>
      <c r="BO29" s="45"/>
      <c r="BP29" s="45"/>
      <c r="BQ29" s="45"/>
      <c r="BR29" s="45"/>
      <c r="BS29" s="46"/>
      <c r="BT29" s="1">
        <f t="shared" si="10"/>
        <v>0</v>
      </c>
      <c r="BW29" s="28"/>
      <c r="BX29" s="28"/>
      <c r="BY29" s="254"/>
      <c r="BZ29" s="7" t="str">
        <f t="shared" si="9"/>
        <v>協力店優待券</v>
      </c>
      <c r="CA29" s="45">
        <f>SUMPRODUCT((足元帳!$BB$2:$BB$231=1)*(足元帳!$BJ$2:$BJ$231=9)*(足元帳!$AL$2:$AL$231="●"))</f>
        <v>0</v>
      </c>
      <c r="CB29" s="45">
        <f>SUMPRODUCT((足元帳!$BB$2:$BB$231=2)*(足元帳!$BJ$2:$BJ$231=9)*(足元帳!$AL$2:$AL$231="●"))</f>
        <v>0</v>
      </c>
      <c r="CC29" s="45">
        <f>SUMPRODUCT((足元帳!$BB$2:$BB$231=3)*(足元帳!$BJ$2:$BJ$231=9)*(足元帳!$AL$2:$AL$231="●"))</f>
        <v>0</v>
      </c>
      <c r="CD29" s="45">
        <f>SUMPRODUCT((足元帳!$BB$2:$BB$231=4)*(足元帳!$BJ$2:$BJ$231=9)*(足元帳!$AL$2:$AL$231="●"))</f>
        <v>0</v>
      </c>
      <c r="CE29" s="8">
        <f>SUMPRODUCT((足元帳!$BB$2:$BB$231=5)*(足元帳!$BJ$2:$BJ$231=9)*(足元帳!$AL$2:$AL$231="●"))</f>
        <v>0</v>
      </c>
      <c r="CF29" s="45">
        <f>SUMPRODUCT((足元帳!$BB$2:$BB$231=6)*(足元帳!$BJ$2:$BJ$231=9)*(足元帳!$AL$2:$AL$231="●"))</f>
        <v>0</v>
      </c>
      <c r="CG29" s="46">
        <f>SUMPRODUCT((足元帳!$BB$2:$BB$231=7)*(足元帳!$BJ$2:$BJ$231=9)*(足元帳!$AL$2:$AL$231="●"))</f>
        <v>0</v>
      </c>
      <c r="CH29" s="1">
        <f t="shared" si="7"/>
        <v>0</v>
      </c>
    </row>
    <row r="30" spans="1:87" ht="33.75" customHeight="1">
      <c r="A30" s="47">
        <v>10</v>
      </c>
      <c r="B30" s="10"/>
      <c r="C30" s="20">
        <f>SUMPRODUCT((足元帳!$K$2:$K$231=B30)*(足元帳!$BB$2:$BB$231=1))</f>
        <v>0</v>
      </c>
      <c r="D30" s="21">
        <f>SUMPRODUCT((足元帳!$K$2:$K$231=B30)*(足元帳!$BB$2:$BB$231=1)*(足元帳!$AZ$2:$AZ$231&lt;=2))</f>
        <v>0</v>
      </c>
      <c r="E30" s="20">
        <f>SUMPRODUCT((足元帳!$K$2:$K$231=B30)*(足元帳!$BB$2:$BB$231=2))</f>
        <v>0</v>
      </c>
      <c r="F30" s="22">
        <f>SUMPRODUCT((足元帳!$K$2:$K$231=B30)*(足元帳!$BB$2:$BB$231=2)*(足元帳!$AZ$2:$AZ$231&lt;=2))</f>
        <v>0</v>
      </c>
      <c r="G30" s="20">
        <f>SUMPRODUCT((足元帳!$K$2:$K$231=B30)*(足元帳!$BB$2:$BB$231=3))</f>
        <v>0</v>
      </c>
      <c r="H30" s="22">
        <f>SUMPRODUCT((足元帳!$K$2:$K$231=B30)*(足元帳!$BB$2:$BB$231=3)*(足元帳!$AZ$2:$AZ$231&lt;=2))</f>
        <v>0</v>
      </c>
      <c r="I30" s="20">
        <f>SUMPRODUCT((足元帳!$K$2:$K$231=B30)*(足元帳!$BB$2:$BB$231=4))</f>
        <v>0</v>
      </c>
      <c r="J30" s="22">
        <f>SUMPRODUCT((足元帳!$K$2:$K$231=B30)*(足元帳!$BB$2:$BB$231=4)*(足元帳!$AZ$2:$AZ$231&lt;=2))</f>
        <v>0</v>
      </c>
      <c r="K30" s="20">
        <f>SUMPRODUCT((足元帳!$K$2:$K$231=B30)*(足元帳!$BB$2:$BB$231=5))</f>
        <v>0</v>
      </c>
      <c r="L30" s="22">
        <f>SUMPRODUCT((足元帳!$K$2:$K$231=B30)*(足元帳!$BB$2:$BB$231=5)*(足元帳!$AZ$2:$AZ$231&lt;=2))</f>
        <v>0</v>
      </c>
      <c r="M30" s="20">
        <f>SUMPRODUCT((足元帳!$K$2:$K$231=B30)*(足元帳!$BB$2:$BB$231=6))</f>
        <v>0</v>
      </c>
      <c r="N30" s="20">
        <f>SUMPRODUCT((足元帳!$K$2:$K$231=B30)*(足元帳!$BB$2:$BB$231=6)*(足元帳!$AZ$2:$AZ$231&lt;=2))</f>
        <v>0</v>
      </c>
      <c r="O30" s="20"/>
      <c r="P30" s="20">
        <f>SUMPRODUCT((足元帳!$K$2:$K$231=B30)*(足元帳!$AS$2:$AS$231=足元帳!$AS$1)*(足元帳!$BB$2:$BB$231=1)*500)+SUMPRODUCT((足元帳!$K$2:$K$231=B30)*(足元帳!$AS$2:$AS$231=足元帳!$AS$1)*(足元帳!$BB$2:$BB$231=2)*500)+SUMPRODUCT((足元帳!$K$2:$K$231=B30)*(足元帳!$AS$2:$AS$231=足元帳!$AS$1)*(足元帳!$BB$2:$BB$231=3)*500)+SUMPRODUCT((足元帳!$K$2:$K$231=B30)*(足元帳!$AS$2:$AS$231=足元帳!$AS$1)*(足元帳!$BB$2:$BB$231=4)*1000)+SUMPRODUCT((足元帳!$K$2:$K$231=B30)*(足元帳!$AS$2:$AS$231=足元帳!$AS$1)*(足元帳!$BB$2:$BB$231=5)*1000)+SUMPRODUCT((足元帳!$K$2:$K$231=B30)*(足元帳!$AS$2:$AS$231=足元帳!$AS$1)*(足元帳!$BB$2:$BB$231=6)*300)</f>
        <v>0</v>
      </c>
      <c r="Q30" s="20">
        <f>SUMPRODUCT((足元帳!$K$2:$K$231=B30)*(足元帳!$BQ$2:$BV$231=Q$20))</f>
        <v>0</v>
      </c>
      <c r="R30" s="20">
        <f>SUMPRODUCT((足元帳!$K$2:$K$231=B30)*(足元帳!$BQ$2:$BV$231=R$20))</f>
        <v>0</v>
      </c>
      <c r="S30" s="20">
        <f>SUMPRODUCT((足元帳!$K$2:$K$231=B30)*(足元帳!$BQ$2:$BV$231=S$20))</f>
        <v>0</v>
      </c>
      <c r="T30" s="20">
        <f>SUMPRODUCT((足元帳!$K$2:$K$231=B30)*(足元帳!$BQ$2:$BV$231=T$20))</f>
        <v>0</v>
      </c>
      <c r="U30" s="20">
        <f>SUMPRODUCT((足元帳!$K$2:$K$231=B30)*(足元帳!$BK$2:$BK$231=3000)*3000)+SUMPRODUCT((足元帳!$K$2:$K$231=B30)*(足元帳!$BK$2:$BK$231=4000)*4000)+SUMPRODUCT((足元帳!$K$2:$K$231=B30)*(足元帳!$BK$2:$BK$231=5000)*5000)+SUMPRODUCT((足元帳!$K$2:$K$231=B30)*(足元帳!$BK$2:$BK$231=6000)*6000)</f>
        <v>0</v>
      </c>
      <c r="V30" s="20"/>
      <c r="W30" s="256"/>
      <c r="X30" s="131">
        <f t="shared" si="2"/>
        <v>0</v>
      </c>
      <c r="Y30" s="131">
        <f t="shared" si="3"/>
        <v>0</v>
      </c>
      <c r="Z30" s="132">
        <f>C30*C$11+E30*E$11+G30*G$11+I30*I$11+K30*K$11+M30*M$11+X30+Y30
+IF(管理シート!$BQ$4 &lt;&gt; "ON",0,SUMPRODUCT((足元帳!$K$2:$K$231=B30)*(足元帳!$BB$2:$BB$231=4)*(足元帳!$AZ$2:$AZ$231&gt;=3)*(足元帳!$AP$2:$AP$231&lt;&gt;""))*管理シート!$BP$4)+
IF(管理シート!$BQ$5 &lt;&gt; "ON",0,SUMPRODUCT((足元帳!$K$2:$K$231=B30)*(足元帳!$BB$2:$BB$231=5)*(足元帳!$AZ$2:$AZ$231&gt;=3)*(足元帳!$AP$2:$AP$231&lt;&gt;""))*管理シート!$BP$5)</f>
        <v>0</v>
      </c>
      <c r="AA30" s="131">
        <f t="shared" si="4"/>
        <v>0</v>
      </c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4">
        <f t="shared" si="5"/>
        <v>0</v>
      </c>
      <c r="AZ30" s="4"/>
      <c r="BA30" s="4"/>
      <c r="BB30" s="6" t="str">
        <f t="shared" si="6"/>
        <v/>
      </c>
      <c r="BC30" s="510" t="s">
        <v>364</v>
      </c>
      <c r="BD30" s="8" t="s">
        <v>365</v>
      </c>
      <c r="BE30" s="8" t="s">
        <v>366</v>
      </c>
      <c r="BF30" s="8" t="s">
        <v>367</v>
      </c>
      <c r="BG30" s="8" t="s">
        <v>368</v>
      </c>
      <c r="BH30" s="8" t="s">
        <v>369</v>
      </c>
      <c r="BI30" s="45" t="s">
        <v>370</v>
      </c>
      <c r="BJ30" s="8" t="s">
        <v>371</v>
      </c>
      <c r="BK30" s="298"/>
      <c r="BL30" s="258" t="str">
        <f>BC30</f>
        <v>-</v>
      </c>
      <c r="BM30" s="9" t="str">
        <f>BD30</f>
        <v>特殊</v>
      </c>
      <c r="BN30" s="9" t="str">
        <f t="shared" ref="BN30:BS30" si="11">BE30</f>
        <v>特殊2</v>
      </c>
      <c r="BO30" s="9" t="str">
        <f t="shared" si="11"/>
        <v>特殊3</v>
      </c>
      <c r="BP30" s="9" t="str">
        <f t="shared" si="11"/>
        <v>特殊4</v>
      </c>
      <c r="BQ30" s="9" t="str">
        <f t="shared" si="11"/>
        <v>特殊5</v>
      </c>
      <c r="BR30" s="9" t="str">
        <f t="shared" si="11"/>
        <v>特殊6</v>
      </c>
      <c r="BS30" s="189" t="str">
        <f t="shared" si="11"/>
        <v>特殊7</v>
      </c>
      <c r="BU30" s="29" t="s">
        <v>91</v>
      </c>
      <c r="BV30" s="29"/>
      <c r="BW30" s="28"/>
      <c r="BX30" s="28"/>
      <c r="BY30" s="254"/>
      <c r="BZ30" s="7" t="str">
        <f t="shared" si="9"/>
        <v>-</v>
      </c>
      <c r="CA30" s="9" t="str">
        <f>BD30</f>
        <v>特殊</v>
      </c>
      <c r="CB30" s="9" t="str">
        <f t="shared" ref="CB30:CG30" si="12">BE30</f>
        <v>特殊2</v>
      </c>
      <c r="CC30" s="9" t="str">
        <f t="shared" si="12"/>
        <v>特殊3</v>
      </c>
      <c r="CD30" s="9" t="str">
        <f t="shared" si="12"/>
        <v>特殊4</v>
      </c>
      <c r="CE30" s="9" t="str">
        <f t="shared" si="12"/>
        <v>特殊5</v>
      </c>
      <c r="CF30" s="9" t="str">
        <f t="shared" si="12"/>
        <v>特殊6</v>
      </c>
      <c r="CG30" s="189" t="str">
        <f t="shared" si="12"/>
        <v>特殊7</v>
      </c>
      <c r="CI30" s="14" t="s">
        <v>197</v>
      </c>
    </row>
    <row r="31" spans="1:87" ht="33.75" customHeight="1" thickBot="1">
      <c r="A31" s="47">
        <v>11</v>
      </c>
      <c r="B31" s="10"/>
      <c r="C31" s="20">
        <f>SUMPRODUCT((足元帳!$K$2:$K$231=B31)*(足元帳!$BB$2:$BB$231=1))</f>
        <v>0</v>
      </c>
      <c r="D31" s="21">
        <f>SUMPRODUCT((足元帳!$K$2:$K$231=B31)*(足元帳!$BB$2:$BB$231=1)*(足元帳!$AZ$2:$AZ$231&lt;=2))</f>
        <v>0</v>
      </c>
      <c r="E31" s="20">
        <f>SUMPRODUCT((足元帳!$K$2:$K$231=B31)*(足元帳!$BB$2:$BB$231=2))</f>
        <v>0</v>
      </c>
      <c r="F31" s="22">
        <f>SUMPRODUCT((足元帳!$K$2:$K$231=B31)*(足元帳!$BB$2:$BB$231=2)*(足元帳!$AZ$2:$AZ$231&lt;=2))</f>
        <v>0</v>
      </c>
      <c r="G31" s="20">
        <f>SUMPRODUCT((足元帳!$K$2:$K$231=B31)*(足元帳!$BB$2:$BB$231=3))</f>
        <v>0</v>
      </c>
      <c r="H31" s="22">
        <f>SUMPRODUCT((足元帳!$K$2:$K$231=B31)*(足元帳!$BB$2:$BB$231=3)*(足元帳!$AZ$2:$AZ$231&lt;=2))</f>
        <v>0</v>
      </c>
      <c r="I31" s="20">
        <f>SUMPRODUCT((足元帳!$K$2:$K$231=B31)*(足元帳!$BB$2:$BB$231=4))</f>
        <v>0</v>
      </c>
      <c r="J31" s="22">
        <f>SUMPRODUCT((足元帳!$K$2:$K$231=B31)*(足元帳!$BB$2:$BB$231=4)*(足元帳!$AZ$2:$AZ$231&lt;=2))</f>
        <v>0</v>
      </c>
      <c r="K31" s="20">
        <f>SUMPRODUCT((足元帳!$K$2:$K$231=B31)*(足元帳!$BB$2:$BB$231=5))</f>
        <v>0</v>
      </c>
      <c r="L31" s="22">
        <f>SUMPRODUCT((足元帳!$K$2:$K$231=B31)*(足元帳!$BB$2:$BB$231=5)*(足元帳!$AZ$2:$AZ$231&lt;=2))</f>
        <v>0</v>
      </c>
      <c r="M31" s="20">
        <f>SUMPRODUCT((足元帳!$K$2:$K$231=B31)*(足元帳!$BB$2:$BB$231=6))</f>
        <v>0</v>
      </c>
      <c r="N31" s="20">
        <f>SUMPRODUCT((足元帳!$K$2:$K$231=B31)*(足元帳!$BB$2:$BB$231=6)*(足元帳!$AZ$2:$AZ$231&lt;=2))</f>
        <v>0</v>
      </c>
      <c r="O31" s="20"/>
      <c r="P31" s="20">
        <f>SUMPRODUCT((足元帳!$K$2:$K$231=B31)*(足元帳!$AS$2:$AS$231=足元帳!$AS$1)*(足元帳!$BB$2:$BB$231=1)*500)+SUMPRODUCT((足元帳!$K$2:$K$231=B31)*(足元帳!$AS$2:$AS$231=足元帳!$AS$1)*(足元帳!$BB$2:$BB$231=2)*500)+SUMPRODUCT((足元帳!$K$2:$K$231=B31)*(足元帳!$AS$2:$AS$231=足元帳!$AS$1)*(足元帳!$BB$2:$BB$231=3)*500)+SUMPRODUCT((足元帳!$K$2:$K$231=B31)*(足元帳!$AS$2:$AS$231=足元帳!$AS$1)*(足元帳!$BB$2:$BB$231=4)*1000)+SUMPRODUCT((足元帳!$K$2:$K$231=B31)*(足元帳!$AS$2:$AS$231=足元帳!$AS$1)*(足元帳!$BB$2:$BB$231=5)*1000)+SUMPRODUCT((足元帳!$K$2:$K$231=B31)*(足元帳!$AS$2:$AS$231=足元帳!$AS$1)*(足元帳!$BB$2:$BB$231=6)*300)</f>
        <v>0</v>
      </c>
      <c r="Q31" s="20">
        <f>SUMPRODUCT((足元帳!$K$2:$K$231=B31)*(足元帳!$BQ$2:$BV$231=Q$20))</f>
        <v>0</v>
      </c>
      <c r="R31" s="20">
        <f>SUMPRODUCT((足元帳!$K$2:$K$231=B31)*(足元帳!$BQ$2:$BV$231=R$20))</f>
        <v>0</v>
      </c>
      <c r="S31" s="20">
        <f>SUMPRODUCT((足元帳!$K$2:$K$231=B31)*(足元帳!$BQ$2:$BV$231=S$20))</f>
        <v>0</v>
      </c>
      <c r="T31" s="20">
        <f>SUMPRODUCT((足元帳!$K$2:$K$231=B31)*(足元帳!$BQ$2:$BV$231=T$20))</f>
        <v>0</v>
      </c>
      <c r="U31" s="20">
        <f>SUMPRODUCT((足元帳!$K$2:$K$231=B31)*(足元帳!$BK$2:$BK$231=3000)*3000)+SUMPRODUCT((足元帳!$K$2:$K$231=B31)*(足元帳!$BK$2:$BK$231=4000)*4000)+SUMPRODUCT((足元帳!$K$2:$K$231=B31)*(足元帳!$BK$2:$BK$231=5000)*5000)+SUMPRODUCT((足元帳!$K$2:$K$231=B31)*(足元帳!$BK$2:$BK$231=6000)*6000)</f>
        <v>0</v>
      </c>
      <c r="V31" s="20"/>
      <c r="W31" s="256"/>
      <c r="X31" s="131">
        <f t="shared" si="2"/>
        <v>0</v>
      </c>
      <c r="Y31" s="131">
        <f t="shared" si="3"/>
        <v>0</v>
      </c>
      <c r="Z31" s="132">
        <f>C31*C$11+E31*E$11+G31*G$11+I31*I$11+K31*K$11+M31*M$11+X31+Y31
+IF(管理シート!$BQ$4 &lt;&gt; "ON",0,SUMPRODUCT((足元帳!$K$2:$K$231=B31)*(足元帳!$BB$2:$BB$231=4)*(足元帳!$AZ$2:$AZ$231&gt;=3)*(足元帳!$AP$2:$AP$231&lt;&gt;""))*管理シート!$BP$4)+
IF(管理シート!$BQ$5 &lt;&gt; "ON",0,SUMPRODUCT((足元帳!$K$2:$K$231=B31)*(足元帳!$BB$2:$BB$231=5)*(足元帳!$AZ$2:$AZ$231&gt;=3)*(足元帳!$AP$2:$AP$231&lt;&gt;""))*管理シート!$BP$5)</f>
        <v>0</v>
      </c>
      <c r="AA31" s="131">
        <f t="shared" si="4"/>
        <v>0</v>
      </c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4">
        <f t="shared" si="5"/>
        <v>0</v>
      </c>
      <c r="AZ31" s="4"/>
      <c r="BA31" s="5"/>
      <c r="BB31" s="6" t="str">
        <f t="shared" si="6"/>
        <v/>
      </c>
      <c r="BC31" s="511"/>
      <c r="BD31" s="23">
        <f>COUNTIF(足元帳!$BK$2:$BK$231,BD30)</f>
        <v>0</v>
      </c>
      <c r="BE31" s="23">
        <f>COUNTIF(足元帳!$BK$2:$BK$231,2)</f>
        <v>0</v>
      </c>
      <c r="BF31" s="23">
        <f>COUNTIF(足元帳!$BK$2:$BK$231,3)</f>
        <v>0</v>
      </c>
      <c r="BG31" s="23">
        <f>COUNTIF(足元帳!$BK$2:$BK$231,4)</f>
        <v>0</v>
      </c>
      <c r="BH31" s="23">
        <f>COUNTIF(足元帳!$BK$2:$BK$231,5)</f>
        <v>0</v>
      </c>
      <c r="BI31" s="23">
        <f>COUNTIF(足元帳!$BK$2:$BK$231,6)</f>
        <v>0</v>
      </c>
      <c r="BJ31" s="79">
        <f>COUNTIF(足元帳!$BK$2:$BK$231,7)</f>
        <v>0</v>
      </c>
      <c r="BK31" s="298">
        <f t="shared" si="8"/>
        <v>0</v>
      </c>
      <c r="BL31" s="258"/>
      <c r="BM31" s="45">
        <v>1000</v>
      </c>
      <c r="BN31" s="45"/>
      <c r="BO31" s="45"/>
      <c r="BP31" s="45"/>
      <c r="BQ31" s="45"/>
      <c r="BR31" s="45"/>
      <c r="BS31" s="46"/>
      <c r="BT31" s="1">
        <f t="shared" si="10"/>
        <v>0</v>
      </c>
      <c r="BU31" s="2">
        <f>SUM(BT21:BT31)</f>
        <v>0</v>
      </c>
      <c r="BV31" s="29"/>
      <c r="BW31" s="28"/>
      <c r="BX31" s="28"/>
      <c r="BY31" s="254"/>
      <c r="BZ31" s="249"/>
      <c r="CA31" s="45">
        <f>COUNTIF(足元帳!$BK$2:$BK$231,1)</f>
        <v>0</v>
      </c>
      <c r="CB31" s="45">
        <f>COUNTIF(足元帳!$BK$2:$BK$231,2)</f>
        <v>0</v>
      </c>
      <c r="CC31" s="45">
        <f>COUNTIF(足元帳!$BK$2:$BK$231,3)</f>
        <v>0</v>
      </c>
      <c r="CD31" s="45">
        <f>COUNTIF(足元帳!$BK$2:$BK$231,4)</f>
        <v>0</v>
      </c>
      <c r="CE31" s="45">
        <f>COUNTIF(足元帳!$BK$2:$BK$231,5)</f>
        <v>0</v>
      </c>
      <c r="CF31" s="45">
        <f>COUNTIF(足元帳!$BK$2:$BK$231,6)</f>
        <v>0</v>
      </c>
      <c r="CG31" s="46">
        <f>COUNTIF(足元帳!$BK$2:$BK$231,7)</f>
        <v>0</v>
      </c>
      <c r="CH31" s="1">
        <f t="shared" ref="CH31" si="13">CA31*BR31+CB31*BS31+CC31*BT31+CD31*BU31+CE31*BV31+CF31*BW31+CG31*BX31</f>
        <v>0</v>
      </c>
      <c r="CI31" s="2">
        <f>SUM(CH21:CH31)</f>
        <v>0</v>
      </c>
    </row>
    <row r="32" spans="1:87" ht="33.75" customHeight="1">
      <c r="A32" s="47">
        <v>12</v>
      </c>
      <c r="B32" s="10"/>
      <c r="C32" s="20">
        <f>SUMPRODUCT((足元帳!$K$2:$K$231=B32)*(足元帳!$BB$2:$BB$231=1))</f>
        <v>0</v>
      </c>
      <c r="D32" s="21">
        <f>SUMPRODUCT((足元帳!$K$2:$K$231=B32)*(足元帳!$BB$2:$BB$231=1)*(足元帳!$AZ$2:$AZ$231&lt;=2))</f>
        <v>0</v>
      </c>
      <c r="E32" s="20">
        <f>SUMPRODUCT((足元帳!$K$2:$K$231=B32)*(足元帳!$BB$2:$BB$231=2))</f>
        <v>0</v>
      </c>
      <c r="F32" s="22">
        <f>SUMPRODUCT((足元帳!$K$2:$K$231=B32)*(足元帳!$BB$2:$BB$231=2)*(足元帳!$AZ$2:$AZ$231&lt;=2))</f>
        <v>0</v>
      </c>
      <c r="G32" s="20">
        <f>SUMPRODUCT((足元帳!$K$2:$K$231=B32)*(足元帳!$BB$2:$BB$231=3))</f>
        <v>0</v>
      </c>
      <c r="H32" s="22">
        <f>SUMPRODUCT((足元帳!$K$2:$K$231=B32)*(足元帳!$BB$2:$BB$231=3)*(足元帳!$AZ$2:$AZ$231&lt;=2))</f>
        <v>0</v>
      </c>
      <c r="I32" s="20">
        <f>SUMPRODUCT((足元帳!$K$2:$K$231=B32)*(足元帳!$BB$2:$BB$231=4))</f>
        <v>0</v>
      </c>
      <c r="J32" s="22">
        <f>SUMPRODUCT((足元帳!$K$2:$K$231=B32)*(足元帳!$BB$2:$BB$231=4)*(足元帳!$AZ$2:$AZ$231&lt;=2))</f>
        <v>0</v>
      </c>
      <c r="K32" s="20">
        <f>SUMPRODUCT((足元帳!$K$2:$K$231=B32)*(足元帳!$BB$2:$BB$231=5))</f>
        <v>0</v>
      </c>
      <c r="L32" s="22">
        <f>SUMPRODUCT((足元帳!$K$2:$K$231=B32)*(足元帳!$BB$2:$BB$231=5)*(足元帳!$AZ$2:$AZ$231&lt;=2))</f>
        <v>0</v>
      </c>
      <c r="M32" s="20">
        <f>SUMPRODUCT((足元帳!$K$2:$K$231=B32)*(足元帳!$BB$2:$BB$231=6))</f>
        <v>0</v>
      </c>
      <c r="N32" s="20">
        <f>SUMPRODUCT((足元帳!$K$2:$K$231=B32)*(足元帳!$BB$2:$BB$231=6)*(足元帳!$AZ$2:$AZ$231&lt;=2))</f>
        <v>0</v>
      </c>
      <c r="O32" s="20"/>
      <c r="P32" s="20">
        <f>SUMPRODUCT((足元帳!$K$2:$K$231=B32)*(足元帳!$AS$2:$AS$231=足元帳!$AS$1)*(足元帳!$BB$2:$BB$231=1)*500)+SUMPRODUCT((足元帳!$K$2:$K$231=B32)*(足元帳!$AS$2:$AS$231=足元帳!$AS$1)*(足元帳!$BB$2:$BB$231=2)*500)+SUMPRODUCT((足元帳!$K$2:$K$231=B32)*(足元帳!$AS$2:$AS$231=足元帳!$AS$1)*(足元帳!$BB$2:$BB$231=3)*500)+SUMPRODUCT((足元帳!$K$2:$K$231=B32)*(足元帳!$AS$2:$AS$231=足元帳!$AS$1)*(足元帳!$BB$2:$BB$231=4)*1000)+SUMPRODUCT((足元帳!$K$2:$K$231=B32)*(足元帳!$AS$2:$AS$231=足元帳!$AS$1)*(足元帳!$BB$2:$BB$231=5)*1000)+SUMPRODUCT((足元帳!$K$2:$K$231=B32)*(足元帳!$AS$2:$AS$231=足元帳!$AS$1)*(足元帳!$BB$2:$BB$231=6)*300)</f>
        <v>0</v>
      </c>
      <c r="Q32" s="20">
        <f>SUMPRODUCT((足元帳!$K$2:$K$231=B32)*(足元帳!$BQ$2:$BV$231=Q$20))</f>
        <v>0</v>
      </c>
      <c r="R32" s="20">
        <f>SUMPRODUCT((足元帳!$K$2:$K$231=B32)*(足元帳!$BQ$2:$BV$231=R$20))</f>
        <v>0</v>
      </c>
      <c r="S32" s="20">
        <f>SUMPRODUCT((足元帳!$K$2:$K$231=B32)*(足元帳!$BQ$2:$BV$231=S$20))</f>
        <v>0</v>
      </c>
      <c r="T32" s="20">
        <f>SUMPRODUCT((足元帳!$K$2:$K$231=B32)*(足元帳!$BQ$2:$BV$231=T$20))</f>
        <v>0</v>
      </c>
      <c r="U32" s="20">
        <f>SUMPRODUCT((足元帳!$K$2:$K$231=B32)*(足元帳!$BK$2:$BK$231=3000)*3000)+SUMPRODUCT((足元帳!$K$2:$K$231=B32)*(足元帳!$BK$2:$BK$231=4000)*4000)+SUMPRODUCT((足元帳!$K$2:$K$231=B32)*(足元帳!$BK$2:$BK$231=5000)*5000)+SUMPRODUCT((足元帳!$K$2:$K$231=B32)*(足元帳!$BK$2:$BK$231=6000)*6000)</f>
        <v>0</v>
      </c>
      <c r="V32" s="20"/>
      <c r="W32" s="256"/>
      <c r="X32" s="131">
        <f t="shared" si="2"/>
        <v>0</v>
      </c>
      <c r="Y32" s="131">
        <f t="shared" si="3"/>
        <v>0</v>
      </c>
      <c r="Z32" s="132">
        <f>C32*C$11+E32*E$11+G32*G$11+I32*I$11+K32*K$11+M32*M$11+X32+Y32
+IF(管理シート!$BQ$4 &lt;&gt; "ON",0,SUMPRODUCT((足元帳!$K$2:$K$231=B32)*(足元帳!$BB$2:$BB$231=4)*(足元帳!$AZ$2:$AZ$231&gt;=3)*(足元帳!$AP$2:$AP$231&lt;&gt;""))*管理シート!$BP$4)+
IF(管理シート!$BQ$5 &lt;&gt; "ON",0,SUMPRODUCT((足元帳!$K$2:$K$231=B32)*(足元帳!$BB$2:$BB$231=5)*(足元帳!$AZ$2:$AZ$231&gt;=3)*(足元帳!$AP$2:$AP$231&lt;&gt;""))*管理シート!$BP$5)</f>
        <v>0</v>
      </c>
      <c r="AA32" s="131">
        <f t="shared" si="4"/>
        <v>0</v>
      </c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4">
        <f t="shared" si="5"/>
        <v>0</v>
      </c>
      <c r="AZ32" s="4"/>
      <c r="BA32" s="78"/>
      <c r="BB32" s="6" t="str">
        <f t="shared" si="6"/>
        <v/>
      </c>
      <c r="BC32" s="48" t="s">
        <v>92</v>
      </c>
      <c r="BD32" s="24">
        <f>SUMPRODUCT((足元帳!$BB$2:$BB$231=1)*(足元帳!$AL$2:$AL$231="●"))</f>
        <v>0</v>
      </c>
      <c r="BE32" s="24">
        <f>SUMPRODUCT((足元帳!$BB$2:$BB$231=2)*(足元帳!$AL$2:$AL$231="●"))</f>
        <v>0</v>
      </c>
      <c r="BF32" s="24">
        <f>SUMPRODUCT((足元帳!$BB$2:$BB$231=3)*(足元帳!$AL$2:$AL$231="●"))</f>
        <v>0</v>
      </c>
      <c r="BG32" s="24">
        <f>SUMPRODUCT((足元帳!$BB$2:$BB$231=4)*(足元帳!$AL$2:$AL$231="●"))</f>
        <v>0</v>
      </c>
      <c r="BH32" s="24">
        <f>SUMPRODUCT((足元帳!$BB$2:$BB$231=5)*(足元帳!$AL$2:$AL$231="●"))</f>
        <v>0</v>
      </c>
      <c r="BI32" s="24">
        <f>SUMPRODUCT((足元帳!$BB$2:$BB$231=6)*(足元帳!$AL$2:$AL$231="●"))</f>
        <v>0</v>
      </c>
      <c r="BJ32" s="80">
        <f>SUMPRODUCT((足元帳!$BB$2:$BB$231=7)*(足元帳!$AL$2:$AL$231="●"))</f>
        <v>0</v>
      </c>
      <c r="BK32" s="298">
        <f t="shared" si="8"/>
        <v>0</v>
      </c>
      <c r="BL32" s="10" t="s">
        <v>92</v>
      </c>
      <c r="BM32" s="49">
        <v>18000</v>
      </c>
      <c r="BN32" s="49">
        <v>25500</v>
      </c>
      <c r="BO32" s="49">
        <v>33000</v>
      </c>
      <c r="BP32" s="49">
        <v>40500</v>
      </c>
      <c r="BQ32" s="49">
        <v>51000</v>
      </c>
      <c r="BR32" s="49"/>
      <c r="BS32" s="51"/>
      <c r="BT32" s="1">
        <f>BM32*BD32+BN32*BE32+BO32*BF32+BP32*BG32+BQ32*BH32+BR32*BI32+BS32*BJ32</f>
        <v>0</v>
      </c>
      <c r="BU32" s="42"/>
      <c r="BV32" s="42"/>
      <c r="BW32" s="52"/>
      <c r="BX32" s="53"/>
      <c r="BY32" s="257"/>
      <c r="BZ32" s="10" t="s">
        <v>92</v>
      </c>
      <c r="CA32" s="49">
        <f>SUMPRODUCT((足元帳!$BB$2:$BB$231=1)*(足元帳!$AL$2:$AL$231="●"))</f>
        <v>0</v>
      </c>
      <c r="CB32" s="49">
        <f>SUMPRODUCT((足元帳!$BB$2:$BB$231=2)*(足元帳!$AL$2:$AL$231="●"))</f>
        <v>0</v>
      </c>
      <c r="CC32" s="49">
        <f>SUMPRODUCT((足元帳!$BB$2:$BB$231=3)*(足元帳!$AL$2:$AL$231="●"))</f>
        <v>0</v>
      </c>
      <c r="CD32" s="49">
        <f>SUMPRODUCT((足元帳!$BB$2:$BB$231=4)*(足元帳!$AL$2:$AL$231="●"))</f>
        <v>0</v>
      </c>
      <c r="CE32" s="50">
        <f>SUMPRODUCT((足元帳!$BB$2:$BB$231=5)*(足元帳!$AL$2:$AL$231="●"))</f>
        <v>0</v>
      </c>
      <c r="CF32" s="50">
        <f>SUMPRODUCT((足元帳!$BB$2:$BB$231=6)*(足元帳!$AL$2:$AL$231="●"))</f>
        <v>0</v>
      </c>
      <c r="CG32" s="51">
        <f>SUMPRODUCT((足元帳!$BB$2:$BB$231=7)*(足元帳!$AL$2:$AL$231="●"))</f>
        <v>0</v>
      </c>
      <c r="CH32" s="1">
        <f>CA32*BM32+CB32*BN32+CC32*BO32+CD32*BP32+CE32*BQ32+CF32*BR32+CG32*BS32</f>
        <v>0</v>
      </c>
    </row>
    <row r="33" spans="1:86" ht="33.75" customHeight="1">
      <c r="A33" s="47">
        <v>13</v>
      </c>
      <c r="B33" s="10"/>
      <c r="C33" s="20">
        <f>SUMPRODUCT((足元帳!$K$2:$K$231=B33)*(足元帳!$BB$2:$BB$231=1))</f>
        <v>0</v>
      </c>
      <c r="D33" s="21">
        <f>SUMPRODUCT((足元帳!$K$2:$K$231=B33)*(足元帳!$BB$2:$BB$231=1)*(足元帳!$AZ$2:$AZ$231&lt;=2))</f>
        <v>0</v>
      </c>
      <c r="E33" s="20">
        <f>SUMPRODUCT((足元帳!$K$2:$K$231=B33)*(足元帳!$BB$2:$BB$231=2))</f>
        <v>0</v>
      </c>
      <c r="F33" s="22">
        <f>SUMPRODUCT((足元帳!$K$2:$K$231=B33)*(足元帳!$BB$2:$BB$231=2)*(足元帳!$AZ$2:$AZ$231&lt;=2))</f>
        <v>0</v>
      </c>
      <c r="G33" s="20">
        <f>SUMPRODUCT((足元帳!$K$2:$K$231=B33)*(足元帳!$BB$2:$BB$231=3))</f>
        <v>0</v>
      </c>
      <c r="H33" s="22">
        <f>SUMPRODUCT((足元帳!$K$2:$K$231=B33)*(足元帳!$BB$2:$BB$231=3)*(足元帳!$AZ$2:$AZ$231&lt;=2))</f>
        <v>0</v>
      </c>
      <c r="I33" s="20">
        <f>SUMPRODUCT((足元帳!$K$2:$K$231=B33)*(足元帳!$BB$2:$BB$231=4))</f>
        <v>0</v>
      </c>
      <c r="J33" s="22">
        <f>SUMPRODUCT((足元帳!$K$2:$K$231=B33)*(足元帳!$BB$2:$BB$231=4)*(足元帳!$AZ$2:$AZ$231&lt;=2))</f>
        <v>0</v>
      </c>
      <c r="K33" s="20">
        <f>SUMPRODUCT((足元帳!$K$2:$K$231=B33)*(足元帳!$BB$2:$BB$231=5))</f>
        <v>0</v>
      </c>
      <c r="L33" s="22">
        <f>SUMPRODUCT((足元帳!$K$2:$K$231=B33)*(足元帳!$BB$2:$BB$231=5)*(足元帳!$AZ$2:$AZ$231&lt;=2))</f>
        <v>0</v>
      </c>
      <c r="M33" s="20">
        <f>SUMPRODUCT((足元帳!$K$2:$K$231=B33)*(足元帳!$BB$2:$BB$231=6))</f>
        <v>0</v>
      </c>
      <c r="N33" s="20">
        <f>SUMPRODUCT((足元帳!$K$2:$K$231=B33)*(足元帳!$BB$2:$BB$231=6)*(足元帳!$AZ$2:$AZ$231&lt;=2))</f>
        <v>0</v>
      </c>
      <c r="O33" s="20"/>
      <c r="P33" s="20">
        <f>SUMPRODUCT((足元帳!$K$2:$K$231=B33)*(足元帳!$AS$2:$AS$231=足元帳!$AS$1)*(足元帳!$BB$2:$BB$231=1)*500)+SUMPRODUCT((足元帳!$K$2:$K$231=B33)*(足元帳!$AS$2:$AS$231=足元帳!$AS$1)*(足元帳!$BB$2:$BB$231=2)*500)+SUMPRODUCT((足元帳!$K$2:$K$231=B33)*(足元帳!$AS$2:$AS$231=足元帳!$AS$1)*(足元帳!$BB$2:$BB$231=3)*500)+SUMPRODUCT((足元帳!$K$2:$K$231=B33)*(足元帳!$AS$2:$AS$231=足元帳!$AS$1)*(足元帳!$BB$2:$BB$231=4)*1000)+SUMPRODUCT((足元帳!$K$2:$K$231=B33)*(足元帳!$AS$2:$AS$231=足元帳!$AS$1)*(足元帳!$BB$2:$BB$231=5)*1000)+SUMPRODUCT((足元帳!$K$2:$K$231=B33)*(足元帳!$AS$2:$AS$231=足元帳!$AS$1)*(足元帳!$BB$2:$BB$231=6)*300)</f>
        <v>0</v>
      </c>
      <c r="Q33" s="20">
        <f>SUMPRODUCT((足元帳!$K$2:$K$231=B33)*(足元帳!$BQ$2:$BV$231=Q$20))</f>
        <v>0</v>
      </c>
      <c r="R33" s="20">
        <f>SUMPRODUCT((足元帳!$K$2:$K$231=B33)*(足元帳!$BQ$2:$BV$231=R$20))</f>
        <v>0</v>
      </c>
      <c r="S33" s="20">
        <f>SUMPRODUCT((足元帳!$K$2:$K$231=B33)*(足元帳!$BQ$2:$BV$231=S$20))</f>
        <v>0</v>
      </c>
      <c r="T33" s="20">
        <f>SUMPRODUCT((足元帳!$K$2:$K$231=B33)*(足元帳!$BQ$2:$BV$231=T$20))</f>
        <v>0</v>
      </c>
      <c r="U33" s="20">
        <f>SUMPRODUCT((足元帳!$K$2:$K$231=B33)*(足元帳!$BK$2:$BK$231=3000)*3000)+SUMPRODUCT((足元帳!$K$2:$K$231=B33)*(足元帳!$BK$2:$BK$231=4000)*4000)+SUMPRODUCT((足元帳!$K$2:$K$231=B33)*(足元帳!$BK$2:$BK$231=5000)*5000)+SUMPRODUCT((足元帳!$K$2:$K$231=B33)*(足元帳!$BK$2:$BK$231=6000)*6000)</f>
        <v>0</v>
      </c>
      <c r="V33" s="20"/>
      <c r="W33" s="256"/>
      <c r="X33" s="131">
        <f t="shared" si="2"/>
        <v>0</v>
      </c>
      <c r="Y33" s="131">
        <f t="shared" si="3"/>
        <v>0</v>
      </c>
      <c r="Z33" s="132">
        <f>C33*C$11+E33*E$11+G33*G$11+I33*I$11+K33*K$11+M33*M$11+X33+Y33
+IF(管理シート!$BQ$4 &lt;&gt; "ON",0,SUMPRODUCT((足元帳!$K$2:$K$231=B33)*(足元帳!$BB$2:$BB$231=4)*(足元帳!$AZ$2:$AZ$231&gt;=3)*(足元帳!$AP$2:$AP$231&lt;&gt;""))*管理シート!$BP$4)+
IF(管理シート!$BQ$5 &lt;&gt; "ON",0,SUMPRODUCT((足元帳!$K$2:$K$231=B33)*(足元帳!$BB$2:$BB$231=5)*(足元帳!$AZ$2:$AZ$231&gt;=3)*(足元帳!$AP$2:$AP$231&lt;&gt;""))*管理シート!$BP$5)</f>
        <v>0</v>
      </c>
      <c r="AA33" s="131">
        <f t="shared" si="4"/>
        <v>0</v>
      </c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4">
        <f t="shared" si="5"/>
        <v>0</v>
      </c>
      <c r="AZ33" s="4"/>
      <c r="BA33" s="4"/>
      <c r="BB33" s="6" t="str">
        <f t="shared" si="6"/>
        <v/>
      </c>
      <c r="BC33" s="510" t="s">
        <v>93</v>
      </c>
      <c r="BD33" s="11">
        <f>Q20</f>
        <v>2000</v>
      </c>
      <c r="BE33" s="11">
        <f t="shared" ref="BE33:BJ33" si="14">R20</f>
        <v>1000</v>
      </c>
      <c r="BF33" s="11" t="str">
        <f t="shared" si="14"/>
        <v>-</v>
      </c>
      <c r="BG33" s="11" t="str">
        <f t="shared" si="14"/>
        <v>-</v>
      </c>
      <c r="BH33" s="11" t="str">
        <f t="shared" si="14"/>
        <v>-</v>
      </c>
      <c r="BI33" s="11" t="str">
        <f t="shared" si="14"/>
        <v>-</v>
      </c>
      <c r="BJ33" s="81" t="str">
        <f t="shared" si="14"/>
        <v>-</v>
      </c>
      <c r="BK33" s="298"/>
      <c r="BL33" s="258" t="s">
        <v>93</v>
      </c>
      <c r="BM33" s="11"/>
      <c r="BN33" s="11">
        <f t="shared" ref="BN33:BS33" si="15">BE33</f>
        <v>1000</v>
      </c>
      <c r="BO33" s="11" t="str">
        <f t="shared" si="15"/>
        <v>-</v>
      </c>
      <c r="BP33" s="11" t="str">
        <f t="shared" si="15"/>
        <v>-</v>
      </c>
      <c r="BQ33" s="11" t="str">
        <f t="shared" si="15"/>
        <v>-</v>
      </c>
      <c r="BR33" s="11" t="str">
        <f t="shared" si="15"/>
        <v>-</v>
      </c>
      <c r="BS33" s="259" t="str">
        <f t="shared" si="15"/>
        <v>-</v>
      </c>
      <c r="BU33" s="42" t="s">
        <v>94</v>
      </c>
      <c r="BV33" s="42"/>
      <c r="BW33" s="52"/>
      <c r="BX33" s="52"/>
      <c r="BY33" s="257"/>
      <c r="BZ33" s="258" t="s">
        <v>93</v>
      </c>
      <c r="CA33" s="11" t="str">
        <f>AN20</f>
        <v>備13</v>
      </c>
      <c r="CB33" s="11" t="str">
        <f t="shared" ref="CB33:CG33" si="16">AO20</f>
        <v>備14</v>
      </c>
      <c r="CC33" s="11" t="str">
        <f t="shared" si="16"/>
        <v>備15</v>
      </c>
      <c r="CD33" s="11" t="str">
        <f t="shared" si="16"/>
        <v>備16</v>
      </c>
      <c r="CE33" s="11" t="str">
        <f t="shared" si="16"/>
        <v>備17</v>
      </c>
      <c r="CF33" s="11" t="str">
        <f t="shared" si="16"/>
        <v>備18</v>
      </c>
      <c r="CG33" s="259" t="str">
        <f t="shared" si="16"/>
        <v>備19</v>
      </c>
    </row>
    <row r="34" spans="1:86" ht="33.75" customHeight="1" thickBot="1">
      <c r="A34" s="47">
        <v>14</v>
      </c>
      <c r="B34" s="10"/>
      <c r="C34" s="20">
        <f>SUMPRODUCT((足元帳!$K$2:$K$231=B34)*(足元帳!$BB$2:$BB$231=1))</f>
        <v>0</v>
      </c>
      <c r="D34" s="21">
        <f>SUMPRODUCT((足元帳!$K$2:$K$231=B34)*(足元帳!$BB$2:$BB$231=1)*(足元帳!$AZ$2:$AZ$231&lt;=2))</f>
        <v>0</v>
      </c>
      <c r="E34" s="20">
        <f>SUMPRODUCT((足元帳!$K$2:$K$231=B34)*(足元帳!$BB$2:$BB$231=2))</f>
        <v>0</v>
      </c>
      <c r="F34" s="22">
        <f>SUMPRODUCT((足元帳!$K$2:$K$231=B34)*(足元帳!$BB$2:$BB$231=2)*(足元帳!$AZ$2:$AZ$231&lt;=2))</f>
        <v>0</v>
      </c>
      <c r="G34" s="20">
        <f>SUMPRODUCT((足元帳!$K$2:$K$231=B34)*(足元帳!$BB$2:$BB$231=3))</f>
        <v>0</v>
      </c>
      <c r="H34" s="22">
        <f>SUMPRODUCT((足元帳!$K$2:$K$231=B34)*(足元帳!$BB$2:$BB$231=3)*(足元帳!$AZ$2:$AZ$231&lt;=2))</f>
        <v>0</v>
      </c>
      <c r="I34" s="20">
        <f>SUMPRODUCT((足元帳!$K$2:$K$231=B34)*(足元帳!$BB$2:$BB$231=4))</f>
        <v>0</v>
      </c>
      <c r="J34" s="22">
        <f>SUMPRODUCT((足元帳!$K$2:$K$231=B34)*(足元帳!$BB$2:$BB$231=4)*(足元帳!$AZ$2:$AZ$231&lt;=2))</f>
        <v>0</v>
      </c>
      <c r="K34" s="20">
        <f>SUMPRODUCT((足元帳!$K$2:$K$231=B34)*(足元帳!$BB$2:$BB$231=5))</f>
        <v>0</v>
      </c>
      <c r="L34" s="22">
        <f>SUMPRODUCT((足元帳!$K$2:$K$231=B34)*(足元帳!$BB$2:$BB$231=5)*(足元帳!$AZ$2:$AZ$231&lt;=2))</f>
        <v>0</v>
      </c>
      <c r="M34" s="20">
        <f>SUMPRODUCT((足元帳!$K$2:$K$231=B34)*(足元帳!$BB$2:$BB$231=6))</f>
        <v>0</v>
      </c>
      <c r="N34" s="20">
        <f>SUMPRODUCT((足元帳!$K$2:$K$231=B34)*(足元帳!$BB$2:$BB$231=6)*(足元帳!$AZ$2:$AZ$231&lt;=2))</f>
        <v>0</v>
      </c>
      <c r="O34" s="20"/>
      <c r="P34" s="20">
        <f>SUMPRODUCT((足元帳!$K$2:$K$231=B34)*(足元帳!$AS$2:$AS$231=足元帳!$AS$1)*(足元帳!$BB$2:$BB$231=1)*500)+SUMPRODUCT((足元帳!$K$2:$K$231=B34)*(足元帳!$AS$2:$AS$231=足元帳!$AS$1)*(足元帳!$BB$2:$BB$231=2)*500)+SUMPRODUCT((足元帳!$K$2:$K$231=B34)*(足元帳!$AS$2:$AS$231=足元帳!$AS$1)*(足元帳!$BB$2:$BB$231=3)*500)+SUMPRODUCT((足元帳!$K$2:$K$231=B34)*(足元帳!$AS$2:$AS$231=足元帳!$AS$1)*(足元帳!$BB$2:$BB$231=4)*1000)+SUMPRODUCT((足元帳!$K$2:$K$231=B34)*(足元帳!$AS$2:$AS$231=足元帳!$AS$1)*(足元帳!$BB$2:$BB$231=5)*1000)+SUMPRODUCT((足元帳!$K$2:$K$231=B34)*(足元帳!$AS$2:$AS$231=足元帳!$AS$1)*(足元帳!$BB$2:$BB$231=6)*300)</f>
        <v>0</v>
      </c>
      <c r="Q34" s="20">
        <f>SUMPRODUCT((足元帳!$K$2:$K$231=B34)*(足元帳!$BQ$2:$BV$231=Q$20))</f>
        <v>0</v>
      </c>
      <c r="R34" s="20">
        <f>SUMPRODUCT((足元帳!$K$2:$K$231=B34)*(足元帳!$BQ$2:$BV$231=R$20))</f>
        <v>0</v>
      </c>
      <c r="S34" s="20">
        <f>SUMPRODUCT((足元帳!$K$2:$K$231=B34)*(足元帳!$BQ$2:$BV$231=S$20))</f>
        <v>0</v>
      </c>
      <c r="T34" s="20">
        <f>SUMPRODUCT((足元帳!$K$2:$K$231=B34)*(足元帳!$BQ$2:$BV$231=T$20))</f>
        <v>0</v>
      </c>
      <c r="U34" s="20">
        <f>SUMPRODUCT((足元帳!$K$2:$K$231=B34)*(足元帳!$BK$2:$BK$231=3000)*3000)+SUMPRODUCT((足元帳!$K$2:$K$231=B34)*(足元帳!$BK$2:$BK$231=4000)*4000)+SUMPRODUCT((足元帳!$K$2:$K$231=B34)*(足元帳!$BK$2:$BK$231=5000)*5000)+SUMPRODUCT((足元帳!$K$2:$K$231=B34)*(足元帳!$BK$2:$BK$231=6000)*6000)</f>
        <v>0</v>
      </c>
      <c r="V34" s="20"/>
      <c r="W34" s="256"/>
      <c r="X34" s="131">
        <f t="shared" si="2"/>
        <v>0</v>
      </c>
      <c r="Y34" s="131">
        <f t="shared" si="3"/>
        <v>0</v>
      </c>
      <c r="Z34" s="132">
        <f>C34*C$11+E34*E$11+G34*G$11+I34*I$11+K34*K$11+M34*M$11+X34+Y34
+IF(管理シート!$BQ$4 &lt;&gt; "ON",0,SUMPRODUCT((足元帳!$K$2:$K$231=B34)*(足元帳!$BB$2:$BB$231=4)*(足元帳!$AZ$2:$AZ$231&gt;=3)*(足元帳!$AP$2:$AP$231&lt;&gt;""))*管理シート!$BP$4)+
IF(管理シート!$BQ$5 &lt;&gt; "ON",0,SUMPRODUCT((足元帳!$K$2:$K$231=B34)*(足元帳!$BB$2:$BB$231=5)*(足元帳!$AZ$2:$AZ$231&gt;=3)*(足元帳!$AP$2:$AP$231&lt;&gt;""))*管理シート!$BP$5)</f>
        <v>0</v>
      </c>
      <c r="AA34" s="131">
        <f t="shared" si="4"/>
        <v>0</v>
      </c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4">
        <f t="shared" si="5"/>
        <v>0</v>
      </c>
      <c r="AZ34" s="4"/>
      <c r="BA34" s="4"/>
      <c r="BB34" s="6" t="str">
        <f t="shared" si="6"/>
        <v/>
      </c>
      <c r="BC34" s="525"/>
      <c r="BD34" s="25">
        <f>COUNTIFS(足元帳!$AL$2:$AL$231,"●",足元帳!$BQ$2:$BQ$231,BD33)+
COUNTIFS(足元帳!$AL$2:$AL$231,"●",足元帳!$BR$2:$BR$231,BD33)+
COUNTIFS(足元帳!$AL$2:$AL$231,"●",足元帳!$BS$2:$BS$231,BD33)+
COUNTIFS(足元帳!$AL$2:$AL$231,"●",足元帳!$BT$2:$BT$231,BD33)+
COUNTIFS(足元帳!$AL$2:$AL$231,"●",足元帳!$BU$2:$BU$231,BD33)+
COUNTIFS(足元帳!$AL$2:$AL$231,"●",足元帳!$BV$2:$BV$231,BD33)</f>
        <v>0</v>
      </c>
      <c r="BE34" s="25">
        <f>COUNTIFS(足元帳!$AL$2:$AL$231,"●",足元帳!$BQ$2:$BQ$231,BE33)+
COUNTIFS(足元帳!$AL$2:$AL$231,"●",足元帳!$BR$2:$BR$231,BE33)+
COUNTIFS(足元帳!$AL$2:$AL$231,"●",足元帳!$BS$2:$BS$231,BE33)+
COUNTIFS(足元帳!$AL$2:$AL$231,"●",足元帳!$BT$2:$BT$231,BE33)+
COUNTIFS(足元帳!$AL$2:$AL$231,"●",足元帳!$BU$2:$BU$231,BE33)+
COUNTIFS(足元帳!$AL$2:$AL$231,"●",足元帳!$BV$2:$BV$231,BE33)</f>
        <v>0</v>
      </c>
      <c r="BF34" s="25">
        <f>COUNTIFS(足元帳!$AL$2:$AL$231,"●",足元帳!$BQ$2:$BQ$231,BF33)+
COUNTIFS(足元帳!$AL$2:$AL$231,"●",足元帳!$BR$2:$BR$231,BF33)+
COUNTIFS(足元帳!$AL$2:$AL$231,"●",足元帳!$BS$2:$BS$231,BF33)+
COUNTIFS(足元帳!$AL$2:$AL$231,"●",足元帳!$BT$2:$BT$231,BF33)+
COUNTIFS(足元帳!$AL$2:$AL$231,"●",足元帳!$BU$2:$BU$231,BF33)+
COUNTIFS(足元帳!$AL$2:$AL$231,"●",足元帳!$BV$2:$BV$231,BF33)</f>
        <v>0</v>
      </c>
      <c r="BG34" s="25">
        <f>COUNTIFS(足元帳!$AL$2:$AL$231,"●",足元帳!$BQ$2:$BQ$231,BG33)+
COUNTIFS(足元帳!$AL$2:$AL$231,"●",足元帳!$BR$2:$BR$231,BG33)+
COUNTIFS(足元帳!$AL$2:$AL$231,"●",足元帳!$BS$2:$BS$231,BG33)+
COUNTIFS(足元帳!$AL$2:$AL$231,"●",足元帳!$BT$2:$BT$231,BG33)+
COUNTIFS(足元帳!$AL$2:$AL$231,"●",足元帳!$BU$2:$BU$231,BG33)+
COUNTIFS(足元帳!$AL$2:$AL$231,"●",足元帳!$BV$2:$BV$231,BG33)</f>
        <v>0</v>
      </c>
      <c r="BH34" s="25">
        <f>COUNTIFS(足元帳!$AL$2:$AL$231,"●",足元帳!$BK$2:$BK$231,"&lt;&gt;0")</f>
        <v>0</v>
      </c>
      <c r="BI34" s="25"/>
      <c r="BJ34" s="12"/>
      <c r="BK34" s="299">
        <f t="shared" si="8"/>
        <v>0</v>
      </c>
      <c r="BL34" s="260"/>
      <c r="BM34" s="54">
        <v>2000</v>
      </c>
      <c r="BN34" s="54">
        <v>2000</v>
      </c>
      <c r="BO34" s="54">
        <v>1500</v>
      </c>
      <c r="BP34" s="54">
        <v>1000</v>
      </c>
      <c r="BQ34" s="54"/>
      <c r="BR34" s="54"/>
      <c r="BS34" s="13"/>
      <c r="BT34" s="1">
        <f t="shared" si="10"/>
        <v>0</v>
      </c>
      <c r="BU34" s="3">
        <f>SUM(BT32:BT34)</f>
        <v>0</v>
      </c>
      <c r="BV34" s="42"/>
      <c r="BW34" s="52"/>
      <c r="BX34" s="52"/>
      <c r="BY34" s="257"/>
      <c r="BZ34" s="260"/>
      <c r="CA34" s="54">
        <f>COUNTIFS(足元帳!$AL$2:$AL$231,"●",足元帳!$BQ$2:$BQ$231,CA33)+
COUNTIFS(足元帳!$AL$2:$AL$231,"●",足元帳!$BR$2:$BR$231,CA33)+
COUNTIFS(足元帳!$AL$2:$AL$231,"●",足元帳!$BS$2:$BS$231,CA33)+
COUNTIFS(足元帳!$AL$2:$AL$231,"●",足元帳!$BT$2:$BT$231,CA33)+
COUNTIFS(足元帳!$AL$2:$AL$231,"●",足元帳!$BU$2:$BU$231,CA33)+
COUNTIFS(足元帳!$AL$2:$AL$231,"●",足元帳!$BV$2:$BV$231,CA33)</f>
        <v>0</v>
      </c>
      <c r="CB34" s="54">
        <f>COUNTIFS(足元帳!$AL$2:$AL$231,"●",足元帳!$BQ$2:$BQ$231,CB33)+
COUNTIFS(足元帳!$AL$2:$AL$231,"●",足元帳!$BR$2:$BR$231,CB33)+
COUNTIFS(足元帳!$AL$2:$AL$231,"●",足元帳!$BS$2:$BS$231,CB33)+
COUNTIFS(足元帳!$AL$2:$AL$231,"●",足元帳!$BT$2:$BT$231,CB33)+
COUNTIFS(足元帳!$AL$2:$AL$231,"●",足元帳!$BU$2:$BU$231,CB33)+
COUNTIFS(足元帳!$AL$2:$AL$231,"●",足元帳!$BV$2:$BV$231,CB33)</f>
        <v>0</v>
      </c>
      <c r="CC34" s="54">
        <f>COUNTIFS(足元帳!$AL$2:$AL$231,"●",足元帳!$BQ$2:$BQ$231,CC33)+
COUNTIFS(足元帳!$AL$2:$AL$231,"●",足元帳!$BR$2:$BR$231,CC33)+
COUNTIFS(足元帳!$AL$2:$AL$231,"●",足元帳!$BS$2:$BS$231,CC33)+
COUNTIFS(足元帳!$AL$2:$AL$231,"●",足元帳!$BT$2:$BT$231,CC33)+
COUNTIFS(足元帳!$AL$2:$AL$231,"●",足元帳!$BU$2:$BU$231,CC33)+
COUNTIFS(足元帳!$AL$2:$AL$231,"●",足元帳!$BV$2:$BV$231,CC33)</f>
        <v>0</v>
      </c>
      <c r="CD34" s="54">
        <f>COUNTIFS(足元帳!$AL$2:$AL$231,"●",足元帳!$BQ$2:$BQ$231,CD33)+
COUNTIFS(足元帳!$AL$2:$AL$231,"●",足元帳!$BR$2:$BR$231,CD33)+
COUNTIFS(足元帳!$AL$2:$AL$231,"●",足元帳!$BS$2:$BS$231,CD33)+
COUNTIFS(足元帳!$AL$2:$AL$231,"●",足元帳!$BT$2:$BT$231,CD33)+
COUNTIFS(足元帳!$AL$2:$AL$231,"●",足元帳!$BU$2:$BU$231,CD33)+
COUNTIFS(足元帳!$AL$2:$AL$231,"●",足元帳!$BV$2:$BV$231,CD33)</f>
        <v>0</v>
      </c>
      <c r="CE34" s="12">
        <f>COUNTIFS(足元帳!$AL$2:$AL$231,"●",足元帳!$BQ$2:$BQ$231,CE33)+
COUNTIFS(足元帳!$AL$2:$AL$231,"●",足元帳!$BR$2:$BR$231,CE33)+
COUNTIFS(足元帳!$AL$2:$AL$231,"●",足元帳!$BS$2:$BS$231,CE33)+
COUNTIFS(足元帳!$AL$2:$AL$231,"●",足元帳!$BT$2:$BT$231,CE33)+
COUNTIFS(足元帳!$AL$2:$AL$231,"●",足元帳!$BU$2:$BU$231,CE33)+
COUNTIFS(足元帳!$AL$2:$AL$231,"●",足元帳!$BV$2:$BV$231,CE33)</f>
        <v>0</v>
      </c>
      <c r="CF34" s="12">
        <f>COUNTIFS(足元帳!$AL$2:$AL$231,"●",足元帳!$BQ$2:$BQ$231,CF33)+
COUNTIFS(足元帳!$AL$2:$AL$231,"●",足元帳!$BR$2:$BR$231,CF33)+
COUNTIFS(足元帳!$AL$2:$AL$231,"●",足元帳!$BS$2:$BS$231,CF33)+
COUNTIFS(足元帳!$AL$2:$AL$231,"●",足元帳!$BT$2:$BT$231,CF33)+
COUNTIFS(足元帳!$AL$2:$AL$231,"●",足元帳!$BU$2:$BU$231,CF33)+
COUNTIFS(足元帳!$AL$2:$AL$231,"●",足元帳!$BV$2:$BV$231,CF33)</f>
        <v>0</v>
      </c>
      <c r="CG34" s="13">
        <f>COUNTIFS(足元帳!$AL$2:$AL$231,"●",足元帳!$BQ$2:$BQ$231,CG33)+
COUNTIFS(足元帳!$AL$2:$AL$231,"●",足元帳!$BR$2:$BR$231,CG33)+
COUNTIFS(足元帳!$AL$2:$AL$231,"●",足元帳!$BS$2:$BS$231,CG33)+
COUNTIFS(足元帳!$AL$2:$AL$231,"●",足元帳!$BT$2:$BT$231,CG33)+
COUNTIFS(足元帳!$AL$2:$AL$231,"●",足元帳!$BU$2:$BU$231,CG33)+
COUNTIFS(足元帳!$AL$2:$AL$231,"●",足元帳!$BV$2:$BV$231,CG33)</f>
        <v>0</v>
      </c>
      <c r="CH34" s="1">
        <f>CA34*BR34+CB34*BS34+CC34*BT34+CD34*BU34+CE34*BV34+CF34*BW34+CG34*BX34</f>
        <v>0</v>
      </c>
    </row>
    <row r="35" spans="1:86" ht="33.75" customHeight="1" thickBot="1">
      <c r="A35" s="47">
        <v>15</v>
      </c>
      <c r="B35" s="10"/>
      <c r="C35" s="20">
        <f>SUMPRODUCT((足元帳!$K$2:$K$231=B35)*(足元帳!$BB$2:$BB$231=1))</f>
        <v>0</v>
      </c>
      <c r="D35" s="21">
        <f>SUMPRODUCT((足元帳!$K$2:$K$231=B35)*(足元帳!$BB$2:$BB$231=1)*(足元帳!$AZ$2:$AZ$231&lt;=2))</f>
        <v>0</v>
      </c>
      <c r="E35" s="20">
        <f>SUMPRODUCT((足元帳!$K$2:$K$231=B35)*(足元帳!$BB$2:$BB$231=2))</f>
        <v>0</v>
      </c>
      <c r="F35" s="22">
        <f>SUMPRODUCT((足元帳!$K$2:$K$231=B35)*(足元帳!$BB$2:$BB$231=2)*(足元帳!$AZ$2:$AZ$231&lt;=2))</f>
        <v>0</v>
      </c>
      <c r="G35" s="20">
        <f>SUMPRODUCT((足元帳!$K$2:$K$231=B35)*(足元帳!$BB$2:$BB$231=3))</f>
        <v>0</v>
      </c>
      <c r="H35" s="22">
        <f>SUMPRODUCT((足元帳!$K$2:$K$231=B35)*(足元帳!$BB$2:$BB$231=3)*(足元帳!$AZ$2:$AZ$231&lt;=2))</f>
        <v>0</v>
      </c>
      <c r="I35" s="20">
        <f>SUMPRODUCT((足元帳!$K$2:$K$231=B35)*(足元帳!$BB$2:$BB$231=4))</f>
        <v>0</v>
      </c>
      <c r="J35" s="22">
        <f>SUMPRODUCT((足元帳!$K$2:$K$231=B35)*(足元帳!$BB$2:$BB$231=4)*(足元帳!$AZ$2:$AZ$231&lt;=2))</f>
        <v>0</v>
      </c>
      <c r="K35" s="20">
        <f>SUMPRODUCT((足元帳!$K$2:$K$231=B35)*(足元帳!$BB$2:$BB$231=5))</f>
        <v>0</v>
      </c>
      <c r="L35" s="22">
        <f>SUMPRODUCT((足元帳!$K$2:$K$231=B35)*(足元帳!$BB$2:$BB$231=5)*(足元帳!$AZ$2:$AZ$231&lt;=2))</f>
        <v>0</v>
      </c>
      <c r="M35" s="20">
        <f>SUMPRODUCT((足元帳!$K$2:$K$231=B35)*(足元帳!$BB$2:$BB$231=6))</f>
        <v>0</v>
      </c>
      <c r="N35" s="20">
        <f>SUMPRODUCT((足元帳!$K$2:$K$231=B35)*(足元帳!$BB$2:$BB$231=6)*(足元帳!$AZ$2:$AZ$231&lt;=2))</f>
        <v>0</v>
      </c>
      <c r="O35" s="20"/>
      <c r="P35" s="20">
        <f>SUMPRODUCT((足元帳!$K$2:$K$231=B35)*(足元帳!$AS$2:$AS$231=足元帳!$AS$1)*(足元帳!$BB$2:$BB$231=1)*500)+SUMPRODUCT((足元帳!$K$2:$K$231=B35)*(足元帳!$AS$2:$AS$231=足元帳!$AS$1)*(足元帳!$BB$2:$BB$231=2)*500)+SUMPRODUCT((足元帳!$K$2:$K$231=B35)*(足元帳!$AS$2:$AS$231=足元帳!$AS$1)*(足元帳!$BB$2:$BB$231=3)*500)+SUMPRODUCT((足元帳!$K$2:$K$231=B35)*(足元帳!$AS$2:$AS$231=足元帳!$AS$1)*(足元帳!$BB$2:$BB$231=4)*1000)+SUMPRODUCT((足元帳!$K$2:$K$231=B35)*(足元帳!$AS$2:$AS$231=足元帳!$AS$1)*(足元帳!$BB$2:$BB$231=5)*1000)+SUMPRODUCT((足元帳!$K$2:$K$231=B35)*(足元帳!$AS$2:$AS$231=足元帳!$AS$1)*(足元帳!$BB$2:$BB$231=6)*300)</f>
        <v>0</v>
      </c>
      <c r="Q35" s="20">
        <f>SUMPRODUCT((足元帳!$K$2:$K$231=B35)*(足元帳!$BQ$2:$BV$231=Q$20))</f>
        <v>0</v>
      </c>
      <c r="R35" s="20">
        <f>SUMPRODUCT((足元帳!$K$2:$K$231=B35)*(足元帳!$BQ$2:$BV$231=R$20))</f>
        <v>0</v>
      </c>
      <c r="S35" s="20">
        <f>SUMPRODUCT((足元帳!$K$2:$K$231=B35)*(足元帳!$BQ$2:$BV$231=S$20))</f>
        <v>0</v>
      </c>
      <c r="T35" s="20">
        <f>SUMPRODUCT((足元帳!$K$2:$K$231=B35)*(足元帳!$BQ$2:$BV$231=T$20))</f>
        <v>0</v>
      </c>
      <c r="U35" s="20">
        <f>SUMPRODUCT((足元帳!$K$2:$K$231=B35)*(足元帳!$BK$2:$BK$231=3000)*3000)+SUMPRODUCT((足元帳!$K$2:$K$231=B35)*(足元帳!$BK$2:$BK$231=4000)*4000)+SUMPRODUCT((足元帳!$K$2:$K$231=B35)*(足元帳!$BK$2:$BK$231=5000)*5000)+SUMPRODUCT((足元帳!$K$2:$K$231=B35)*(足元帳!$BK$2:$BK$231=6000)*6000)</f>
        <v>0</v>
      </c>
      <c r="V35" s="20"/>
      <c r="W35" s="256"/>
      <c r="X35" s="131">
        <f t="shared" si="2"/>
        <v>0</v>
      </c>
      <c r="Y35" s="131">
        <f t="shared" si="3"/>
        <v>0</v>
      </c>
      <c r="Z35" s="132">
        <f>C35*C$11+E35*E$11+G35*G$11+I35*I$11+K35*K$11+M35*M$11+X35+Y35
+IF(管理シート!$BQ$4 &lt;&gt; "ON",0,SUMPRODUCT((足元帳!$K$2:$K$231=B35)*(足元帳!$BB$2:$BB$231=4)*(足元帳!$AZ$2:$AZ$231&gt;=3)*(足元帳!$AP$2:$AP$231&lt;&gt;""))*管理シート!$BP$4)+
IF(管理シート!$BQ$5 &lt;&gt; "ON",0,SUMPRODUCT((足元帳!$K$2:$K$231=B35)*(足元帳!$BB$2:$BB$231=5)*(足元帳!$AZ$2:$AZ$231&gt;=3)*(足元帳!$AP$2:$AP$231&lt;&gt;""))*管理シート!$BP$5)</f>
        <v>0</v>
      </c>
      <c r="AA35" s="131">
        <f t="shared" si="4"/>
        <v>0</v>
      </c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4">
        <f t="shared" si="5"/>
        <v>0</v>
      </c>
      <c r="AZ35" s="4"/>
      <c r="BA35" s="5"/>
      <c r="BB35" s="6" t="str">
        <f t="shared" si="6"/>
        <v/>
      </c>
      <c r="BD35" s="512" t="s">
        <v>140</v>
      </c>
      <c r="BE35" s="513"/>
      <c r="BF35" s="512" t="s">
        <v>141</v>
      </c>
      <c r="BG35" s="513"/>
      <c r="BP35" s="44"/>
      <c r="BQ35" s="29"/>
      <c r="BR35" s="29"/>
      <c r="BS35" s="29"/>
      <c r="BT35" s="55"/>
      <c r="BU35" s="42"/>
      <c r="BV35" s="42"/>
      <c r="BW35" s="52"/>
      <c r="BX35" s="52"/>
      <c r="BY35" s="53"/>
    </row>
    <row r="36" spans="1:86" ht="33.75" customHeight="1">
      <c r="A36" s="47">
        <v>16</v>
      </c>
      <c r="B36" s="10"/>
      <c r="C36" s="20">
        <f>SUMPRODUCT((足元帳!$K$2:$K$231=B36)*(足元帳!$BB$2:$BB$231=1))</f>
        <v>0</v>
      </c>
      <c r="D36" s="21">
        <f>SUMPRODUCT((足元帳!$K$2:$K$231=B36)*(足元帳!$BB$2:$BB$231=1)*(足元帳!$AZ$2:$AZ$231&lt;=2))</f>
        <v>0</v>
      </c>
      <c r="E36" s="20">
        <f>SUMPRODUCT((足元帳!$K$2:$K$231=B36)*(足元帳!$BB$2:$BB$231=2))</f>
        <v>0</v>
      </c>
      <c r="F36" s="22">
        <f>SUMPRODUCT((足元帳!$K$2:$K$231=B36)*(足元帳!$BB$2:$BB$231=2)*(足元帳!$AZ$2:$AZ$231&lt;=2))</f>
        <v>0</v>
      </c>
      <c r="G36" s="20">
        <f>SUMPRODUCT((足元帳!$K$2:$K$231=B36)*(足元帳!$BB$2:$BB$231=3))</f>
        <v>0</v>
      </c>
      <c r="H36" s="22">
        <f>SUMPRODUCT((足元帳!$K$2:$K$231=B36)*(足元帳!$BB$2:$BB$231=3)*(足元帳!$AZ$2:$AZ$231&lt;=2))</f>
        <v>0</v>
      </c>
      <c r="I36" s="20">
        <f>SUMPRODUCT((足元帳!$K$2:$K$231=B36)*(足元帳!$BB$2:$BB$231=4))</f>
        <v>0</v>
      </c>
      <c r="J36" s="22">
        <f>SUMPRODUCT((足元帳!$K$2:$K$231=B36)*(足元帳!$BB$2:$BB$231=4)*(足元帳!$AZ$2:$AZ$231&lt;=2))</f>
        <v>0</v>
      </c>
      <c r="K36" s="20">
        <f>SUMPRODUCT((足元帳!$K$2:$K$231=B36)*(足元帳!$BB$2:$BB$231=5))</f>
        <v>0</v>
      </c>
      <c r="L36" s="22">
        <f>SUMPRODUCT((足元帳!$K$2:$K$231=B36)*(足元帳!$BB$2:$BB$231=5)*(足元帳!$AZ$2:$AZ$231&lt;=2))</f>
        <v>0</v>
      </c>
      <c r="M36" s="20">
        <f>SUMPRODUCT((足元帳!$K$2:$K$231=B36)*(足元帳!$BB$2:$BB$231=6))</f>
        <v>0</v>
      </c>
      <c r="N36" s="20">
        <f>SUMPRODUCT((足元帳!$K$2:$K$231=B36)*(足元帳!$BB$2:$BB$231=6)*(足元帳!$AZ$2:$AZ$231&lt;=2))</f>
        <v>0</v>
      </c>
      <c r="O36" s="20"/>
      <c r="P36" s="20">
        <f>SUMPRODUCT((足元帳!$K$2:$K$231=B36)*(足元帳!$AS$2:$AS$231=足元帳!$AS$1)*(足元帳!$BB$2:$BB$231=1)*500)+SUMPRODUCT((足元帳!$K$2:$K$231=B36)*(足元帳!$AS$2:$AS$231=足元帳!$AS$1)*(足元帳!$BB$2:$BB$231=2)*500)+SUMPRODUCT((足元帳!$K$2:$K$231=B36)*(足元帳!$AS$2:$AS$231=足元帳!$AS$1)*(足元帳!$BB$2:$BB$231=3)*500)+SUMPRODUCT((足元帳!$K$2:$K$231=B36)*(足元帳!$AS$2:$AS$231=足元帳!$AS$1)*(足元帳!$BB$2:$BB$231=4)*1000)+SUMPRODUCT((足元帳!$K$2:$K$231=B36)*(足元帳!$AS$2:$AS$231=足元帳!$AS$1)*(足元帳!$BB$2:$BB$231=5)*1000)+SUMPRODUCT((足元帳!$K$2:$K$231=B36)*(足元帳!$AS$2:$AS$231=足元帳!$AS$1)*(足元帳!$BB$2:$BB$231=6)*300)</f>
        <v>0</v>
      </c>
      <c r="Q36" s="20">
        <f>SUMPRODUCT((足元帳!$K$2:$K$231=B36)*(足元帳!$BQ$2:$BV$231=Q$20))</f>
        <v>0</v>
      </c>
      <c r="R36" s="20">
        <f>SUMPRODUCT((足元帳!$K$2:$K$231=B36)*(足元帳!$BQ$2:$BV$231=R$20))</f>
        <v>0</v>
      </c>
      <c r="S36" s="20">
        <f>SUMPRODUCT((足元帳!$K$2:$K$231=B36)*(足元帳!$BQ$2:$BV$231=S$20))</f>
        <v>0</v>
      </c>
      <c r="T36" s="20">
        <f>SUMPRODUCT((足元帳!$K$2:$K$231=B36)*(足元帳!$BQ$2:$BV$231=T$20))</f>
        <v>0</v>
      </c>
      <c r="U36" s="20">
        <f>SUMPRODUCT((足元帳!$K$2:$K$231=B36)*(足元帳!$BK$2:$BK$231=3000)*3000)+SUMPRODUCT((足元帳!$K$2:$K$231=B36)*(足元帳!$BK$2:$BK$231=4000)*4000)+SUMPRODUCT((足元帳!$K$2:$K$231=B36)*(足元帳!$BK$2:$BK$231=5000)*5000)+SUMPRODUCT((足元帳!$K$2:$K$231=B36)*(足元帳!$BK$2:$BK$231=6000)*6000)</f>
        <v>0</v>
      </c>
      <c r="V36" s="20"/>
      <c r="W36" s="256"/>
      <c r="X36" s="131">
        <f t="shared" si="2"/>
        <v>0</v>
      </c>
      <c r="Y36" s="131">
        <f t="shared" si="3"/>
        <v>0</v>
      </c>
      <c r="Z36" s="132">
        <f>C36*C$11+E36*E$11+G36*G$11+I36*I$11+K36*K$11+M36*M$11+X36+Y36
+IF(管理シート!$BQ$4 &lt;&gt; "ON",0,SUMPRODUCT((足元帳!$K$2:$K$231=B36)*(足元帳!$BB$2:$BB$231=4)*(足元帳!$AZ$2:$AZ$231&gt;=3)*(足元帳!$AP$2:$AP$231&lt;&gt;""))*管理シート!$BP$4)+
IF(管理シート!$BQ$5 &lt;&gt; "ON",0,SUMPRODUCT((足元帳!$K$2:$K$231=B36)*(足元帳!$BB$2:$BB$231=5)*(足元帳!$AZ$2:$AZ$231&gt;=3)*(足元帳!$AP$2:$AP$231&lt;&gt;""))*管理シート!$BP$5)</f>
        <v>0</v>
      </c>
      <c r="AA36" s="131">
        <f t="shared" si="4"/>
        <v>0</v>
      </c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4">
        <f t="shared" si="5"/>
        <v>0</v>
      </c>
      <c r="AZ36" s="4"/>
      <c r="BA36" s="5"/>
      <c r="BB36" s="6" t="str">
        <f t="shared" si="6"/>
        <v/>
      </c>
      <c r="BC36" s="56"/>
      <c r="BD36" s="70" t="s">
        <v>87</v>
      </c>
      <c r="BE36" s="70" t="s">
        <v>88</v>
      </c>
      <c r="BF36" s="250" t="s">
        <v>362</v>
      </c>
      <c r="BG36" s="250" t="s">
        <v>89</v>
      </c>
      <c r="BH36" s="250" t="s">
        <v>372</v>
      </c>
      <c r="BI36" s="250" t="s">
        <v>373</v>
      </c>
      <c r="BJ36" s="250" t="s">
        <v>373</v>
      </c>
      <c r="BK36" s="250" t="s">
        <v>37</v>
      </c>
      <c r="BP36" s="44"/>
      <c r="BQ36" s="42"/>
      <c r="BR36" s="42"/>
      <c r="BS36" s="57"/>
      <c r="BT36" s="55"/>
      <c r="BU36" s="42"/>
      <c r="BV36" s="42"/>
      <c r="BW36" s="52"/>
      <c r="BX36" s="52"/>
      <c r="BY36" s="53"/>
    </row>
    <row r="37" spans="1:86" ht="33.75" customHeight="1">
      <c r="A37" s="47">
        <v>17</v>
      </c>
      <c r="B37" s="10"/>
      <c r="C37" s="20">
        <f>SUMPRODUCT((足元帳!$K$2:$K$231=B37)*(足元帳!$BB$2:$BB$231=1))</f>
        <v>0</v>
      </c>
      <c r="D37" s="21">
        <f>SUMPRODUCT((足元帳!$K$2:$K$231=B37)*(足元帳!$BB$2:$BB$231=1)*(足元帳!$AZ$2:$AZ$231&lt;=2))</f>
        <v>0</v>
      </c>
      <c r="E37" s="20">
        <f>SUMPRODUCT((足元帳!$K$2:$K$231=B37)*(足元帳!$BB$2:$BB$231=2))</f>
        <v>0</v>
      </c>
      <c r="F37" s="22">
        <f>SUMPRODUCT((足元帳!$K$2:$K$231=B37)*(足元帳!$BB$2:$BB$231=2)*(足元帳!$AZ$2:$AZ$231&lt;=2))</f>
        <v>0</v>
      </c>
      <c r="G37" s="20">
        <f>SUMPRODUCT((足元帳!$K$2:$K$231=B37)*(足元帳!$BB$2:$BB$231=3))</f>
        <v>0</v>
      </c>
      <c r="H37" s="22">
        <f>SUMPRODUCT((足元帳!$K$2:$K$231=B37)*(足元帳!$BB$2:$BB$231=3)*(足元帳!$AZ$2:$AZ$231&lt;=2))</f>
        <v>0</v>
      </c>
      <c r="I37" s="20">
        <f>SUMPRODUCT((足元帳!$K$2:$K$231=B37)*(足元帳!$BB$2:$BB$231=4))</f>
        <v>0</v>
      </c>
      <c r="J37" s="22">
        <f>SUMPRODUCT((足元帳!$K$2:$K$231=B37)*(足元帳!$BB$2:$BB$231=4)*(足元帳!$AZ$2:$AZ$231&lt;=2))</f>
        <v>0</v>
      </c>
      <c r="K37" s="20">
        <f>SUMPRODUCT((足元帳!$K$2:$K$231=B37)*(足元帳!$BB$2:$BB$231=5))</f>
        <v>0</v>
      </c>
      <c r="L37" s="22">
        <f>SUMPRODUCT((足元帳!$K$2:$K$231=B37)*(足元帳!$BB$2:$BB$231=5)*(足元帳!$AZ$2:$AZ$231&lt;=2))</f>
        <v>0</v>
      </c>
      <c r="M37" s="20">
        <f>SUMPRODUCT((足元帳!$K$2:$K$231=B37)*(足元帳!$BB$2:$BB$231=6))</f>
        <v>0</v>
      </c>
      <c r="N37" s="20">
        <f>SUMPRODUCT((足元帳!$K$2:$K$231=B37)*(足元帳!$BB$2:$BB$231=6)*(足元帳!$AZ$2:$AZ$231&lt;=2))</f>
        <v>0</v>
      </c>
      <c r="O37" s="20"/>
      <c r="P37" s="20">
        <f>SUMPRODUCT((足元帳!$K$2:$K$231=B37)*(足元帳!$AS$2:$AS$231=足元帳!$AS$1)*(足元帳!$BB$2:$BB$231=1)*500)+SUMPRODUCT((足元帳!$K$2:$K$231=B37)*(足元帳!$AS$2:$AS$231=足元帳!$AS$1)*(足元帳!$BB$2:$BB$231=2)*500)+SUMPRODUCT((足元帳!$K$2:$K$231=B37)*(足元帳!$AS$2:$AS$231=足元帳!$AS$1)*(足元帳!$BB$2:$BB$231=3)*500)+SUMPRODUCT((足元帳!$K$2:$K$231=B37)*(足元帳!$AS$2:$AS$231=足元帳!$AS$1)*(足元帳!$BB$2:$BB$231=4)*1000)+SUMPRODUCT((足元帳!$K$2:$K$231=B37)*(足元帳!$AS$2:$AS$231=足元帳!$AS$1)*(足元帳!$BB$2:$BB$231=5)*1000)+SUMPRODUCT((足元帳!$K$2:$K$231=B37)*(足元帳!$AS$2:$AS$231=足元帳!$AS$1)*(足元帳!$BB$2:$BB$231=6)*300)</f>
        <v>0</v>
      </c>
      <c r="Q37" s="20">
        <f>SUMPRODUCT((足元帳!$K$2:$K$231=B37)*(足元帳!$BQ$2:$BV$231=Q$20))</f>
        <v>0</v>
      </c>
      <c r="R37" s="20">
        <f>SUMPRODUCT((足元帳!$K$2:$K$231=B37)*(足元帳!$BQ$2:$BV$231=R$20))</f>
        <v>0</v>
      </c>
      <c r="S37" s="20">
        <f>SUMPRODUCT((足元帳!$K$2:$K$231=B37)*(足元帳!$BQ$2:$BV$231=S$20))</f>
        <v>0</v>
      </c>
      <c r="T37" s="20">
        <f>SUMPRODUCT((足元帳!$K$2:$K$231=B37)*(足元帳!$BQ$2:$BV$231=T$20))</f>
        <v>0</v>
      </c>
      <c r="U37" s="20">
        <f>SUMPRODUCT((足元帳!$K$2:$K$231=B37)*(足元帳!$BK$2:$BK$231=3000)*3000)+SUMPRODUCT((足元帳!$K$2:$K$231=B37)*(足元帳!$BK$2:$BK$231=4000)*4000)+SUMPRODUCT((足元帳!$K$2:$K$231=B37)*(足元帳!$BK$2:$BK$231=5000)*5000)+SUMPRODUCT((足元帳!$K$2:$K$231=B37)*(足元帳!$BK$2:$BK$231=6000)*6000)</f>
        <v>0</v>
      </c>
      <c r="V37" s="20"/>
      <c r="W37" s="256"/>
      <c r="X37" s="131">
        <f t="shared" si="2"/>
        <v>0</v>
      </c>
      <c r="Y37" s="131">
        <f t="shared" si="3"/>
        <v>0</v>
      </c>
      <c r="Z37" s="132">
        <f>C37*C$11+E37*E$11+G37*G$11+I37*I$11+K37*K$11+M37*M$11+X37+Y37
+IF(管理シート!$BQ$4 &lt;&gt; "ON",0,SUMPRODUCT((足元帳!$K$2:$K$231=B37)*(足元帳!$BB$2:$BB$231=4)*(足元帳!$AZ$2:$AZ$231&gt;=3)*(足元帳!$AP$2:$AP$231&lt;&gt;""))*管理シート!$BP$4)+
IF(管理シート!$BQ$5 &lt;&gt; "ON",0,SUMPRODUCT((足元帳!$K$2:$K$231=B37)*(足元帳!$BB$2:$BB$231=5)*(足元帳!$AZ$2:$AZ$231&gt;=3)*(足元帳!$AP$2:$AP$231&lt;&gt;""))*管理シート!$BP$5)</f>
        <v>0</v>
      </c>
      <c r="AA37" s="131">
        <f t="shared" si="4"/>
        <v>0</v>
      </c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4">
        <f t="shared" si="5"/>
        <v>0</v>
      </c>
      <c r="AZ37" s="4"/>
      <c r="BA37" s="5"/>
      <c r="BB37" s="6" t="str">
        <f t="shared" si="6"/>
        <v/>
      </c>
      <c r="BC37" s="250" t="s">
        <v>95</v>
      </c>
      <c r="BD37" s="19">
        <f>C79</f>
        <v>0</v>
      </c>
      <c r="BE37" s="19">
        <f>E79</f>
        <v>0</v>
      </c>
      <c r="BF37" s="19">
        <f>G79</f>
        <v>0</v>
      </c>
      <c r="BG37" s="19">
        <f>I79</f>
        <v>0</v>
      </c>
      <c r="BH37" s="19">
        <f>K79</f>
        <v>0</v>
      </c>
      <c r="BI37" s="28"/>
      <c r="BJ37" s="250"/>
      <c r="BK37" s="19">
        <f>SUM(BD37:BJ37)</f>
        <v>0</v>
      </c>
      <c r="BP37" s="44"/>
      <c r="BQ37" s="42"/>
      <c r="BR37" s="42"/>
      <c r="BS37" s="57"/>
      <c r="BT37" s="55"/>
      <c r="BU37" s="42"/>
      <c r="BV37" s="42"/>
      <c r="BW37" s="52"/>
      <c r="BX37" s="52"/>
      <c r="BY37" s="53"/>
    </row>
    <row r="38" spans="1:86" ht="33.75" customHeight="1">
      <c r="A38" s="47">
        <v>18</v>
      </c>
      <c r="B38" s="10"/>
      <c r="C38" s="20">
        <f>SUMPRODUCT((足元帳!$K$2:$K$231=B38)*(足元帳!$BB$2:$BB$231=1))</f>
        <v>0</v>
      </c>
      <c r="D38" s="21">
        <f>SUMPRODUCT((足元帳!$K$2:$K$231=B38)*(足元帳!$BB$2:$BB$231=1)*(足元帳!$AZ$2:$AZ$231&lt;=2))</f>
        <v>0</v>
      </c>
      <c r="E38" s="20">
        <f>SUMPRODUCT((足元帳!$K$2:$K$231=B38)*(足元帳!$BB$2:$BB$231=2))</f>
        <v>0</v>
      </c>
      <c r="F38" s="22">
        <f>SUMPRODUCT((足元帳!$K$2:$K$231=B38)*(足元帳!$BB$2:$BB$231=2)*(足元帳!$AZ$2:$AZ$231&lt;=2))</f>
        <v>0</v>
      </c>
      <c r="G38" s="20">
        <f>SUMPRODUCT((足元帳!$K$2:$K$231=B38)*(足元帳!$BB$2:$BB$231=3))</f>
        <v>0</v>
      </c>
      <c r="H38" s="22">
        <f>SUMPRODUCT((足元帳!$K$2:$K$231=B38)*(足元帳!$BB$2:$BB$231=3)*(足元帳!$AZ$2:$AZ$231&lt;=2))</f>
        <v>0</v>
      </c>
      <c r="I38" s="20">
        <f>SUMPRODUCT((足元帳!$K$2:$K$231=B38)*(足元帳!$BB$2:$BB$231=4))</f>
        <v>0</v>
      </c>
      <c r="J38" s="22">
        <f>SUMPRODUCT((足元帳!$K$2:$K$231=B38)*(足元帳!$BB$2:$BB$231=4)*(足元帳!$AZ$2:$AZ$231&lt;=2))</f>
        <v>0</v>
      </c>
      <c r="K38" s="20">
        <f>SUMPRODUCT((足元帳!$K$2:$K$231=B38)*(足元帳!$BB$2:$BB$231=5))</f>
        <v>0</v>
      </c>
      <c r="L38" s="22">
        <f>SUMPRODUCT((足元帳!$K$2:$K$231=B38)*(足元帳!$BB$2:$BB$231=5)*(足元帳!$AZ$2:$AZ$231&lt;=2))</f>
        <v>0</v>
      </c>
      <c r="M38" s="20">
        <f>SUMPRODUCT((足元帳!$K$2:$K$231=B38)*(足元帳!$BB$2:$BB$231=6))</f>
        <v>0</v>
      </c>
      <c r="N38" s="20">
        <f>SUMPRODUCT((足元帳!$K$2:$K$231=B38)*(足元帳!$BB$2:$BB$231=6)*(足元帳!$AZ$2:$AZ$231&lt;=2))</f>
        <v>0</v>
      </c>
      <c r="O38" s="20"/>
      <c r="P38" s="20">
        <f>SUMPRODUCT((足元帳!$K$2:$K$231=B38)*(足元帳!$AS$2:$AS$231=足元帳!$AS$1)*(足元帳!$BB$2:$BB$231=1)*500)+SUMPRODUCT((足元帳!$K$2:$K$231=B38)*(足元帳!$AS$2:$AS$231=足元帳!$AS$1)*(足元帳!$BB$2:$BB$231=2)*500)+SUMPRODUCT((足元帳!$K$2:$K$231=B38)*(足元帳!$AS$2:$AS$231=足元帳!$AS$1)*(足元帳!$BB$2:$BB$231=3)*500)+SUMPRODUCT((足元帳!$K$2:$K$231=B38)*(足元帳!$AS$2:$AS$231=足元帳!$AS$1)*(足元帳!$BB$2:$BB$231=4)*1000)+SUMPRODUCT((足元帳!$K$2:$K$231=B38)*(足元帳!$AS$2:$AS$231=足元帳!$AS$1)*(足元帳!$BB$2:$BB$231=5)*1000)+SUMPRODUCT((足元帳!$K$2:$K$231=B38)*(足元帳!$AS$2:$AS$231=足元帳!$AS$1)*(足元帳!$BB$2:$BB$231=6)*300)</f>
        <v>0</v>
      </c>
      <c r="Q38" s="20">
        <f>SUMPRODUCT((足元帳!$K$2:$K$231=B38)*(足元帳!$BQ$2:$BV$231=Q$20))</f>
        <v>0</v>
      </c>
      <c r="R38" s="20">
        <f>SUMPRODUCT((足元帳!$K$2:$K$231=B38)*(足元帳!$BQ$2:$BV$231=R$20))</f>
        <v>0</v>
      </c>
      <c r="S38" s="20">
        <f>SUMPRODUCT((足元帳!$K$2:$K$231=B38)*(足元帳!$BQ$2:$BV$231=S$20))</f>
        <v>0</v>
      </c>
      <c r="T38" s="20">
        <f>SUMPRODUCT((足元帳!$K$2:$K$231=B38)*(足元帳!$BQ$2:$BV$231=T$20))</f>
        <v>0</v>
      </c>
      <c r="U38" s="20">
        <f>SUMPRODUCT((足元帳!$K$2:$K$231=B38)*(足元帳!$BK$2:$BK$231=3000)*3000)+SUMPRODUCT((足元帳!$K$2:$K$231=B38)*(足元帳!$BK$2:$BK$231=4000)*4000)+SUMPRODUCT((足元帳!$K$2:$K$231=B38)*(足元帳!$BK$2:$BK$231=5000)*5000)+SUMPRODUCT((足元帳!$K$2:$K$231=B38)*(足元帳!$BK$2:$BK$231=6000)*6000)</f>
        <v>0</v>
      </c>
      <c r="V38" s="20"/>
      <c r="W38" s="256"/>
      <c r="X38" s="131">
        <f t="shared" si="2"/>
        <v>0</v>
      </c>
      <c r="Y38" s="131">
        <f t="shared" si="3"/>
        <v>0</v>
      </c>
      <c r="Z38" s="132">
        <f>C38*C$11+E38*E$11+G38*G$11+I38*I$11+K38*K$11+M38*M$11+X38+Y38
+IF(管理シート!$BQ$4 &lt;&gt; "ON",0,SUMPRODUCT((足元帳!$K$2:$K$231=B38)*(足元帳!$BB$2:$BB$231=4)*(足元帳!$AZ$2:$AZ$231&gt;=3)*(足元帳!$AP$2:$AP$231&lt;&gt;""))*管理シート!$BP$4)+
IF(管理シート!$BQ$5 &lt;&gt; "ON",0,SUMPRODUCT((足元帳!$K$2:$K$231=B38)*(足元帳!$BB$2:$BB$231=5)*(足元帳!$AZ$2:$AZ$231&gt;=3)*(足元帳!$AP$2:$AP$231&lt;&gt;""))*管理シート!$BP$5)</f>
        <v>0</v>
      </c>
      <c r="AA38" s="131">
        <f t="shared" si="4"/>
        <v>0</v>
      </c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4">
        <f t="shared" si="5"/>
        <v>0</v>
      </c>
      <c r="AZ38" s="4"/>
      <c r="BA38" s="4"/>
      <c r="BB38" s="6" t="str">
        <f t="shared" si="6"/>
        <v/>
      </c>
      <c r="BC38" s="250" t="s">
        <v>40</v>
      </c>
      <c r="BD38" s="15">
        <f>D79</f>
        <v>0</v>
      </c>
      <c r="BE38" s="15">
        <f>F79</f>
        <v>0</v>
      </c>
      <c r="BF38" s="15">
        <f>H79</f>
        <v>0</v>
      </c>
      <c r="BG38" s="15">
        <f>J79</f>
        <v>0</v>
      </c>
      <c r="BH38" s="15">
        <f>L79</f>
        <v>0</v>
      </c>
      <c r="BI38" s="58"/>
      <c r="BJ38" s="58"/>
      <c r="BK38" s="15">
        <f>SUM(BD38:BJ38)</f>
        <v>0</v>
      </c>
      <c r="BP38" s="44"/>
      <c r="BQ38" s="42"/>
      <c r="BR38" s="42"/>
      <c r="BS38" s="57"/>
      <c r="BT38" s="55"/>
      <c r="BU38" s="42"/>
      <c r="BV38" s="42"/>
      <c r="BW38" s="52"/>
      <c r="BX38" s="52"/>
      <c r="BY38" s="53"/>
    </row>
    <row r="39" spans="1:86" ht="33.75" customHeight="1">
      <c r="A39" s="47">
        <v>19</v>
      </c>
      <c r="B39" s="10"/>
      <c r="C39" s="20">
        <f>SUMPRODUCT((足元帳!$K$2:$K$231=B39)*(足元帳!$BB$2:$BB$231=1))</f>
        <v>0</v>
      </c>
      <c r="D39" s="21">
        <f>SUMPRODUCT((足元帳!$K$2:$K$231=B39)*(足元帳!$BB$2:$BB$231=1)*(足元帳!$AZ$2:$AZ$231&lt;=2))</f>
        <v>0</v>
      </c>
      <c r="E39" s="20">
        <f>SUMPRODUCT((足元帳!$K$2:$K$231=B39)*(足元帳!$BB$2:$BB$231=2))</f>
        <v>0</v>
      </c>
      <c r="F39" s="22">
        <f>SUMPRODUCT((足元帳!$K$2:$K$231=B39)*(足元帳!$BB$2:$BB$231=2)*(足元帳!$AZ$2:$AZ$231&lt;=2))</f>
        <v>0</v>
      </c>
      <c r="G39" s="20">
        <f>SUMPRODUCT((足元帳!$K$2:$K$231=B39)*(足元帳!$BB$2:$BB$231=3))</f>
        <v>0</v>
      </c>
      <c r="H39" s="22">
        <f>SUMPRODUCT((足元帳!$K$2:$K$231=B39)*(足元帳!$BB$2:$BB$231=3)*(足元帳!$AZ$2:$AZ$231&lt;=2))</f>
        <v>0</v>
      </c>
      <c r="I39" s="20">
        <f>SUMPRODUCT((足元帳!$K$2:$K$231=B39)*(足元帳!$BB$2:$BB$231=4))</f>
        <v>0</v>
      </c>
      <c r="J39" s="22">
        <f>SUMPRODUCT((足元帳!$K$2:$K$231=B39)*(足元帳!$BB$2:$BB$231=4)*(足元帳!$AZ$2:$AZ$231&lt;=2))</f>
        <v>0</v>
      </c>
      <c r="K39" s="20">
        <f>SUMPRODUCT((足元帳!$K$2:$K$231=B39)*(足元帳!$BB$2:$BB$231=5))</f>
        <v>0</v>
      </c>
      <c r="L39" s="22">
        <f>SUMPRODUCT((足元帳!$K$2:$K$231=B39)*(足元帳!$BB$2:$BB$231=5)*(足元帳!$AZ$2:$AZ$231&lt;=2))</f>
        <v>0</v>
      </c>
      <c r="M39" s="20">
        <f>SUMPRODUCT((足元帳!$K$2:$K$231=B39)*(足元帳!$BB$2:$BB$231=6))</f>
        <v>0</v>
      </c>
      <c r="N39" s="20">
        <f>SUMPRODUCT((足元帳!$K$2:$K$231=B39)*(足元帳!$BB$2:$BB$231=6)*(足元帳!$AZ$2:$AZ$231&lt;=2))</f>
        <v>0</v>
      </c>
      <c r="O39" s="20"/>
      <c r="P39" s="20">
        <f>SUMPRODUCT((足元帳!$K$2:$K$231=B39)*(足元帳!$AS$2:$AS$231=足元帳!$AS$1)*(足元帳!$BB$2:$BB$231=1)*500)+SUMPRODUCT((足元帳!$K$2:$K$231=B39)*(足元帳!$AS$2:$AS$231=足元帳!$AS$1)*(足元帳!$BB$2:$BB$231=2)*500)+SUMPRODUCT((足元帳!$K$2:$K$231=B39)*(足元帳!$AS$2:$AS$231=足元帳!$AS$1)*(足元帳!$BB$2:$BB$231=3)*500)+SUMPRODUCT((足元帳!$K$2:$K$231=B39)*(足元帳!$AS$2:$AS$231=足元帳!$AS$1)*(足元帳!$BB$2:$BB$231=4)*1000)+SUMPRODUCT((足元帳!$K$2:$K$231=B39)*(足元帳!$AS$2:$AS$231=足元帳!$AS$1)*(足元帳!$BB$2:$BB$231=5)*1000)+SUMPRODUCT((足元帳!$K$2:$K$231=B39)*(足元帳!$AS$2:$AS$231=足元帳!$AS$1)*(足元帳!$BB$2:$BB$231=6)*300)</f>
        <v>0</v>
      </c>
      <c r="Q39" s="20">
        <f>SUMPRODUCT((足元帳!$K$2:$K$231=B39)*(足元帳!$BQ$2:$BV$231=Q$20))</f>
        <v>0</v>
      </c>
      <c r="R39" s="20">
        <f>SUMPRODUCT((足元帳!$K$2:$K$231=B39)*(足元帳!$BQ$2:$BV$231=R$20))</f>
        <v>0</v>
      </c>
      <c r="S39" s="20">
        <f>SUMPRODUCT((足元帳!$K$2:$K$231=B39)*(足元帳!$BQ$2:$BV$231=S$20))</f>
        <v>0</v>
      </c>
      <c r="T39" s="20">
        <f>SUMPRODUCT((足元帳!$K$2:$K$231=B39)*(足元帳!$BQ$2:$BV$231=T$20))</f>
        <v>0</v>
      </c>
      <c r="U39" s="20">
        <f>SUMPRODUCT((足元帳!$K$2:$K$231=B39)*(足元帳!$BK$2:$BK$231=3000)*3000)+SUMPRODUCT((足元帳!$K$2:$K$231=B39)*(足元帳!$BK$2:$BK$231=4000)*4000)+SUMPRODUCT((足元帳!$K$2:$K$231=B39)*(足元帳!$BK$2:$BK$231=5000)*5000)+SUMPRODUCT((足元帳!$K$2:$K$231=B39)*(足元帳!$BK$2:$BK$231=6000)*6000)</f>
        <v>0</v>
      </c>
      <c r="V39" s="20"/>
      <c r="W39" s="256"/>
      <c r="X39" s="131">
        <f t="shared" si="2"/>
        <v>0</v>
      </c>
      <c r="Y39" s="131">
        <f t="shared" si="3"/>
        <v>0</v>
      </c>
      <c r="Z39" s="132">
        <f>C39*C$11+E39*E$11+G39*G$11+I39*I$11+K39*K$11+M39*M$11+X39+Y39
+IF(管理シート!$BQ$4 &lt;&gt; "ON",0,SUMPRODUCT((足元帳!$K$2:$K$231=B39)*(足元帳!$BB$2:$BB$231=4)*(足元帳!$AZ$2:$AZ$231&gt;=3)*(足元帳!$AP$2:$AP$231&lt;&gt;""))*管理シート!$BP$4)+
IF(管理シート!$BQ$5 &lt;&gt; "ON",0,SUMPRODUCT((足元帳!$K$2:$K$231=B39)*(足元帳!$BB$2:$BB$231=5)*(足元帳!$AZ$2:$AZ$231&gt;=3)*(足元帳!$AP$2:$AP$231&lt;&gt;""))*管理シート!$BP$5)</f>
        <v>0</v>
      </c>
      <c r="AA39" s="131">
        <f t="shared" si="4"/>
        <v>0</v>
      </c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4">
        <f t="shared" si="5"/>
        <v>0</v>
      </c>
      <c r="AZ39" s="4"/>
      <c r="BA39" s="5"/>
      <c r="BB39" s="6" t="str">
        <f t="shared" si="6"/>
        <v/>
      </c>
      <c r="BC39" s="59" t="s">
        <v>96</v>
      </c>
      <c r="BD39" s="520">
        <f>(45*BD37+60*BE37+75*BF37+90*BG37+120*BH37)/10800</f>
        <v>0</v>
      </c>
      <c r="BE39" s="520"/>
      <c r="BF39" s="521" t="s">
        <v>374</v>
      </c>
      <c r="BG39" s="521"/>
      <c r="BH39" s="521"/>
      <c r="BI39" s="521"/>
      <c r="BJ39" s="501">
        <f>BD37*0.75+BE37*1+BF37*1.25+BG37*1.5+BH37*2</f>
        <v>0</v>
      </c>
      <c r="BK39" s="501"/>
      <c r="BP39" s="44"/>
      <c r="BQ39" s="42"/>
      <c r="BR39" s="42"/>
      <c r="BS39" s="57"/>
      <c r="BT39" s="55"/>
      <c r="BU39" s="42"/>
      <c r="BV39" s="42"/>
      <c r="BW39" s="52"/>
      <c r="BX39" s="52"/>
      <c r="BY39" s="53"/>
    </row>
    <row r="40" spans="1:86" ht="33.75" customHeight="1">
      <c r="A40" s="47">
        <v>20</v>
      </c>
      <c r="B40" s="10"/>
      <c r="C40" s="20">
        <f>SUMPRODUCT((足元帳!$K$2:$K$231=B40)*(足元帳!$BB$2:$BB$231=1))</f>
        <v>0</v>
      </c>
      <c r="D40" s="21">
        <f>SUMPRODUCT((足元帳!$K$2:$K$231=B40)*(足元帳!$BB$2:$BB$231=1)*(足元帳!$AZ$2:$AZ$231&lt;=2))</f>
        <v>0</v>
      </c>
      <c r="E40" s="20">
        <f>SUMPRODUCT((足元帳!$K$2:$K$231=B40)*(足元帳!$BB$2:$BB$231=2))</f>
        <v>0</v>
      </c>
      <c r="F40" s="22">
        <f>SUMPRODUCT((足元帳!$K$2:$K$231=B40)*(足元帳!$BB$2:$BB$231=2)*(足元帳!$AZ$2:$AZ$231&lt;=2))</f>
        <v>0</v>
      </c>
      <c r="G40" s="20">
        <f>SUMPRODUCT((足元帳!$K$2:$K$231=B40)*(足元帳!$BB$2:$BB$231=3))</f>
        <v>0</v>
      </c>
      <c r="H40" s="22">
        <f>SUMPRODUCT((足元帳!$K$2:$K$231=B40)*(足元帳!$BB$2:$BB$231=3)*(足元帳!$AZ$2:$AZ$231&lt;=2))</f>
        <v>0</v>
      </c>
      <c r="I40" s="20">
        <f>SUMPRODUCT((足元帳!$K$2:$K$231=B40)*(足元帳!$BB$2:$BB$231=4))</f>
        <v>0</v>
      </c>
      <c r="J40" s="22">
        <f>SUMPRODUCT((足元帳!$K$2:$K$231=B40)*(足元帳!$BB$2:$BB$231=4)*(足元帳!$AZ$2:$AZ$231&lt;=2))</f>
        <v>0</v>
      </c>
      <c r="K40" s="20">
        <f>SUMPRODUCT((足元帳!$K$2:$K$231=B40)*(足元帳!$BB$2:$BB$231=5))</f>
        <v>0</v>
      </c>
      <c r="L40" s="22">
        <f>SUMPRODUCT((足元帳!$K$2:$K$231=B40)*(足元帳!$BB$2:$BB$231=5)*(足元帳!$AZ$2:$AZ$231&lt;=2))</f>
        <v>0</v>
      </c>
      <c r="M40" s="20">
        <f>SUMPRODUCT((足元帳!$K$2:$K$231=B40)*(足元帳!$BB$2:$BB$231=6))</f>
        <v>0</v>
      </c>
      <c r="N40" s="20">
        <f>SUMPRODUCT((足元帳!$K$2:$K$231=B40)*(足元帳!$BB$2:$BB$231=6)*(足元帳!$AZ$2:$AZ$231&lt;=2))</f>
        <v>0</v>
      </c>
      <c r="O40" s="20"/>
      <c r="P40" s="20">
        <f>SUMPRODUCT((足元帳!$K$2:$K$231=B40)*(足元帳!$AS$2:$AS$231=足元帳!$AS$1)*(足元帳!$BB$2:$BB$231=1)*500)+SUMPRODUCT((足元帳!$K$2:$K$231=B40)*(足元帳!$AS$2:$AS$231=足元帳!$AS$1)*(足元帳!$BB$2:$BB$231=2)*500)+SUMPRODUCT((足元帳!$K$2:$K$231=B40)*(足元帳!$AS$2:$AS$231=足元帳!$AS$1)*(足元帳!$BB$2:$BB$231=3)*500)+SUMPRODUCT((足元帳!$K$2:$K$231=B40)*(足元帳!$AS$2:$AS$231=足元帳!$AS$1)*(足元帳!$BB$2:$BB$231=4)*1000)+SUMPRODUCT((足元帳!$K$2:$K$231=B40)*(足元帳!$AS$2:$AS$231=足元帳!$AS$1)*(足元帳!$BB$2:$BB$231=5)*1000)+SUMPRODUCT((足元帳!$K$2:$K$231=B40)*(足元帳!$AS$2:$AS$231=足元帳!$AS$1)*(足元帳!$BB$2:$BB$231=6)*300)</f>
        <v>0</v>
      </c>
      <c r="Q40" s="20">
        <f>SUMPRODUCT((足元帳!$K$2:$K$231=B40)*(足元帳!$BQ$2:$BV$231=Q$20))</f>
        <v>0</v>
      </c>
      <c r="R40" s="20">
        <f>SUMPRODUCT((足元帳!$K$2:$K$231=B40)*(足元帳!$BQ$2:$BV$231=R$20))</f>
        <v>0</v>
      </c>
      <c r="S40" s="20">
        <f>SUMPRODUCT((足元帳!$K$2:$K$231=B40)*(足元帳!$BQ$2:$BV$231=S$20))</f>
        <v>0</v>
      </c>
      <c r="T40" s="20">
        <f>SUMPRODUCT((足元帳!$K$2:$K$231=B40)*(足元帳!$BQ$2:$BV$231=T$20))</f>
        <v>0</v>
      </c>
      <c r="U40" s="20">
        <f>SUMPRODUCT((足元帳!$K$2:$K$231=B40)*(足元帳!$BK$2:$BK$231=3000)*3000)+SUMPRODUCT((足元帳!$K$2:$K$231=B40)*(足元帳!$BK$2:$BK$231=4000)*4000)+SUMPRODUCT((足元帳!$K$2:$K$231=B40)*(足元帳!$BK$2:$BK$231=5000)*5000)+SUMPRODUCT((足元帳!$K$2:$K$231=B40)*(足元帳!$BK$2:$BK$231=6000)*6000)</f>
        <v>0</v>
      </c>
      <c r="V40" s="20"/>
      <c r="W40" s="256"/>
      <c r="X40" s="131">
        <f t="shared" si="2"/>
        <v>0</v>
      </c>
      <c r="Y40" s="131">
        <f t="shared" si="3"/>
        <v>0</v>
      </c>
      <c r="Z40" s="132">
        <f>C40*C$11+E40*E$11+G40*G$11+I40*I$11+K40*K$11+M40*M$11+X40+Y40
+IF(管理シート!$BQ$4 &lt;&gt; "ON",0,SUMPRODUCT((足元帳!$K$2:$K$231=B40)*(足元帳!$BB$2:$BB$231=4)*(足元帳!$AZ$2:$AZ$231&gt;=3)*(足元帳!$AP$2:$AP$231&lt;&gt;""))*管理シート!$BP$4)+
IF(管理シート!$BQ$5 &lt;&gt; "ON",0,SUMPRODUCT((足元帳!$K$2:$K$231=B40)*(足元帳!$BB$2:$BB$231=5)*(足元帳!$AZ$2:$AZ$231&gt;=3)*(足元帳!$AP$2:$AP$231&lt;&gt;""))*管理シート!$BP$5)</f>
        <v>0</v>
      </c>
      <c r="AA40" s="131">
        <f t="shared" si="4"/>
        <v>0</v>
      </c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4">
        <f t="shared" si="5"/>
        <v>0</v>
      </c>
      <c r="AZ40" s="4"/>
      <c r="BA40" s="5"/>
      <c r="BB40" s="6" t="str">
        <f t="shared" si="6"/>
        <v/>
      </c>
      <c r="BC40" s="60"/>
      <c r="BD40" s="71"/>
      <c r="BE40" s="61"/>
      <c r="BF40" s="61"/>
      <c r="BG40" s="61"/>
      <c r="BH40" s="61"/>
      <c r="BI40" s="61"/>
      <c r="BJ40" s="61"/>
      <c r="BK40" s="61"/>
      <c r="BP40" s="44"/>
      <c r="BQ40" s="42"/>
      <c r="BR40" s="42"/>
      <c r="BS40" s="57"/>
      <c r="BT40" s="55"/>
      <c r="BU40" s="42"/>
      <c r="BV40" s="42"/>
      <c r="BW40" s="52"/>
      <c r="BX40" s="52"/>
      <c r="BY40" s="53"/>
    </row>
    <row r="41" spans="1:86" ht="33.75" customHeight="1">
      <c r="A41" s="47">
        <v>21</v>
      </c>
      <c r="B41" s="10"/>
      <c r="C41" s="20">
        <f>SUMPRODUCT((足元帳!$K$2:$K$231=B41)*(足元帳!$BB$2:$BB$231=1))</f>
        <v>0</v>
      </c>
      <c r="D41" s="21">
        <f>SUMPRODUCT((足元帳!$K$2:$K$231=B41)*(足元帳!$BB$2:$BB$231=1)*(足元帳!$AZ$2:$AZ$231&lt;=2))</f>
        <v>0</v>
      </c>
      <c r="E41" s="20">
        <f>SUMPRODUCT((足元帳!$K$2:$K$231=B41)*(足元帳!$BB$2:$BB$231=2))</f>
        <v>0</v>
      </c>
      <c r="F41" s="22">
        <f>SUMPRODUCT((足元帳!$K$2:$K$231=B41)*(足元帳!$BB$2:$BB$231=2)*(足元帳!$AZ$2:$AZ$231&lt;=2))</f>
        <v>0</v>
      </c>
      <c r="G41" s="20">
        <f>SUMPRODUCT((足元帳!$K$2:$K$231=B41)*(足元帳!$BB$2:$BB$231=3))</f>
        <v>0</v>
      </c>
      <c r="H41" s="22">
        <f>SUMPRODUCT((足元帳!$K$2:$K$231=B41)*(足元帳!$BB$2:$BB$231=3)*(足元帳!$AZ$2:$AZ$231&lt;=2))</f>
        <v>0</v>
      </c>
      <c r="I41" s="20">
        <f>SUMPRODUCT((足元帳!$K$2:$K$231=B41)*(足元帳!$BB$2:$BB$231=4))</f>
        <v>0</v>
      </c>
      <c r="J41" s="22">
        <f>SUMPRODUCT((足元帳!$K$2:$K$231=B41)*(足元帳!$BB$2:$BB$231=4)*(足元帳!$AZ$2:$AZ$231&lt;=2))</f>
        <v>0</v>
      </c>
      <c r="K41" s="20">
        <f>SUMPRODUCT((足元帳!$K$2:$K$231=B41)*(足元帳!$BB$2:$BB$231=5))</f>
        <v>0</v>
      </c>
      <c r="L41" s="22">
        <f>SUMPRODUCT((足元帳!$K$2:$K$231=B41)*(足元帳!$BB$2:$BB$231=5)*(足元帳!$AZ$2:$AZ$231&lt;=2))</f>
        <v>0</v>
      </c>
      <c r="M41" s="20">
        <f>SUMPRODUCT((足元帳!$K$2:$K$231=B41)*(足元帳!$BB$2:$BB$231=6))</f>
        <v>0</v>
      </c>
      <c r="N41" s="20">
        <f>SUMPRODUCT((足元帳!$K$2:$K$231=B41)*(足元帳!$BB$2:$BB$231=6)*(足元帳!$AZ$2:$AZ$231&lt;=2))</f>
        <v>0</v>
      </c>
      <c r="O41" s="20"/>
      <c r="P41" s="20">
        <f>SUMPRODUCT((足元帳!$K$2:$K$231=B41)*(足元帳!$AS$2:$AS$231=足元帳!$AS$1)*(足元帳!$BB$2:$BB$231=1)*500)+SUMPRODUCT((足元帳!$K$2:$K$231=B41)*(足元帳!$AS$2:$AS$231=足元帳!$AS$1)*(足元帳!$BB$2:$BB$231=2)*500)+SUMPRODUCT((足元帳!$K$2:$K$231=B41)*(足元帳!$AS$2:$AS$231=足元帳!$AS$1)*(足元帳!$BB$2:$BB$231=3)*500)+SUMPRODUCT((足元帳!$K$2:$K$231=B41)*(足元帳!$AS$2:$AS$231=足元帳!$AS$1)*(足元帳!$BB$2:$BB$231=4)*1000)+SUMPRODUCT((足元帳!$K$2:$K$231=B41)*(足元帳!$AS$2:$AS$231=足元帳!$AS$1)*(足元帳!$BB$2:$BB$231=5)*1000)+SUMPRODUCT((足元帳!$K$2:$K$231=B41)*(足元帳!$AS$2:$AS$231=足元帳!$AS$1)*(足元帳!$BB$2:$BB$231=6)*300)</f>
        <v>0</v>
      </c>
      <c r="Q41" s="20">
        <f>SUMPRODUCT((足元帳!$K$2:$K$231=B41)*(足元帳!$BQ$2:$BV$231=Q$20))</f>
        <v>0</v>
      </c>
      <c r="R41" s="20">
        <f>SUMPRODUCT((足元帳!$K$2:$K$231=B41)*(足元帳!$BQ$2:$BV$231=R$20))</f>
        <v>0</v>
      </c>
      <c r="S41" s="20">
        <f>SUMPRODUCT((足元帳!$K$2:$K$231=B41)*(足元帳!$BQ$2:$BV$231=S$20))</f>
        <v>0</v>
      </c>
      <c r="T41" s="20">
        <f>SUMPRODUCT((足元帳!$K$2:$K$231=B41)*(足元帳!$BQ$2:$BV$231=T$20))</f>
        <v>0</v>
      </c>
      <c r="U41" s="20">
        <f>SUMPRODUCT((足元帳!$K$2:$K$231=B41)*(足元帳!$BK$2:$BK$231=3000)*3000)+SUMPRODUCT((足元帳!$K$2:$K$231=B41)*(足元帳!$BK$2:$BK$231=4000)*4000)+SUMPRODUCT((足元帳!$K$2:$K$231=B41)*(足元帳!$BK$2:$BK$231=5000)*5000)+SUMPRODUCT((足元帳!$K$2:$K$231=B41)*(足元帳!$BK$2:$BK$231=6000)*6000)</f>
        <v>0</v>
      </c>
      <c r="V41" s="20"/>
      <c r="W41" s="256"/>
      <c r="X41" s="131">
        <f t="shared" si="2"/>
        <v>0</v>
      </c>
      <c r="Y41" s="131">
        <f t="shared" si="3"/>
        <v>0</v>
      </c>
      <c r="Z41" s="132">
        <f>C41*C$11+E41*E$11+G41*G$11+I41*I$11+K41*K$11+M41*M$11+X41+Y41
+IF(管理シート!$BQ$4 &lt;&gt; "ON",0,SUMPRODUCT((足元帳!$K$2:$K$231=B41)*(足元帳!$BB$2:$BB$231=4)*(足元帳!$AZ$2:$AZ$231&gt;=3)*(足元帳!$AP$2:$AP$231&lt;&gt;""))*管理シート!$BP$4)+
IF(管理シート!$BQ$5 &lt;&gt; "ON",0,SUMPRODUCT((足元帳!$K$2:$K$231=B41)*(足元帳!$BB$2:$BB$231=5)*(足元帳!$AZ$2:$AZ$231&gt;=3)*(足元帳!$AP$2:$AP$231&lt;&gt;""))*管理シート!$BP$5)</f>
        <v>0</v>
      </c>
      <c r="AA41" s="131">
        <f t="shared" si="4"/>
        <v>0</v>
      </c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4">
        <f t="shared" si="5"/>
        <v>0</v>
      </c>
      <c r="AZ41" s="4"/>
      <c r="BA41" s="5"/>
      <c r="BB41" s="6" t="str">
        <f t="shared" si="6"/>
        <v/>
      </c>
      <c r="BC41" s="62" t="s">
        <v>97</v>
      </c>
      <c r="BD41" s="502">
        <f>SUM(足元帳!AM2:AM231)</f>
        <v>0</v>
      </c>
      <c r="BE41" s="502"/>
      <c r="BF41" s="502"/>
      <c r="BG41" s="502"/>
      <c r="BH41" s="502"/>
      <c r="BI41" s="502"/>
      <c r="BJ41" s="29"/>
      <c r="BP41" s="44"/>
      <c r="BQ41" s="42"/>
      <c r="BR41" s="42"/>
      <c r="BS41" s="57"/>
      <c r="BT41" s="55"/>
      <c r="BU41" s="42"/>
      <c r="BV41" s="42"/>
      <c r="BW41" s="52"/>
      <c r="BX41" s="52"/>
      <c r="BY41" s="53"/>
    </row>
    <row r="42" spans="1:86" ht="33.75" customHeight="1">
      <c r="A42" s="47">
        <v>22</v>
      </c>
      <c r="B42" s="10"/>
      <c r="C42" s="20">
        <f>SUMPRODUCT((足元帳!$K$2:$K$231=B42)*(足元帳!$BB$2:$BB$231=1))</f>
        <v>0</v>
      </c>
      <c r="D42" s="21">
        <f>SUMPRODUCT((足元帳!$K$2:$K$231=B42)*(足元帳!$BB$2:$BB$231=1)*(足元帳!$AZ$2:$AZ$231&lt;=2))</f>
        <v>0</v>
      </c>
      <c r="E42" s="20">
        <f>SUMPRODUCT((足元帳!$K$2:$K$231=B42)*(足元帳!$BB$2:$BB$231=2))</f>
        <v>0</v>
      </c>
      <c r="F42" s="22">
        <f>SUMPRODUCT((足元帳!$K$2:$K$231=B42)*(足元帳!$BB$2:$BB$231=2)*(足元帳!$AZ$2:$AZ$231&lt;=2))</f>
        <v>0</v>
      </c>
      <c r="G42" s="20">
        <f>SUMPRODUCT((足元帳!$K$2:$K$231=B42)*(足元帳!$BB$2:$BB$231=3))</f>
        <v>0</v>
      </c>
      <c r="H42" s="22">
        <f>SUMPRODUCT((足元帳!$K$2:$K$231=B42)*(足元帳!$BB$2:$BB$231=3)*(足元帳!$AZ$2:$AZ$231&lt;=2))</f>
        <v>0</v>
      </c>
      <c r="I42" s="20">
        <f>SUMPRODUCT((足元帳!$K$2:$K$231=B42)*(足元帳!$BB$2:$BB$231=4))</f>
        <v>0</v>
      </c>
      <c r="J42" s="22">
        <f>SUMPRODUCT((足元帳!$K$2:$K$231=B42)*(足元帳!$BB$2:$BB$231=4)*(足元帳!$AZ$2:$AZ$231&lt;=2))</f>
        <v>0</v>
      </c>
      <c r="K42" s="20">
        <f>SUMPRODUCT((足元帳!$K$2:$K$231=B42)*(足元帳!$BB$2:$BB$231=5))</f>
        <v>0</v>
      </c>
      <c r="L42" s="22">
        <f>SUMPRODUCT((足元帳!$K$2:$K$231=B42)*(足元帳!$BB$2:$BB$231=5)*(足元帳!$AZ$2:$AZ$231&lt;=2))</f>
        <v>0</v>
      </c>
      <c r="M42" s="20">
        <f>SUMPRODUCT((足元帳!$K$2:$K$231=B42)*(足元帳!$BB$2:$BB$231=6))</f>
        <v>0</v>
      </c>
      <c r="N42" s="20">
        <f>SUMPRODUCT((足元帳!$K$2:$K$231=B42)*(足元帳!$BB$2:$BB$231=6)*(足元帳!$AZ$2:$AZ$231&lt;=2))</f>
        <v>0</v>
      </c>
      <c r="O42" s="20"/>
      <c r="P42" s="20">
        <f>SUMPRODUCT((足元帳!$K$2:$K$231=B42)*(足元帳!$AS$2:$AS$231=足元帳!$AS$1)*(足元帳!$BB$2:$BB$231=1)*500)+SUMPRODUCT((足元帳!$K$2:$K$231=B42)*(足元帳!$AS$2:$AS$231=足元帳!$AS$1)*(足元帳!$BB$2:$BB$231=2)*500)+SUMPRODUCT((足元帳!$K$2:$K$231=B42)*(足元帳!$AS$2:$AS$231=足元帳!$AS$1)*(足元帳!$BB$2:$BB$231=3)*500)+SUMPRODUCT((足元帳!$K$2:$K$231=B42)*(足元帳!$AS$2:$AS$231=足元帳!$AS$1)*(足元帳!$BB$2:$BB$231=4)*1000)+SUMPRODUCT((足元帳!$K$2:$K$231=B42)*(足元帳!$AS$2:$AS$231=足元帳!$AS$1)*(足元帳!$BB$2:$BB$231=5)*1000)+SUMPRODUCT((足元帳!$K$2:$K$231=B42)*(足元帳!$AS$2:$AS$231=足元帳!$AS$1)*(足元帳!$BB$2:$BB$231=6)*300)</f>
        <v>0</v>
      </c>
      <c r="Q42" s="20">
        <f>SUMPRODUCT((足元帳!$K$2:$K$231=B42)*(足元帳!$BQ$2:$BV$231=Q$20))</f>
        <v>0</v>
      </c>
      <c r="R42" s="20">
        <f>SUMPRODUCT((足元帳!$K$2:$K$231=B42)*(足元帳!$BQ$2:$BV$231=R$20))</f>
        <v>0</v>
      </c>
      <c r="S42" s="20">
        <f>SUMPRODUCT((足元帳!$K$2:$K$231=B42)*(足元帳!$BQ$2:$BV$231=S$20))</f>
        <v>0</v>
      </c>
      <c r="T42" s="20">
        <f>SUMPRODUCT((足元帳!$K$2:$K$231=B42)*(足元帳!$BQ$2:$BV$231=T$20))</f>
        <v>0</v>
      </c>
      <c r="U42" s="20">
        <f>SUMPRODUCT((足元帳!$K$2:$K$231=B42)*(足元帳!$BK$2:$BK$231=3000)*3000)+SUMPRODUCT((足元帳!$K$2:$K$231=B42)*(足元帳!$BK$2:$BK$231=4000)*4000)+SUMPRODUCT((足元帳!$K$2:$K$231=B42)*(足元帳!$BK$2:$BK$231=5000)*5000)+SUMPRODUCT((足元帳!$K$2:$K$231=B42)*(足元帳!$BK$2:$BK$231=6000)*6000)</f>
        <v>0</v>
      </c>
      <c r="V42" s="20"/>
      <c r="W42" s="256"/>
      <c r="X42" s="131">
        <f t="shared" si="2"/>
        <v>0</v>
      </c>
      <c r="Y42" s="131">
        <f t="shared" si="3"/>
        <v>0</v>
      </c>
      <c r="Z42" s="132">
        <f>C42*C$11+E42*E$11+G42*G$11+I42*I$11+K42*K$11+M42*M$11+X42+Y42
+IF(管理シート!$BQ$4 &lt;&gt; "ON",0,SUMPRODUCT((足元帳!$K$2:$K$231=B42)*(足元帳!$BB$2:$BB$231=4)*(足元帳!$AZ$2:$AZ$231&gt;=3)*(足元帳!$AP$2:$AP$231&lt;&gt;""))*管理シート!$BP$4)+
IF(管理シート!$BQ$5 &lt;&gt; "ON",0,SUMPRODUCT((足元帳!$K$2:$K$231=B42)*(足元帳!$BB$2:$BB$231=5)*(足元帳!$AZ$2:$AZ$231&gt;=3)*(足元帳!$AP$2:$AP$231&lt;&gt;""))*管理シート!$BP$5)</f>
        <v>0</v>
      </c>
      <c r="AA42" s="131">
        <f t="shared" si="4"/>
        <v>0</v>
      </c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4">
        <f t="shared" si="5"/>
        <v>0</v>
      </c>
      <c r="AZ42" s="4"/>
      <c r="BA42" s="5"/>
      <c r="BB42" s="6" t="str">
        <f t="shared" si="6"/>
        <v/>
      </c>
      <c r="BC42" s="62" t="s">
        <v>98</v>
      </c>
      <c r="BD42" s="497">
        <v>0</v>
      </c>
      <c r="BE42" s="497"/>
      <c r="BF42" s="497"/>
      <c r="BG42" s="497"/>
      <c r="BH42" s="497"/>
      <c r="BI42" s="497"/>
      <c r="BP42" s="44"/>
      <c r="BQ42" s="42"/>
      <c r="BR42" s="42"/>
      <c r="BS42" s="57"/>
      <c r="BT42" s="55"/>
      <c r="BU42" s="42"/>
      <c r="BW42" s="28"/>
      <c r="BX42" s="28"/>
      <c r="BY42" s="28"/>
    </row>
    <row r="43" spans="1:86" ht="33.75" customHeight="1">
      <c r="A43" s="47">
        <v>23</v>
      </c>
      <c r="B43" s="10"/>
      <c r="C43" s="20">
        <f>SUMPRODUCT((足元帳!$K$2:$K$231=B43)*(足元帳!$BB$2:$BB$231=1))</f>
        <v>0</v>
      </c>
      <c r="D43" s="21">
        <f>SUMPRODUCT((足元帳!$K$2:$K$231=B43)*(足元帳!$BB$2:$BB$231=1)*(足元帳!$AZ$2:$AZ$231&lt;=2))</f>
        <v>0</v>
      </c>
      <c r="E43" s="20">
        <f>SUMPRODUCT((足元帳!$K$2:$K$231=B43)*(足元帳!$BB$2:$BB$231=2))</f>
        <v>0</v>
      </c>
      <c r="F43" s="22">
        <f>SUMPRODUCT((足元帳!$K$2:$K$231=B43)*(足元帳!$BB$2:$BB$231=2)*(足元帳!$AZ$2:$AZ$231&lt;=2))</f>
        <v>0</v>
      </c>
      <c r="G43" s="20">
        <f>SUMPRODUCT((足元帳!$K$2:$K$231=B43)*(足元帳!$BB$2:$BB$231=3))</f>
        <v>0</v>
      </c>
      <c r="H43" s="22">
        <f>SUMPRODUCT((足元帳!$K$2:$K$231=B43)*(足元帳!$BB$2:$BB$231=3)*(足元帳!$AZ$2:$AZ$231&lt;=2))</f>
        <v>0</v>
      </c>
      <c r="I43" s="20">
        <f>SUMPRODUCT((足元帳!$K$2:$K$231=B43)*(足元帳!$BB$2:$BB$231=4))</f>
        <v>0</v>
      </c>
      <c r="J43" s="22">
        <f>SUMPRODUCT((足元帳!$K$2:$K$231=B43)*(足元帳!$BB$2:$BB$231=4)*(足元帳!$AZ$2:$AZ$231&lt;=2))</f>
        <v>0</v>
      </c>
      <c r="K43" s="20">
        <f>SUMPRODUCT((足元帳!$K$2:$K$231=B43)*(足元帳!$BB$2:$BB$231=5))</f>
        <v>0</v>
      </c>
      <c r="L43" s="22">
        <f>SUMPRODUCT((足元帳!$K$2:$K$231=B43)*(足元帳!$BB$2:$BB$231=5)*(足元帳!$AZ$2:$AZ$231&lt;=2))</f>
        <v>0</v>
      </c>
      <c r="M43" s="20">
        <f>SUMPRODUCT((足元帳!$K$2:$K$231=B43)*(足元帳!$BB$2:$BB$231=6))</f>
        <v>0</v>
      </c>
      <c r="N43" s="20">
        <f>SUMPRODUCT((足元帳!$K$2:$K$231=B43)*(足元帳!$BB$2:$BB$231=6)*(足元帳!$AZ$2:$AZ$231&lt;=2))</f>
        <v>0</v>
      </c>
      <c r="O43" s="20"/>
      <c r="P43" s="20">
        <f>SUMPRODUCT((足元帳!$K$2:$K$231=B43)*(足元帳!$AS$2:$AS$231=足元帳!$AS$1)*(足元帳!$BB$2:$BB$231=1)*500)+SUMPRODUCT((足元帳!$K$2:$K$231=B43)*(足元帳!$AS$2:$AS$231=足元帳!$AS$1)*(足元帳!$BB$2:$BB$231=2)*500)+SUMPRODUCT((足元帳!$K$2:$K$231=B43)*(足元帳!$AS$2:$AS$231=足元帳!$AS$1)*(足元帳!$BB$2:$BB$231=3)*500)+SUMPRODUCT((足元帳!$K$2:$K$231=B43)*(足元帳!$AS$2:$AS$231=足元帳!$AS$1)*(足元帳!$BB$2:$BB$231=4)*1000)+SUMPRODUCT((足元帳!$K$2:$K$231=B43)*(足元帳!$AS$2:$AS$231=足元帳!$AS$1)*(足元帳!$BB$2:$BB$231=5)*1000)+SUMPRODUCT((足元帳!$K$2:$K$231=B43)*(足元帳!$AS$2:$AS$231=足元帳!$AS$1)*(足元帳!$BB$2:$BB$231=6)*300)</f>
        <v>0</v>
      </c>
      <c r="Q43" s="20">
        <f>SUMPRODUCT((足元帳!$K$2:$K$231=B43)*(足元帳!$BQ$2:$BV$231=Q$20))</f>
        <v>0</v>
      </c>
      <c r="R43" s="20">
        <f>SUMPRODUCT((足元帳!$K$2:$K$231=B43)*(足元帳!$BQ$2:$BV$231=R$20))</f>
        <v>0</v>
      </c>
      <c r="S43" s="20">
        <f>SUMPRODUCT((足元帳!$K$2:$K$231=B43)*(足元帳!$BQ$2:$BV$231=S$20))</f>
        <v>0</v>
      </c>
      <c r="T43" s="20">
        <f>SUMPRODUCT((足元帳!$K$2:$K$231=B43)*(足元帳!$BQ$2:$BV$231=T$20))</f>
        <v>0</v>
      </c>
      <c r="U43" s="20">
        <f>SUMPRODUCT((足元帳!$K$2:$K$231=B43)*(足元帳!$BK$2:$BK$231=3000)*3000)+SUMPRODUCT((足元帳!$K$2:$K$231=B43)*(足元帳!$BK$2:$BK$231=4000)*4000)+SUMPRODUCT((足元帳!$K$2:$K$231=B43)*(足元帳!$BK$2:$BK$231=5000)*5000)+SUMPRODUCT((足元帳!$K$2:$K$231=B43)*(足元帳!$BK$2:$BK$231=6000)*6000)</f>
        <v>0</v>
      </c>
      <c r="V43" s="20"/>
      <c r="W43" s="256"/>
      <c r="X43" s="131">
        <f t="shared" si="2"/>
        <v>0</v>
      </c>
      <c r="Y43" s="131">
        <f t="shared" si="3"/>
        <v>0</v>
      </c>
      <c r="Z43" s="132">
        <f>C43*C$11+E43*E$11+G43*G$11+I43*I$11+K43*K$11+M43*M$11+X43+Y43
+IF(管理シート!$BQ$4 &lt;&gt; "ON",0,SUMPRODUCT((足元帳!$K$2:$K$231=B43)*(足元帳!$BB$2:$BB$231=4)*(足元帳!$AZ$2:$AZ$231&gt;=3)*(足元帳!$AP$2:$AP$231&lt;&gt;""))*管理シート!$BP$4)+
IF(管理シート!$BQ$5 &lt;&gt; "ON",0,SUMPRODUCT((足元帳!$K$2:$K$231=B43)*(足元帳!$BB$2:$BB$231=5)*(足元帳!$AZ$2:$AZ$231&gt;=3)*(足元帳!$AP$2:$AP$231&lt;&gt;""))*管理シート!$BP$5)</f>
        <v>0</v>
      </c>
      <c r="AA43" s="131">
        <f t="shared" si="4"/>
        <v>0</v>
      </c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4">
        <f t="shared" si="5"/>
        <v>0</v>
      </c>
      <c r="AZ43" s="4"/>
      <c r="BA43" s="5"/>
      <c r="BB43" s="6" t="str">
        <f t="shared" si="6"/>
        <v/>
      </c>
      <c r="BC43" s="59" t="s">
        <v>99</v>
      </c>
      <c r="BD43" s="465">
        <f>AY80</f>
        <v>0</v>
      </c>
      <c r="BE43" s="465"/>
      <c r="BF43" s="465"/>
      <c r="BG43" s="465"/>
      <c r="BH43" s="465"/>
      <c r="BI43" s="465"/>
      <c r="BP43" s="44"/>
      <c r="BQ43" s="42"/>
      <c r="BR43" s="42"/>
      <c r="BS43" s="57"/>
      <c r="BW43" s="28"/>
      <c r="BX43" s="28"/>
      <c r="BY43" s="28"/>
    </row>
    <row r="44" spans="1:86" ht="33.75" customHeight="1">
      <c r="A44" s="47">
        <v>24</v>
      </c>
      <c r="B44" s="10"/>
      <c r="C44" s="20">
        <f>SUMPRODUCT((足元帳!$K$2:$K$231=B44)*(足元帳!$BB$2:$BB$231=1))</f>
        <v>0</v>
      </c>
      <c r="D44" s="21">
        <f>SUMPRODUCT((足元帳!$K$2:$K$231=B44)*(足元帳!$BB$2:$BB$231=1)*(足元帳!$AZ$2:$AZ$231&lt;=2))</f>
        <v>0</v>
      </c>
      <c r="E44" s="20">
        <f>SUMPRODUCT((足元帳!$K$2:$K$231=B44)*(足元帳!$BB$2:$BB$231=2))</f>
        <v>0</v>
      </c>
      <c r="F44" s="22">
        <f>SUMPRODUCT((足元帳!$K$2:$K$231=B44)*(足元帳!$BB$2:$BB$231=2)*(足元帳!$AZ$2:$AZ$231&lt;=2))</f>
        <v>0</v>
      </c>
      <c r="G44" s="20">
        <f>SUMPRODUCT((足元帳!$K$2:$K$231=B44)*(足元帳!$BB$2:$BB$231=3))</f>
        <v>0</v>
      </c>
      <c r="H44" s="22">
        <f>SUMPRODUCT((足元帳!$K$2:$K$231=B44)*(足元帳!$BB$2:$BB$231=3)*(足元帳!$AZ$2:$AZ$231&lt;=2))</f>
        <v>0</v>
      </c>
      <c r="I44" s="20">
        <f>SUMPRODUCT((足元帳!$K$2:$K$231=B44)*(足元帳!$BB$2:$BB$231=4))</f>
        <v>0</v>
      </c>
      <c r="J44" s="22">
        <f>SUMPRODUCT((足元帳!$K$2:$K$231=B44)*(足元帳!$BB$2:$BB$231=4)*(足元帳!$AZ$2:$AZ$231&lt;=2))</f>
        <v>0</v>
      </c>
      <c r="K44" s="20">
        <f>SUMPRODUCT((足元帳!$K$2:$K$231=B44)*(足元帳!$BB$2:$BB$231=5))</f>
        <v>0</v>
      </c>
      <c r="L44" s="22">
        <f>SUMPRODUCT((足元帳!$K$2:$K$231=B44)*(足元帳!$BB$2:$BB$231=5)*(足元帳!$AZ$2:$AZ$231&lt;=2))</f>
        <v>0</v>
      </c>
      <c r="M44" s="20">
        <f>SUMPRODUCT((足元帳!$K$2:$K$231=B44)*(足元帳!$BB$2:$BB$231=6))</f>
        <v>0</v>
      </c>
      <c r="N44" s="20">
        <f>SUMPRODUCT((足元帳!$K$2:$K$231=B44)*(足元帳!$BB$2:$BB$231=6)*(足元帳!$AZ$2:$AZ$231&lt;=2))</f>
        <v>0</v>
      </c>
      <c r="O44" s="20"/>
      <c r="P44" s="20">
        <f>SUMPRODUCT((足元帳!$K$2:$K$231=B44)*(足元帳!$AS$2:$AS$231=足元帳!$AS$1)*(足元帳!$BB$2:$BB$231=1)*500)+SUMPRODUCT((足元帳!$K$2:$K$231=B44)*(足元帳!$AS$2:$AS$231=足元帳!$AS$1)*(足元帳!$BB$2:$BB$231=2)*500)+SUMPRODUCT((足元帳!$K$2:$K$231=B44)*(足元帳!$AS$2:$AS$231=足元帳!$AS$1)*(足元帳!$BB$2:$BB$231=3)*500)+SUMPRODUCT((足元帳!$K$2:$K$231=B44)*(足元帳!$AS$2:$AS$231=足元帳!$AS$1)*(足元帳!$BB$2:$BB$231=4)*1000)+SUMPRODUCT((足元帳!$K$2:$K$231=B44)*(足元帳!$AS$2:$AS$231=足元帳!$AS$1)*(足元帳!$BB$2:$BB$231=5)*1000)+SUMPRODUCT((足元帳!$K$2:$K$231=B44)*(足元帳!$AS$2:$AS$231=足元帳!$AS$1)*(足元帳!$BB$2:$BB$231=6)*300)</f>
        <v>0</v>
      </c>
      <c r="Q44" s="20">
        <f>SUMPRODUCT((足元帳!$K$2:$K$231=B44)*(足元帳!$BQ$2:$BV$231=Q$20))</f>
        <v>0</v>
      </c>
      <c r="R44" s="20">
        <f>SUMPRODUCT((足元帳!$K$2:$K$231=B44)*(足元帳!$BQ$2:$BV$231=R$20))</f>
        <v>0</v>
      </c>
      <c r="S44" s="20">
        <f>SUMPRODUCT((足元帳!$K$2:$K$231=B44)*(足元帳!$BQ$2:$BV$231=S$20))</f>
        <v>0</v>
      </c>
      <c r="T44" s="20">
        <f>SUMPRODUCT((足元帳!$K$2:$K$231=B44)*(足元帳!$BQ$2:$BV$231=T$20))</f>
        <v>0</v>
      </c>
      <c r="U44" s="20">
        <f>SUMPRODUCT((足元帳!$K$2:$K$231=B44)*(足元帳!$BK$2:$BK$231=3000)*3000)+SUMPRODUCT((足元帳!$K$2:$K$231=B44)*(足元帳!$BK$2:$BK$231=4000)*4000)+SUMPRODUCT((足元帳!$K$2:$K$231=B44)*(足元帳!$BK$2:$BK$231=5000)*5000)+SUMPRODUCT((足元帳!$K$2:$K$231=B44)*(足元帳!$BK$2:$BK$231=6000)*6000)</f>
        <v>0</v>
      </c>
      <c r="V44" s="20"/>
      <c r="W44" s="256"/>
      <c r="X44" s="131">
        <f t="shared" si="2"/>
        <v>0</v>
      </c>
      <c r="Y44" s="131">
        <f t="shared" si="3"/>
        <v>0</v>
      </c>
      <c r="Z44" s="132">
        <f>C44*C$11+E44*E$11+G44*G$11+I44*I$11+K44*K$11+M44*M$11+X44+Y44
+IF(管理シート!$BQ$4 &lt;&gt; "ON",0,SUMPRODUCT((足元帳!$K$2:$K$231=B44)*(足元帳!$BB$2:$BB$231=4)*(足元帳!$AZ$2:$AZ$231&gt;=3)*(足元帳!$AP$2:$AP$231&lt;&gt;""))*管理シート!$BP$4)+
IF(管理シート!$BQ$5 &lt;&gt; "ON",0,SUMPRODUCT((足元帳!$K$2:$K$231=B44)*(足元帳!$BB$2:$BB$231=5)*(足元帳!$AZ$2:$AZ$231&gt;=3)*(足元帳!$AP$2:$AP$231&lt;&gt;""))*管理シート!$BP$5)</f>
        <v>0</v>
      </c>
      <c r="AA44" s="131">
        <f t="shared" si="4"/>
        <v>0</v>
      </c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4">
        <f t="shared" si="5"/>
        <v>0</v>
      </c>
      <c r="AZ44" s="4"/>
      <c r="BB44" s="6" t="str">
        <f t="shared" si="6"/>
        <v/>
      </c>
      <c r="BC44" s="59" t="s">
        <v>100</v>
      </c>
      <c r="BD44" s="498">
        <f>BU34</f>
        <v>0</v>
      </c>
      <c r="BE44" s="499"/>
      <c r="BF44" s="465" t="s">
        <v>198</v>
      </c>
      <c r="BG44" s="465"/>
      <c r="BH44" s="499">
        <f>CI31</f>
        <v>0</v>
      </c>
      <c r="BI44" s="500"/>
      <c r="BP44" s="44"/>
      <c r="BQ44" s="42"/>
      <c r="BR44" s="42"/>
      <c r="BS44" s="57"/>
      <c r="BW44" s="28"/>
      <c r="BX44" s="28"/>
      <c r="BY44" s="28"/>
    </row>
    <row r="45" spans="1:86" ht="33.75" customHeight="1">
      <c r="A45" s="47">
        <v>25</v>
      </c>
      <c r="B45" s="10"/>
      <c r="C45" s="20">
        <f>SUMPRODUCT((足元帳!$K$2:$K$231=B45)*(足元帳!$BB$2:$BB$231=1))</f>
        <v>0</v>
      </c>
      <c r="D45" s="21">
        <f>SUMPRODUCT((足元帳!$K$2:$K$231=B45)*(足元帳!$BB$2:$BB$231=1)*(足元帳!$AZ$2:$AZ$231&lt;=2))</f>
        <v>0</v>
      </c>
      <c r="E45" s="20">
        <f>SUMPRODUCT((足元帳!$K$2:$K$231=B45)*(足元帳!$BB$2:$BB$231=2))</f>
        <v>0</v>
      </c>
      <c r="F45" s="22">
        <f>SUMPRODUCT((足元帳!$K$2:$K$231=B45)*(足元帳!$BB$2:$BB$231=2)*(足元帳!$AZ$2:$AZ$231&lt;=2))</f>
        <v>0</v>
      </c>
      <c r="G45" s="20">
        <f>SUMPRODUCT((足元帳!$K$2:$K$231=B45)*(足元帳!$BB$2:$BB$231=3))</f>
        <v>0</v>
      </c>
      <c r="H45" s="22">
        <f>SUMPRODUCT((足元帳!$K$2:$K$231=B45)*(足元帳!$BB$2:$BB$231=3)*(足元帳!$AZ$2:$AZ$231&lt;=2))</f>
        <v>0</v>
      </c>
      <c r="I45" s="20">
        <f>SUMPRODUCT((足元帳!$K$2:$K$231=B45)*(足元帳!$BB$2:$BB$231=4))</f>
        <v>0</v>
      </c>
      <c r="J45" s="22">
        <f>SUMPRODUCT((足元帳!$K$2:$K$231=B45)*(足元帳!$BB$2:$BB$231=4)*(足元帳!$AZ$2:$AZ$231&lt;=2))</f>
        <v>0</v>
      </c>
      <c r="K45" s="20">
        <f>SUMPRODUCT((足元帳!$K$2:$K$231=B45)*(足元帳!$BB$2:$BB$231=5))</f>
        <v>0</v>
      </c>
      <c r="L45" s="22">
        <f>SUMPRODUCT((足元帳!$K$2:$K$231=B45)*(足元帳!$BB$2:$BB$231=5)*(足元帳!$AZ$2:$AZ$231&lt;=2))</f>
        <v>0</v>
      </c>
      <c r="M45" s="20">
        <f>SUMPRODUCT((足元帳!$K$2:$K$231=B45)*(足元帳!$BB$2:$BB$231=6))</f>
        <v>0</v>
      </c>
      <c r="N45" s="20">
        <f>SUMPRODUCT((足元帳!$K$2:$K$231=B45)*(足元帳!$BB$2:$BB$231=6)*(足元帳!$AZ$2:$AZ$231&lt;=2))</f>
        <v>0</v>
      </c>
      <c r="O45" s="20"/>
      <c r="P45" s="20">
        <f>SUMPRODUCT((足元帳!$K$2:$K$231=B45)*(足元帳!$AS$2:$AS$231=足元帳!$AS$1)*(足元帳!$BB$2:$BB$231=1)*500)+SUMPRODUCT((足元帳!$K$2:$K$231=B45)*(足元帳!$AS$2:$AS$231=足元帳!$AS$1)*(足元帳!$BB$2:$BB$231=2)*500)+SUMPRODUCT((足元帳!$K$2:$K$231=B45)*(足元帳!$AS$2:$AS$231=足元帳!$AS$1)*(足元帳!$BB$2:$BB$231=3)*500)+SUMPRODUCT((足元帳!$K$2:$K$231=B45)*(足元帳!$AS$2:$AS$231=足元帳!$AS$1)*(足元帳!$BB$2:$BB$231=4)*1000)+SUMPRODUCT((足元帳!$K$2:$K$231=B45)*(足元帳!$AS$2:$AS$231=足元帳!$AS$1)*(足元帳!$BB$2:$BB$231=5)*1000)+SUMPRODUCT((足元帳!$K$2:$K$231=B45)*(足元帳!$AS$2:$AS$231=足元帳!$AS$1)*(足元帳!$BB$2:$BB$231=6)*300)</f>
        <v>0</v>
      </c>
      <c r="Q45" s="20">
        <f>SUMPRODUCT((足元帳!$K$2:$K$231=B45)*(足元帳!$BQ$2:$BV$231=Q$20))</f>
        <v>0</v>
      </c>
      <c r="R45" s="20">
        <f>SUMPRODUCT((足元帳!$K$2:$K$231=B45)*(足元帳!$BQ$2:$BV$231=R$20))</f>
        <v>0</v>
      </c>
      <c r="S45" s="20">
        <f>SUMPRODUCT((足元帳!$K$2:$K$231=B45)*(足元帳!$BQ$2:$BV$231=S$20))</f>
        <v>0</v>
      </c>
      <c r="T45" s="20">
        <f>SUMPRODUCT((足元帳!$K$2:$K$231=B45)*(足元帳!$BQ$2:$BV$231=T$20))</f>
        <v>0</v>
      </c>
      <c r="U45" s="20">
        <f>SUMPRODUCT((足元帳!$K$2:$K$231=B45)*(足元帳!$BK$2:$BK$231=3000)*3000)+SUMPRODUCT((足元帳!$K$2:$K$231=B45)*(足元帳!$BK$2:$BK$231=4000)*4000)+SUMPRODUCT((足元帳!$K$2:$K$231=B45)*(足元帳!$BK$2:$BK$231=5000)*5000)+SUMPRODUCT((足元帳!$K$2:$K$231=B45)*(足元帳!$BK$2:$BK$231=6000)*6000)</f>
        <v>0</v>
      </c>
      <c r="V45" s="20"/>
      <c r="W45" s="256"/>
      <c r="X45" s="131">
        <f t="shared" si="2"/>
        <v>0</v>
      </c>
      <c r="Y45" s="131">
        <f t="shared" si="3"/>
        <v>0</v>
      </c>
      <c r="Z45" s="132">
        <f>C45*C$11+E45*E$11+G45*G$11+I45*I$11+K45*K$11+M45*M$11+X45+Y45
+IF(管理シート!$BQ$4 &lt;&gt; "ON",0,SUMPRODUCT((足元帳!$K$2:$K$231=B45)*(足元帳!$BB$2:$BB$231=4)*(足元帳!$AZ$2:$AZ$231&gt;=3)*(足元帳!$AP$2:$AP$231&lt;&gt;""))*管理シート!$BP$4)+
IF(管理シート!$BQ$5 &lt;&gt; "ON",0,SUMPRODUCT((足元帳!$K$2:$K$231=B45)*(足元帳!$BB$2:$BB$231=5)*(足元帳!$AZ$2:$AZ$231&gt;=3)*(足元帳!$AP$2:$AP$231&lt;&gt;""))*管理シート!$BP$5)</f>
        <v>0</v>
      </c>
      <c r="AA45" s="131">
        <f t="shared" si="4"/>
        <v>0</v>
      </c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4">
        <f t="shared" si="5"/>
        <v>0</v>
      </c>
      <c r="AZ45" s="4"/>
      <c r="BA45" s="4"/>
      <c r="BB45" s="6" t="str">
        <f t="shared" si="6"/>
        <v/>
      </c>
      <c r="BC45" s="59" t="s">
        <v>101</v>
      </c>
      <c r="BD45" s="465">
        <f>BU31-CI31</f>
        <v>0</v>
      </c>
      <c r="BE45" s="465"/>
      <c r="BF45" s="465"/>
      <c r="BG45" s="465"/>
      <c r="BH45" s="465"/>
      <c r="BI45" s="465"/>
      <c r="BP45" s="44"/>
      <c r="BQ45" s="42"/>
      <c r="BR45" s="42"/>
      <c r="BS45" s="57"/>
      <c r="BW45" s="28"/>
      <c r="BX45" s="28"/>
      <c r="BY45" s="28"/>
    </row>
    <row r="46" spans="1:86" ht="33.75" customHeight="1">
      <c r="A46" s="47">
        <v>26</v>
      </c>
      <c r="B46" s="10"/>
      <c r="C46" s="20">
        <f>SUMPRODUCT((足元帳!$K$2:$K$231=B46)*(足元帳!$BB$2:$BB$231=1))</f>
        <v>0</v>
      </c>
      <c r="D46" s="21">
        <f>SUMPRODUCT((足元帳!$K$2:$K$231=B46)*(足元帳!$BB$2:$BB$231=1)*(足元帳!$AZ$2:$AZ$231&lt;=2))</f>
        <v>0</v>
      </c>
      <c r="E46" s="20">
        <f>SUMPRODUCT((足元帳!$K$2:$K$231=B46)*(足元帳!$BB$2:$BB$231=2))</f>
        <v>0</v>
      </c>
      <c r="F46" s="22">
        <f>SUMPRODUCT((足元帳!$K$2:$K$231=B46)*(足元帳!$BB$2:$BB$231=2)*(足元帳!$AZ$2:$AZ$231&lt;=2))</f>
        <v>0</v>
      </c>
      <c r="G46" s="20">
        <f>SUMPRODUCT((足元帳!$K$2:$K$231=B46)*(足元帳!$BB$2:$BB$231=3))</f>
        <v>0</v>
      </c>
      <c r="H46" s="22">
        <f>SUMPRODUCT((足元帳!$K$2:$K$231=B46)*(足元帳!$BB$2:$BB$231=3)*(足元帳!$AZ$2:$AZ$231&lt;=2))</f>
        <v>0</v>
      </c>
      <c r="I46" s="20">
        <f>SUMPRODUCT((足元帳!$K$2:$K$231=B46)*(足元帳!$BB$2:$BB$231=4))</f>
        <v>0</v>
      </c>
      <c r="J46" s="22">
        <f>SUMPRODUCT((足元帳!$K$2:$K$231=B46)*(足元帳!$BB$2:$BB$231=4)*(足元帳!$AZ$2:$AZ$231&lt;=2))</f>
        <v>0</v>
      </c>
      <c r="K46" s="20">
        <f>SUMPRODUCT((足元帳!$K$2:$K$231=B46)*(足元帳!$BB$2:$BB$231=5))</f>
        <v>0</v>
      </c>
      <c r="L46" s="22">
        <f>SUMPRODUCT((足元帳!$K$2:$K$231=B46)*(足元帳!$BB$2:$BB$231=5)*(足元帳!$AZ$2:$AZ$231&lt;=2))</f>
        <v>0</v>
      </c>
      <c r="M46" s="20">
        <f>SUMPRODUCT((足元帳!$K$2:$K$231=B46)*(足元帳!$BB$2:$BB$231=6))</f>
        <v>0</v>
      </c>
      <c r="N46" s="20">
        <f>SUMPRODUCT((足元帳!$K$2:$K$231=B46)*(足元帳!$BB$2:$BB$231=6)*(足元帳!$AZ$2:$AZ$231&lt;=2))</f>
        <v>0</v>
      </c>
      <c r="O46" s="20"/>
      <c r="P46" s="20">
        <f>SUMPRODUCT((足元帳!$K$2:$K$231=B46)*(足元帳!$AS$2:$AS$231=足元帳!$AS$1)*(足元帳!$BB$2:$BB$231=1)*500)+SUMPRODUCT((足元帳!$K$2:$K$231=B46)*(足元帳!$AS$2:$AS$231=足元帳!$AS$1)*(足元帳!$BB$2:$BB$231=2)*500)+SUMPRODUCT((足元帳!$K$2:$K$231=B46)*(足元帳!$AS$2:$AS$231=足元帳!$AS$1)*(足元帳!$BB$2:$BB$231=3)*500)+SUMPRODUCT((足元帳!$K$2:$K$231=B46)*(足元帳!$AS$2:$AS$231=足元帳!$AS$1)*(足元帳!$BB$2:$BB$231=4)*1000)+SUMPRODUCT((足元帳!$K$2:$K$231=B46)*(足元帳!$AS$2:$AS$231=足元帳!$AS$1)*(足元帳!$BB$2:$BB$231=5)*1000)+SUMPRODUCT((足元帳!$K$2:$K$231=B46)*(足元帳!$AS$2:$AS$231=足元帳!$AS$1)*(足元帳!$BB$2:$BB$231=6)*300)</f>
        <v>0</v>
      </c>
      <c r="Q46" s="20">
        <f>SUMPRODUCT((足元帳!$K$2:$K$231=B46)*(足元帳!$BQ$2:$BV$231=Q$20))</f>
        <v>0</v>
      </c>
      <c r="R46" s="20">
        <f>SUMPRODUCT((足元帳!$K$2:$K$231=B46)*(足元帳!$BQ$2:$BV$231=R$20))</f>
        <v>0</v>
      </c>
      <c r="S46" s="20">
        <f>SUMPRODUCT((足元帳!$K$2:$K$231=B46)*(足元帳!$BQ$2:$BV$231=S$20))</f>
        <v>0</v>
      </c>
      <c r="T46" s="20">
        <f>SUMPRODUCT((足元帳!$K$2:$K$231=B46)*(足元帳!$BQ$2:$BV$231=T$20))</f>
        <v>0</v>
      </c>
      <c r="U46" s="20">
        <f>SUMPRODUCT((足元帳!$K$2:$K$231=B46)*(足元帳!$BK$2:$BK$231=3000)*3000)+SUMPRODUCT((足元帳!$K$2:$K$231=B46)*(足元帳!$BK$2:$BK$231=4000)*4000)+SUMPRODUCT((足元帳!$K$2:$K$231=B46)*(足元帳!$BK$2:$BK$231=5000)*5000)+SUMPRODUCT((足元帳!$K$2:$K$231=B46)*(足元帳!$BK$2:$BK$231=6000)*6000)</f>
        <v>0</v>
      </c>
      <c r="V46" s="20"/>
      <c r="W46" s="256"/>
      <c r="X46" s="131">
        <f t="shared" si="2"/>
        <v>0</v>
      </c>
      <c r="Y46" s="131">
        <f t="shared" si="3"/>
        <v>0</v>
      </c>
      <c r="Z46" s="132">
        <f>C46*C$11+E46*E$11+G46*G$11+I46*I$11+K46*K$11+M46*M$11+X46+Y46
+IF(管理シート!$BQ$4 &lt;&gt; "ON",0,SUMPRODUCT((足元帳!$K$2:$K$231=B46)*(足元帳!$BB$2:$BB$231=4)*(足元帳!$AZ$2:$AZ$231&gt;=3)*(足元帳!$AP$2:$AP$231&lt;&gt;""))*管理シート!$BP$4)+
IF(管理シート!$BQ$5 &lt;&gt; "ON",0,SUMPRODUCT((足元帳!$K$2:$K$231=B46)*(足元帳!$BB$2:$BB$231=5)*(足元帳!$AZ$2:$AZ$231&gt;=3)*(足元帳!$AP$2:$AP$231&lt;&gt;""))*管理シート!$BP$5)</f>
        <v>0</v>
      </c>
      <c r="AA46" s="131">
        <f t="shared" si="4"/>
        <v>0</v>
      </c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4">
        <f t="shared" si="5"/>
        <v>0</v>
      </c>
      <c r="AZ46" s="4"/>
      <c r="BA46" s="4"/>
      <c r="BB46" s="6" t="str">
        <f t="shared" si="6"/>
        <v/>
      </c>
      <c r="BC46" s="59" t="s">
        <v>102</v>
      </c>
      <c r="BD46" s="465">
        <f>BD43-BD44-BD45+BD41</f>
        <v>0</v>
      </c>
      <c r="BE46" s="465"/>
      <c r="BF46" s="465"/>
      <c r="BG46" s="465"/>
      <c r="BH46" s="465"/>
      <c r="BI46" s="465"/>
      <c r="BP46" s="44"/>
      <c r="BQ46" s="42"/>
      <c r="BR46" s="42"/>
      <c r="BS46" s="57"/>
      <c r="BW46" s="28"/>
      <c r="BX46" s="28"/>
      <c r="BY46" s="28"/>
    </row>
    <row r="47" spans="1:86" ht="33.75" customHeight="1">
      <c r="A47" s="47">
        <v>27</v>
      </c>
      <c r="B47" s="10"/>
      <c r="C47" s="20">
        <f>SUMPRODUCT((足元帳!$K$2:$K$231=B47)*(足元帳!$BB$2:$BB$231=1))</f>
        <v>0</v>
      </c>
      <c r="D47" s="21">
        <f>SUMPRODUCT((足元帳!$K$2:$K$231=B47)*(足元帳!$BB$2:$BB$231=1)*(足元帳!$AZ$2:$AZ$231&lt;=2))</f>
        <v>0</v>
      </c>
      <c r="E47" s="20">
        <f>SUMPRODUCT((足元帳!$K$2:$K$231=B47)*(足元帳!$BB$2:$BB$231=2))</f>
        <v>0</v>
      </c>
      <c r="F47" s="22">
        <f>SUMPRODUCT((足元帳!$K$2:$K$231=B47)*(足元帳!$BB$2:$BB$231=2)*(足元帳!$AZ$2:$AZ$231&lt;=2))</f>
        <v>0</v>
      </c>
      <c r="G47" s="20">
        <f>SUMPRODUCT((足元帳!$K$2:$K$231=B47)*(足元帳!$BB$2:$BB$231=3))</f>
        <v>0</v>
      </c>
      <c r="H47" s="22">
        <f>SUMPRODUCT((足元帳!$K$2:$K$231=B47)*(足元帳!$BB$2:$BB$231=3)*(足元帳!$AZ$2:$AZ$231&lt;=2))</f>
        <v>0</v>
      </c>
      <c r="I47" s="20">
        <f>SUMPRODUCT((足元帳!$K$2:$K$231=B47)*(足元帳!$BB$2:$BB$231=4))</f>
        <v>0</v>
      </c>
      <c r="J47" s="22">
        <f>SUMPRODUCT((足元帳!$K$2:$K$231=B47)*(足元帳!$BB$2:$BB$231=4)*(足元帳!$AZ$2:$AZ$231&lt;=2))</f>
        <v>0</v>
      </c>
      <c r="K47" s="20">
        <f>SUMPRODUCT((足元帳!$K$2:$K$231=B47)*(足元帳!$BB$2:$BB$231=5))</f>
        <v>0</v>
      </c>
      <c r="L47" s="22">
        <f>SUMPRODUCT((足元帳!$K$2:$K$231=B47)*(足元帳!$BB$2:$BB$231=5)*(足元帳!$AZ$2:$AZ$231&lt;=2))</f>
        <v>0</v>
      </c>
      <c r="M47" s="20">
        <f>SUMPRODUCT((足元帳!$K$2:$K$231=B47)*(足元帳!$BB$2:$BB$231=6))</f>
        <v>0</v>
      </c>
      <c r="N47" s="20">
        <f>SUMPRODUCT((足元帳!$K$2:$K$231=B47)*(足元帳!$BB$2:$BB$231=6)*(足元帳!$AZ$2:$AZ$231&lt;=2))</f>
        <v>0</v>
      </c>
      <c r="O47" s="20"/>
      <c r="P47" s="20">
        <f>SUMPRODUCT((足元帳!$K$2:$K$231=B47)*(足元帳!$AS$2:$AS$231=足元帳!$AS$1)*(足元帳!$BB$2:$BB$231=1)*500)+SUMPRODUCT((足元帳!$K$2:$K$231=B47)*(足元帳!$AS$2:$AS$231=足元帳!$AS$1)*(足元帳!$BB$2:$BB$231=2)*500)+SUMPRODUCT((足元帳!$K$2:$K$231=B47)*(足元帳!$AS$2:$AS$231=足元帳!$AS$1)*(足元帳!$BB$2:$BB$231=3)*500)+SUMPRODUCT((足元帳!$K$2:$K$231=B47)*(足元帳!$AS$2:$AS$231=足元帳!$AS$1)*(足元帳!$BB$2:$BB$231=4)*1000)+SUMPRODUCT((足元帳!$K$2:$K$231=B47)*(足元帳!$AS$2:$AS$231=足元帳!$AS$1)*(足元帳!$BB$2:$BB$231=5)*1000)+SUMPRODUCT((足元帳!$K$2:$K$231=B47)*(足元帳!$AS$2:$AS$231=足元帳!$AS$1)*(足元帳!$BB$2:$BB$231=6)*300)</f>
        <v>0</v>
      </c>
      <c r="Q47" s="20">
        <f>SUMPRODUCT((足元帳!$K$2:$K$231=B47)*(足元帳!$BQ$2:$BV$231=Q$20))</f>
        <v>0</v>
      </c>
      <c r="R47" s="20">
        <f>SUMPRODUCT((足元帳!$K$2:$K$231=B47)*(足元帳!$BQ$2:$BV$231=R$20))</f>
        <v>0</v>
      </c>
      <c r="S47" s="20">
        <f>SUMPRODUCT((足元帳!$K$2:$K$231=B47)*(足元帳!$BQ$2:$BV$231=S$20))</f>
        <v>0</v>
      </c>
      <c r="T47" s="20">
        <f>SUMPRODUCT((足元帳!$K$2:$K$231=B47)*(足元帳!$BQ$2:$BV$231=T$20))</f>
        <v>0</v>
      </c>
      <c r="U47" s="20">
        <f>SUMPRODUCT((足元帳!$K$2:$K$231=B47)*(足元帳!$BK$2:$BK$231=3000)*3000)+SUMPRODUCT((足元帳!$K$2:$K$231=B47)*(足元帳!$BK$2:$BK$231=4000)*4000)+SUMPRODUCT((足元帳!$K$2:$K$231=B47)*(足元帳!$BK$2:$BK$231=5000)*5000)+SUMPRODUCT((足元帳!$K$2:$K$231=B47)*(足元帳!$BK$2:$BK$231=6000)*6000)</f>
        <v>0</v>
      </c>
      <c r="V47" s="20"/>
      <c r="W47" s="256"/>
      <c r="X47" s="131">
        <f t="shared" si="2"/>
        <v>0</v>
      </c>
      <c r="Y47" s="131">
        <f t="shared" si="3"/>
        <v>0</v>
      </c>
      <c r="Z47" s="132">
        <f>C47*C$11+E47*E$11+G47*G$11+I47*I$11+K47*K$11+M47*M$11+X47+Y47
+IF(管理シート!$BQ$4 &lt;&gt; "ON",0,SUMPRODUCT((足元帳!$K$2:$K$231=B47)*(足元帳!$BB$2:$BB$231=4)*(足元帳!$AZ$2:$AZ$231&gt;=3)*(足元帳!$AP$2:$AP$231&lt;&gt;""))*管理シート!$BP$4)+
IF(管理シート!$BQ$5 &lt;&gt; "ON",0,SUMPRODUCT((足元帳!$K$2:$K$231=B47)*(足元帳!$BB$2:$BB$231=5)*(足元帳!$AZ$2:$AZ$231&gt;=3)*(足元帳!$AP$2:$AP$231&lt;&gt;""))*管理シート!$BP$5)</f>
        <v>0</v>
      </c>
      <c r="AA47" s="131">
        <f t="shared" si="4"/>
        <v>0</v>
      </c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4">
        <f t="shared" si="5"/>
        <v>0</v>
      </c>
      <c r="AZ47" s="4"/>
      <c r="BA47" s="5"/>
      <c r="BB47" s="6" t="str">
        <f t="shared" si="6"/>
        <v/>
      </c>
      <c r="BC47" s="59" t="s">
        <v>103</v>
      </c>
      <c r="BD47" s="465">
        <f>Z79</f>
        <v>0</v>
      </c>
      <c r="BE47" s="465"/>
      <c r="BF47" s="465"/>
      <c r="BG47" s="465"/>
      <c r="BH47" s="465"/>
      <c r="BI47" s="465"/>
      <c r="BW47" s="28"/>
      <c r="BX47" s="28"/>
      <c r="BY47" s="28"/>
    </row>
    <row r="48" spans="1:86" ht="33.75" customHeight="1">
      <c r="A48" s="47">
        <v>28</v>
      </c>
      <c r="B48" s="10"/>
      <c r="C48" s="20">
        <f>SUMPRODUCT((足元帳!$K$2:$K$231=B48)*(足元帳!$BB$2:$BB$231=1))</f>
        <v>0</v>
      </c>
      <c r="D48" s="21">
        <f>SUMPRODUCT((足元帳!$K$2:$K$231=B48)*(足元帳!$BB$2:$BB$231=1)*(足元帳!$AZ$2:$AZ$231&lt;=2))</f>
        <v>0</v>
      </c>
      <c r="E48" s="20">
        <f>SUMPRODUCT((足元帳!$K$2:$K$231=B48)*(足元帳!$BB$2:$BB$231=2))</f>
        <v>0</v>
      </c>
      <c r="F48" s="22">
        <f>SUMPRODUCT((足元帳!$K$2:$K$231=B48)*(足元帳!$BB$2:$BB$231=2)*(足元帳!$AZ$2:$AZ$231&lt;=2))</f>
        <v>0</v>
      </c>
      <c r="G48" s="20">
        <f>SUMPRODUCT((足元帳!$K$2:$K$231=B48)*(足元帳!$BB$2:$BB$231=3))</f>
        <v>0</v>
      </c>
      <c r="H48" s="22">
        <f>SUMPRODUCT((足元帳!$K$2:$K$231=B48)*(足元帳!$BB$2:$BB$231=3)*(足元帳!$AZ$2:$AZ$231&lt;=2))</f>
        <v>0</v>
      </c>
      <c r="I48" s="20">
        <f>SUMPRODUCT((足元帳!$K$2:$K$231=B48)*(足元帳!$BB$2:$BB$231=4))</f>
        <v>0</v>
      </c>
      <c r="J48" s="22">
        <f>SUMPRODUCT((足元帳!$K$2:$K$231=B48)*(足元帳!$BB$2:$BB$231=4)*(足元帳!$AZ$2:$AZ$231&lt;=2))</f>
        <v>0</v>
      </c>
      <c r="K48" s="20">
        <f>SUMPRODUCT((足元帳!$K$2:$K$231=B48)*(足元帳!$BB$2:$BB$231=5))</f>
        <v>0</v>
      </c>
      <c r="L48" s="22">
        <f>SUMPRODUCT((足元帳!$K$2:$K$231=B48)*(足元帳!$BB$2:$BB$231=5)*(足元帳!$AZ$2:$AZ$231&lt;=2))</f>
        <v>0</v>
      </c>
      <c r="M48" s="20">
        <f>SUMPRODUCT((足元帳!$K$2:$K$231=B48)*(足元帳!$BB$2:$BB$231=6))</f>
        <v>0</v>
      </c>
      <c r="N48" s="20">
        <f>SUMPRODUCT((足元帳!$K$2:$K$231=B48)*(足元帳!$BB$2:$BB$231=6)*(足元帳!$AZ$2:$AZ$231&lt;=2))</f>
        <v>0</v>
      </c>
      <c r="O48" s="20"/>
      <c r="P48" s="20">
        <f>SUMPRODUCT((足元帳!$K$2:$K$231=B48)*(足元帳!$AS$2:$AS$231=足元帳!$AS$1)*(足元帳!$BB$2:$BB$231=1)*500)+SUMPRODUCT((足元帳!$K$2:$K$231=B48)*(足元帳!$AS$2:$AS$231=足元帳!$AS$1)*(足元帳!$BB$2:$BB$231=2)*500)+SUMPRODUCT((足元帳!$K$2:$K$231=B48)*(足元帳!$AS$2:$AS$231=足元帳!$AS$1)*(足元帳!$BB$2:$BB$231=3)*500)+SUMPRODUCT((足元帳!$K$2:$K$231=B48)*(足元帳!$AS$2:$AS$231=足元帳!$AS$1)*(足元帳!$BB$2:$BB$231=4)*1000)+SUMPRODUCT((足元帳!$K$2:$K$231=B48)*(足元帳!$AS$2:$AS$231=足元帳!$AS$1)*(足元帳!$BB$2:$BB$231=5)*1000)+SUMPRODUCT((足元帳!$K$2:$K$231=B48)*(足元帳!$AS$2:$AS$231=足元帳!$AS$1)*(足元帳!$BB$2:$BB$231=6)*300)</f>
        <v>0</v>
      </c>
      <c r="Q48" s="20">
        <f>SUMPRODUCT((足元帳!$K$2:$K$231=B48)*(足元帳!$BQ$2:$BV$231=Q$20))</f>
        <v>0</v>
      </c>
      <c r="R48" s="20">
        <f>SUMPRODUCT((足元帳!$K$2:$K$231=B48)*(足元帳!$BQ$2:$BV$231=R$20))</f>
        <v>0</v>
      </c>
      <c r="S48" s="20">
        <f>SUMPRODUCT((足元帳!$K$2:$K$231=B48)*(足元帳!$BQ$2:$BV$231=S$20))</f>
        <v>0</v>
      </c>
      <c r="T48" s="20">
        <f>SUMPRODUCT((足元帳!$K$2:$K$231=B48)*(足元帳!$BQ$2:$BV$231=T$20))</f>
        <v>0</v>
      </c>
      <c r="U48" s="20">
        <f>SUMPRODUCT((足元帳!$K$2:$K$231=B48)*(足元帳!$BK$2:$BK$231=3000)*3000)+SUMPRODUCT((足元帳!$K$2:$K$231=B48)*(足元帳!$BK$2:$BK$231=4000)*4000)+SUMPRODUCT((足元帳!$K$2:$K$231=B48)*(足元帳!$BK$2:$BK$231=5000)*5000)+SUMPRODUCT((足元帳!$K$2:$K$231=B48)*(足元帳!$BK$2:$BK$231=6000)*6000)</f>
        <v>0</v>
      </c>
      <c r="V48" s="20"/>
      <c r="W48" s="256"/>
      <c r="X48" s="131">
        <f t="shared" si="2"/>
        <v>0</v>
      </c>
      <c r="Y48" s="131">
        <f t="shared" si="3"/>
        <v>0</v>
      </c>
      <c r="Z48" s="132">
        <f>C48*C$11+E48*E$11+G48*G$11+I48*I$11+K48*K$11+M48*M$11+X48+Y48
+IF(管理シート!$BQ$4 &lt;&gt; "ON",0,SUMPRODUCT((足元帳!$K$2:$K$231=B48)*(足元帳!$BB$2:$BB$231=4)*(足元帳!$AZ$2:$AZ$231&gt;=3)*(足元帳!$AP$2:$AP$231&lt;&gt;""))*管理シート!$BP$4)+
IF(管理シート!$BQ$5 &lt;&gt; "ON",0,SUMPRODUCT((足元帳!$K$2:$K$231=B48)*(足元帳!$BB$2:$BB$231=5)*(足元帳!$AZ$2:$AZ$231&gt;=3)*(足元帳!$AP$2:$AP$231&lt;&gt;""))*管理シート!$BP$5)</f>
        <v>0</v>
      </c>
      <c r="AA48" s="131">
        <f t="shared" si="4"/>
        <v>0</v>
      </c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4">
        <f t="shared" si="5"/>
        <v>0</v>
      </c>
      <c r="AZ48" s="4"/>
      <c r="BA48" s="5"/>
      <c r="BB48" s="6" t="str">
        <f t="shared" si="6"/>
        <v/>
      </c>
      <c r="BC48" s="59" t="s">
        <v>104</v>
      </c>
      <c r="BD48" s="465">
        <f>AA79</f>
        <v>0</v>
      </c>
      <c r="BE48" s="465"/>
      <c r="BF48" s="465"/>
      <c r="BG48" s="465"/>
      <c r="BH48" s="465"/>
      <c r="BI48" s="465"/>
      <c r="BW48" s="28"/>
      <c r="BX48" s="28"/>
      <c r="BY48" s="28"/>
    </row>
    <row r="49" spans="1:77" ht="33.75" customHeight="1">
      <c r="A49" s="47">
        <v>29</v>
      </c>
      <c r="B49" s="10"/>
      <c r="C49" s="20">
        <f>SUMPRODUCT((足元帳!$K$2:$K$231=B49)*(足元帳!$BB$2:$BB$231=1))</f>
        <v>0</v>
      </c>
      <c r="D49" s="21">
        <f>SUMPRODUCT((足元帳!$K$2:$K$231=B49)*(足元帳!$BB$2:$BB$231=1)*(足元帳!$AZ$2:$AZ$231&lt;=2))</f>
        <v>0</v>
      </c>
      <c r="E49" s="20">
        <f>SUMPRODUCT((足元帳!$K$2:$K$231=B49)*(足元帳!$BB$2:$BB$231=2))</f>
        <v>0</v>
      </c>
      <c r="F49" s="22">
        <f>SUMPRODUCT((足元帳!$K$2:$K$231=B49)*(足元帳!$BB$2:$BB$231=2)*(足元帳!$AZ$2:$AZ$231&lt;=2))</f>
        <v>0</v>
      </c>
      <c r="G49" s="20">
        <f>SUMPRODUCT((足元帳!$K$2:$K$231=B49)*(足元帳!$BB$2:$BB$231=3))</f>
        <v>0</v>
      </c>
      <c r="H49" s="22">
        <f>SUMPRODUCT((足元帳!$K$2:$K$231=B49)*(足元帳!$BB$2:$BB$231=3)*(足元帳!$AZ$2:$AZ$231&lt;=2))</f>
        <v>0</v>
      </c>
      <c r="I49" s="20">
        <f>SUMPRODUCT((足元帳!$K$2:$K$231=B49)*(足元帳!$BB$2:$BB$231=4))</f>
        <v>0</v>
      </c>
      <c r="J49" s="22">
        <f>SUMPRODUCT((足元帳!$K$2:$K$231=B49)*(足元帳!$BB$2:$BB$231=4)*(足元帳!$AZ$2:$AZ$231&lt;=2))</f>
        <v>0</v>
      </c>
      <c r="K49" s="20">
        <f>SUMPRODUCT((足元帳!$K$2:$K$231=B49)*(足元帳!$BB$2:$BB$231=5))</f>
        <v>0</v>
      </c>
      <c r="L49" s="22">
        <f>SUMPRODUCT((足元帳!$K$2:$K$231=B49)*(足元帳!$BB$2:$BB$231=5)*(足元帳!$AZ$2:$AZ$231&lt;=2))</f>
        <v>0</v>
      </c>
      <c r="M49" s="20">
        <f>SUMPRODUCT((足元帳!$K$2:$K$231=B49)*(足元帳!$BB$2:$BB$231=6))</f>
        <v>0</v>
      </c>
      <c r="N49" s="20">
        <f>SUMPRODUCT((足元帳!$K$2:$K$231=B49)*(足元帳!$BB$2:$BB$231=6)*(足元帳!$AZ$2:$AZ$231&lt;=2))</f>
        <v>0</v>
      </c>
      <c r="O49" s="20"/>
      <c r="P49" s="20">
        <f>SUMPRODUCT((足元帳!$K$2:$K$231=B49)*(足元帳!$AS$2:$AS$231=足元帳!$AS$1)*(足元帳!$BB$2:$BB$231=1)*500)+SUMPRODUCT((足元帳!$K$2:$K$231=B49)*(足元帳!$AS$2:$AS$231=足元帳!$AS$1)*(足元帳!$BB$2:$BB$231=2)*500)+SUMPRODUCT((足元帳!$K$2:$K$231=B49)*(足元帳!$AS$2:$AS$231=足元帳!$AS$1)*(足元帳!$BB$2:$BB$231=3)*500)+SUMPRODUCT((足元帳!$K$2:$K$231=B49)*(足元帳!$AS$2:$AS$231=足元帳!$AS$1)*(足元帳!$BB$2:$BB$231=4)*1000)+SUMPRODUCT((足元帳!$K$2:$K$231=B49)*(足元帳!$AS$2:$AS$231=足元帳!$AS$1)*(足元帳!$BB$2:$BB$231=5)*1000)+SUMPRODUCT((足元帳!$K$2:$K$231=B49)*(足元帳!$AS$2:$AS$231=足元帳!$AS$1)*(足元帳!$BB$2:$BB$231=6)*300)</f>
        <v>0</v>
      </c>
      <c r="Q49" s="20">
        <f>SUMPRODUCT((足元帳!$K$2:$K$231=B49)*(足元帳!$BQ$2:$BV$231=Q$20))</f>
        <v>0</v>
      </c>
      <c r="R49" s="20">
        <f>SUMPRODUCT((足元帳!$K$2:$K$231=B49)*(足元帳!$BQ$2:$BV$231=R$20))</f>
        <v>0</v>
      </c>
      <c r="S49" s="20">
        <f>SUMPRODUCT((足元帳!$K$2:$K$231=B49)*(足元帳!$BQ$2:$BV$231=S$20))</f>
        <v>0</v>
      </c>
      <c r="T49" s="20">
        <f>SUMPRODUCT((足元帳!$K$2:$K$231=B49)*(足元帳!$BQ$2:$BV$231=T$20))</f>
        <v>0</v>
      </c>
      <c r="U49" s="20">
        <f>SUMPRODUCT((足元帳!$K$2:$K$231=B49)*(足元帳!$BK$2:$BK$231=3000)*3000)+SUMPRODUCT((足元帳!$K$2:$K$231=B49)*(足元帳!$BK$2:$BK$231=4000)*4000)+SUMPRODUCT((足元帳!$K$2:$K$231=B49)*(足元帳!$BK$2:$BK$231=5000)*5000)+SUMPRODUCT((足元帳!$K$2:$K$231=B49)*(足元帳!$BK$2:$BK$231=6000)*6000)</f>
        <v>0</v>
      </c>
      <c r="V49" s="20"/>
      <c r="W49" s="256"/>
      <c r="X49" s="131">
        <f t="shared" si="2"/>
        <v>0</v>
      </c>
      <c r="Y49" s="131">
        <f t="shared" si="3"/>
        <v>0</v>
      </c>
      <c r="Z49" s="132">
        <f>C49*C$11+E49*E$11+G49*G$11+I49*I$11+K49*K$11+M49*M$11+X49+Y49
+IF(管理シート!$BQ$4 &lt;&gt; "ON",0,SUMPRODUCT((足元帳!$K$2:$K$231=B49)*(足元帳!$BB$2:$BB$231=4)*(足元帳!$AZ$2:$AZ$231&gt;=3)*(足元帳!$AP$2:$AP$231&lt;&gt;""))*管理シート!$BP$4)+
IF(管理シート!$BQ$5 &lt;&gt; "ON",0,SUMPRODUCT((足元帳!$K$2:$K$231=B49)*(足元帳!$BB$2:$BB$231=5)*(足元帳!$AZ$2:$AZ$231&gt;=3)*(足元帳!$AP$2:$AP$231&lt;&gt;""))*管理シート!$BP$5)</f>
        <v>0</v>
      </c>
      <c r="AA49" s="131">
        <f t="shared" si="4"/>
        <v>0</v>
      </c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4">
        <f t="shared" si="5"/>
        <v>0</v>
      </c>
      <c r="AZ49" s="4"/>
      <c r="BA49" s="4"/>
      <c r="BB49" s="6" t="str">
        <f t="shared" si="6"/>
        <v/>
      </c>
      <c r="BC49" s="59" t="s">
        <v>105</v>
      </c>
      <c r="BD49" s="465">
        <f>BD47-BD48</f>
        <v>0</v>
      </c>
      <c r="BE49" s="465"/>
      <c r="BF49" s="465"/>
      <c r="BG49" s="465"/>
      <c r="BH49" s="465"/>
      <c r="BI49" s="465"/>
      <c r="BW49" s="28"/>
      <c r="BX49" s="28"/>
      <c r="BY49" s="28"/>
    </row>
    <row r="50" spans="1:77" ht="33.75" customHeight="1">
      <c r="A50" s="47">
        <v>30</v>
      </c>
      <c r="B50" s="10"/>
      <c r="C50" s="20">
        <f>SUMPRODUCT((足元帳!$K$2:$K$231=B50)*(足元帳!$BB$2:$BB$231=1))</f>
        <v>0</v>
      </c>
      <c r="D50" s="21">
        <f>SUMPRODUCT((足元帳!$K$2:$K$231=B50)*(足元帳!$BB$2:$BB$231=1)*(足元帳!$AZ$2:$AZ$231&lt;=2))</f>
        <v>0</v>
      </c>
      <c r="E50" s="20">
        <f>SUMPRODUCT((足元帳!$K$2:$K$231=B50)*(足元帳!$BB$2:$BB$231=2))</f>
        <v>0</v>
      </c>
      <c r="F50" s="22">
        <f>SUMPRODUCT((足元帳!$K$2:$K$231=B50)*(足元帳!$BB$2:$BB$231=2)*(足元帳!$AZ$2:$AZ$231&lt;=2))</f>
        <v>0</v>
      </c>
      <c r="G50" s="20">
        <f>SUMPRODUCT((足元帳!$K$2:$K$231=B50)*(足元帳!$BB$2:$BB$231=3))</f>
        <v>0</v>
      </c>
      <c r="H50" s="22">
        <f>SUMPRODUCT((足元帳!$K$2:$K$231=B50)*(足元帳!$BB$2:$BB$231=3)*(足元帳!$AZ$2:$AZ$231&lt;=2))</f>
        <v>0</v>
      </c>
      <c r="I50" s="20">
        <f>SUMPRODUCT((足元帳!$K$2:$K$231=B50)*(足元帳!$BB$2:$BB$231=4))</f>
        <v>0</v>
      </c>
      <c r="J50" s="22">
        <f>SUMPRODUCT((足元帳!$K$2:$K$231=B50)*(足元帳!$BB$2:$BB$231=4)*(足元帳!$AZ$2:$AZ$231&lt;=2))</f>
        <v>0</v>
      </c>
      <c r="K50" s="20">
        <f>SUMPRODUCT((足元帳!$K$2:$K$231=B50)*(足元帳!$BB$2:$BB$231=5))</f>
        <v>0</v>
      </c>
      <c r="L50" s="22">
        <f>SUMPRODUCT((足元帳!$K$2:$K$231=B50)*(足元帳!$BB$2:$BB$231=5)*(足元帳!$AZ$2:$AZ$231&lt;=2))</f>
        <v>0</v>
      </c>
      <c r="M50" s="20">
        <f>SUMPRODUCT((足元帳!$K$2:$K$231=B50)*(足元帳!$BB$2:$BB$231=6))</f>
        <v>0</v>
      </c>
      <c r="N50" s="20">
        <f>SUMPRODUCT((足元帳!$K$2:$K$231=B50)*(足元帳!$BB$2:$BB$231=6)*(足元帳!$AZ$2:$AZ$231&lt;=2))</f>
        <v>0</v>
      </c>
      <c r="O50" s="20"/>
      <c r="P50" s="20">
        <f>SUMPRODUCT((足元帳!$K$2:$K$231=B50)*(足元帳!$AS$2:$AS$231=足元帳!$AS$1)*(足元帳!$BB$2:$BB$231=1)*500)+SUMPRODUCT((足元帳!$K$2:$K$231=B50)*(足元帳!$AS$2:$AS$231=足元帳!$AS$1)*(足元帳!$BB$2:$BB$231=2)*500)+SUMPRODUCT((足元帳!$K$2:$K$231=B50)*(足元帳!$AS$2:$AS$231=足元帳!$AS$1)*(足元帳!$BB$2:$BB$231=3)*500)+SUMPRODUCT((足元帳!$K$2:$K$231=B50)*(足元帳!$AS$2:$AS$231=足元帳!$AS$1)*(足元帳!$BB$2:$BB$231=4)*1000)+SUMPRODUCT((足元帳!$K$2:$K$231=B50)*(足元帳!$AS$2:$AS$231=足元帳!$AS$1)*(足元帳!$BB$2:$BB$231=5)*1000)+SUMPRODUCT((足元帳!$K$2:$K$231=B50)*(足元帳!$AS$2:$AS$231=足元帳!$AS$1)*(足元帳!$BB$2:$BB$231=6)*300)</f>
        <v>0</v>
      </c>
      <c r="Q50" s="20">
        <f>SUMPRODUCT((足元帳!$K$2:$K$231=B50)*(足元帳!$BQ$2:$BV$231=Q$20))</f>
        <v>0</v>
      </c>
      <c r="R50" s="20">
        <f>SUMPRODUCT((足元帳!$K$2:$K$231=B50)*(足元帳!$BQ$2:$BV$231=R$20))</f>
        <v>0</v>
      </c>
      <c r="S50" s="20">
        <f>SUMPRODUCT((足元帳!$K$2:$K$231=B50)*(足元帳!$BQ$2:$BV$231=S$20))</f>
        <v>0</v>
      </c>
      <c r="T50" s="20">
        <f>SUMPRODUCT((足元帳!$K$2:$K$231=B50)*(足元帳!$BQ$2:$BV$231=T$20))</f>
        <v>0</v>
      </c>
      <c r="U50" s="20">
        <f>SUMPRODUCT((足元帳!$K$2:$K$231=B50)*(足元帳!$BK$2:$BK$231=3000)*3000)+SUMPRODUCT((足元帳!$K$2:$K$231=B50)*(足元帳!$BK$2:$BK$231=4000)*4000)+SUMPRODUCT((足元帳!$K$2:$K$231=B50)*(足元帳!$BK$2:$BK$231=5000)*5000)+SUMPRODUCT((足元帳!$K$2:$K$231=B50)*(足元帳!$BK$2:$BK$231=6000)*6000)</f>
        <v>0</v>
      </c>
      <c r="V50" s="20"/>
      <c r="W50" s="256"/>
      <c r="X50" s="131">
        <f t="shared" si="2"/>
        <v>0</v>
      </c>
      <c r="Y50" s="131">
        <f t="shared" si="3"/>
        <v>0</v>
      </c>
      <c r="Z50" s="132">
        <f>C50*C$11+E50*E$11+G50*G$11+I50*I$11+K50*K$11+M50*M$11+X50+Y50
+IF(管理シート!$BQ$4 &lt;&gt; "ON",0,SUMPRODUCT((足元帳!$K$2:$K$231=B50)*(足元帳!$BB$2:$BB$231=4)*(足元帳!$AZ$2:$AZ$231&gt;=3)*(足元帳!$AP$2:$AP$231&lt;&gt;""))*管理シート!$BP$4)+
IF(管理シート!$BQ$5 &lt;&gt; "ON",0,SUMPRODUCT((足元帳!$K$2:$K$231=B50)*(足元帳!$BB$2:$BB$231=5)*(足元帳!$AZ$2:$AZ$231&gt;=3)*(足元帳!$AP$2:$AP$231&lt;&gt;""))*管理シート!$BP$5)</f>
        <v>0</v>
      </c>
      <c r="AA50" s="131">
        <f t="shared" si="4"/>
        <v>0</v>
      </c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4">
        <f t="shared" si="5"/>
        <v>0</v>
      </c>
      <c r="AZ50" s="4"/>
      <c r="BA50" s="5"/>
      <c r="BB50" s="6" t="str">
        <f t="shared" si="6"/>
        <v/>
      </c>
      <c r="BC50" s="62" t="s">
        <v>106</v>
      </c>
      <c r="BD50" s="497">
        <f>SUM(BJ59:BK65)</f>
        <v>0</v>
      </c>
      <c r="BE50" s="497"/>
      <c r="BF50" s="497"/>
      <c r="BG50" s="497"/>
      <c r="BH50" s="497"/>
      <c r="BI50" s="497"/>
      <c r="BW50" s="28"/>
      <c r="BX50" s="28"/>
      <c r="BY50" s="28"/>
    </row>
    <row r="51" spans="1:77" ht="33.75" customHeight="1">
      <c r="A51" s="47">
        <v>31</v>
      </c>
      <c r="B51" s="10"/>
      <c r="C51" s="20">
        <f>SUMPRODUCT((足元帳!$K$2:$K$231=B51)*(足元帳!$BB$2:$BB$231=1))</f>
        <v>0</v>
      </c>
      <c r="D51" s="21">
        <f>SUMPRODUCT((足元帳!$K$2:$K$231=B51)*(足元帳!$BB$2:$BB$231=1)*(足元帳!$AZ$2:$AZ$231&lt;=2))</f>
        <v>0</v>
      </c>
      <c r="E51" s="20">
        <f>SUMPRODUCT((足元帳!$K$2:$K$231=B51)*(足元帳!$BB$2:$BB$231=2))</f>
        <v>0</v>
      </c>
      <c r="F51" s="22">
        <f>SUMPRODUCT((足元帳!$K$2:$K$231=B51)*(足元帳!$BB$2:$BB$231=2)*(足元帳!$AZ$2:$AZ$231&lt;=2))</f>
        <v>0</v>
      </c>
      <c r="G51" s="20">
        <f>SUMPRODUCT((足元帳!$K$2:$K$231=B51)*(足元帳!$BB$2:$BB$231=3))</f>
        <v>0</v>
      </c>
      <c r="H51" s="22">
        <f>SUMPRODUCT((足元帳!$K$2:$K$231=B51)*(足元帳!$BB$2:$BB$231=3)*(足元帳!$AZ$2:$AZ$231&lt;=2))</f>
        <v>0</v>
      </c>
      <c r="I51" s="20">
        <f>SUMPRODUCT((足元帳!$K$2:$K$231=B51)*(足元帳!$BB$2:$BB$231=4))</f>
        <v>0</v>
      </c>
      <c r="J51" s="22">
        <f>SUMPRODUCT((足元帳!$K$2:$K$231=B51)*(足元帳!$BB$2:$BB$231=4)*(足元帳!$AZ$2:$AZ$231&lt;=2))</f>
        <v>0</v>
      </c>
      <c r="K51" s="20">
        <f>SUMPRODUCT((足元帳!$K$2:$K$231=B51)*(足元帳!$BB$2:$BB$231=5))</f>
        <v>0</v>
      </c>
      <c r="L51" s="22">
        <f>SUMPRODUCT((足元帳!$K$2:$K$231=B51)*(足元帳!$BB$2:$BB$231=5)*(足元帳!$AZ$2:$AZ$231&lt;=2))</f>
        <v>0</v>
      </c>
      <c r="M51" s="20">
        <f>SUMPRODUCT((足元帳!$K$2:$K$231=B51)*(足元帳!$BB$2:$BB$231=6))</f>
        <v>0</v>
      </c>
      <c r="N51" s="20">
        <f>SUMPRODUCT((足元帳!$K$2:$K$231=B51)*(足元帳!$BB$2:$BB$231=6)*(足元帳!$AZ$2:$AZ$231&lt;=2))</f>
        <v>0</v>
      </c>
      <c r="O51" s="20"/>
      <c r="P51" s="20">
        <f>SUMPRODUCT((足元帳!$K$2:$K$231=B51)*(足元帳!$AS$2:$AS$231=足元帳!$AS$1)*(足元帳!$BB$2:$BB$231=1)*500)+SUMPRODUCT((足元帳!$K$2:$K$231=B51)*(足元帳!$AS$2:$AS$231=足元帳!$AS$1)*(足元帳!$BB$2:$BB$231=2)*500)+SUMPRODUCT((足元帳!$K$2:$K$231=B51)*(足元帳!$AS$2:$AS$231=足元帳!$AS$1)*(足元帳!$BB$2:$BB$231=3)*500)+SUMPRODUCT((足元帳!$K$2:$K$231=B51)*(足元帳!$AS$2:$AS$231=足元帳!$AS$1)*(足元帳!$BB$2:$BB$231=4)*1000)+SUMPRODUCT((足元帳!$K$2:$K$231=B51)*(足元帳!$AS$2:$AS$231=足元帳!$AS$1)*(足元帳!$BB$2:$BB$231=5)*1000)+SUMPRODUCT((足元帳!$K$2:$K$231=B51)*(足元帳!$AS$2:$AS$231=足元帳!$AS$1)*(足元帳!$BB$2:$BB$231=6)*300)</f>
        <v>0</v>
      </c>
      <c r="Q51" s="20">
        <f>SUMPRODUCT((足元帳!$K$2:$K$231=B51)*(足元帳!$BQ$2:$BV$231=Q$20))</f>
        <v>0</v>
      </c>
      <c r="R51" s="20">
        <f>SUMPRODUCT((足元帳!$K$2:$K$231=B51)*(足元帳!$BQ$2:$BV$231=R$20))</f>
        <v>0</v>
      </c>
      <c r="S51" s="20">
        <f>SUMPRODUCT((足元帳!$K$2:$K$231=B51)*(足元帳!$BQ$2:$BV$231=S$20))</f>
        <v>0</v>
      </c>
      <c r="T51" s="20">
        <f>SUMPRODUCT((足元帳!$K$2:$K$231=B51)*(足元帳!$BQ$2:$BV$231=T$20))</f>
        <v>0</v>
      </c>
      <c r="U51" s="20">
        <f>SUMPRODUCT((足元帳!$K$2:$K$231=B51)*(足元帳!$BK$2:$BK$231=3000)*3000)+SUMPRODUCT((足元帳!$K$2:$K$231=B51)*(足元帳!$BK$2:$BK$231=4000)*4000)+SUMPRODUCT((足元帳!$K$2:$K$231=B51)*(足元帳!$BK$2:$BK$231=5000)*5000)+SUMPRODUCT((足元帳!$K$2:$K$231=B51)*(足元帳!$BK$2:$BK$231=6000)*6000)</f>
        <v>0</v>
      </c>
      <c r="V51" s="20"/>
      <c r="W51" s="256"/>
      <c r="X51" s="131">
        <f t="shared" si="2"/>
        <v>0</v>
      </c>
      <c r="Y51" s="131">
        <f t="shared" si="3"/>
        <v>0</v>
      </c>
      <c r="Z51" s="132">
        <f>C51*C$11+E51*E$11+G51*G$11+I51*I$11+K51*K$11+M51*M$11+X51+Y51
+IF(管理シート!$BQ$4 &lt;&gt; "ON",0,SUMPRODUCT((足元帳!$K$2:$K$231=B51)*(足元帳!$BB$2:$BB$231=4)*(足元帳!$AZ$2:$AZ$231&gt;=3)*(足元帳!$AP$2:$AP$231&lt;&gt;""))*管理シート!$BP$4)+
IF(管理シート!$BQ$5 &lt;&gt; "ON",0,SUMPRODUCT((足元帳!$K$2:$K$231=B51)*(足元帳!$BB$2:$BB$231=5)*(足元帳!$AZ$2:$AZ$231&gt;=3)*(足元帳!$AP$2:$AP$231&lt;&gt;""))*管理シート!$BP$5)</f>
        <v>0</v>
      </c>
      <c r="AA51" s="131">
        <f t="shared" si="4"/>
        <v>0</v>
      </c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4">
        <f t="shared" si="5"/>
        <v>0</v>
      </c>
      <c r="AZ51" s="4"/>
      <c r="BA51" s="4"/>
      <c r="BB51" s="6" t="str">
        <f t="shared" si="6"/>
        <v/>
      </c>
      <c r="BC51" s="59" t="s">
        <v>107</v>
      </c>
      <c r="BD51" s="465">
        <f>BD46-BB80-BD50</f>
        <v>0</v>
      </c>
      <c r="BE51" s="465"/>
      <c r="BF51" s="465"/>
      <c r="BG51" s="465"/>
      <c r="BH51" s="465"/>
      <c r="BI51" s="465"/>
      <c r="BW51" s="28"/>
      <c r="BX51" s="28"/>
      <c r="BY51" s="28"/>
    </row>
    <row r="52" spans="1:77" ht="33.75" customHeight="1">
      <c r="A52" s="47">
        <v>32</v>
      </c>
      <c r="B52" s="10"/>
      <c r="C52" s="20">
        <f>SUMPRODUCT((足元帳!$K$2:$K$231=B52)*(足元帳!$BB$2:$BB$231=1))</f>
        <v>0</v>
      </c>
      <c r="D52" s="21">
        <f>SUMPRODUCT((足元帳!$K$2:$K$231=B52)*(足元帳!$BB$2:$BB$231=1)*(足元帳!$AZ$2:$AZ$231&lt;=2))</f>
        <v>0</v>
      </c>
      <c r="E52" s="20">
        <f>SUMPRODUCT((足元帳!$K$2:$K$231=B52)*(足元帳!$BB$2:$BB$231=2))</f>
        <v>0</v>
      </c>
      <c r="F52" s="22">
        <f>SUMPRODUCT((足元帳!$K$2:$K$231=B52)*(足元帳!$BB$2:$BB$231=2)*(足元帳!$AZ$2:$AZ$231&lt;=2))</f>
        <v>0</v>
      </c>
      <c r="G52" s="20">
        <f>SUMPRODUCT((足元帳!$K$2:$K$231=B52)*(足元帳!$BB$2:$BB$231=3))</f>
        <v>0</v>
      </c>
      <c r="H52" s="22">
        <f>SUMPRODUCT((足元帳!$K$2:$K$231=B52)*(足元帳!$BB$2:$BB$231=3)*(足元帳!$AZ$2:$AZ$231&lt;=2))</f>
        <v>0</v>
      </c>
      <c r="I52" s="20">
        <f>SUMPRODUCT((足元帳!$K$2:$K$231=B52)*(足元帳!$BB$2:$BB$231=4))</f>
        <v>0</v>
      </c>
      <c r="J52" s="22">
        <f>SUMPRODUCT((足元帳!$K$2:$K$231=B52)*(足元帳!$BB$2:$BB$231=4)*(足元帳!$AZ$2:$AZ$231&lt;=2))</f>
        <v>0</v>
      </c>
      <c r="K52" s="20">
        <f>SUMPRODUCT((足元帳!$K$2:$K$231=B52)*(足元帳!$BB$2:$BB$231=5))</f>
        <v>0</v>
      </c>
      <c r="L52" s="22">
        <f>SUMPRODUCT((足元帳!$K$2:$K$231=B52)*(足元帳!$BB$2:$BB$231=5)*(足元帳!$AZ$2:$AZ$231&lt;=2))</f>
        <v>0</v>
      </c>
      <c r="M52" s="20">
        <f>SUMPRODUCT((足元帳!$K$2:$K$231=B52)*(足元帳!$BB$2:$BB$231=6))</f>
        <v>0</v>
      </c>
      <c r="N52" s="20">
        <f>SUMPRODUCT((足元帳!$K$2:$K$231=B52)*(足元帳!$BB$2:$BB$231=6)*(足元帳!$AZ$2:$AZ$231&lt;=2))</f>
        <v>0</v>
      </c>
      <c r="O52" s="20"/>
      <c r="P52" s="20">
        <f>SUMPRODUCT((足元帳!$K$2:$K$231=B52)*(足元帳!$AS$2:$AS$231=足元帳!$AS$1)*(足元帳!$BB$2:$BB$231=1)*500)+SUMPRODUCT((足元帳!$K$2:$K$231=B52)*(足元帳!$AS$2:$AS$231=足元帳!$AS$1)*(足元帳!$BB$2:$BB$231=2)*500)+SUMPRODUCT((足元帳!$K$2:$K$231=B52)*(足元帳!$AS$2:$AS$231=足元帳!$AS$1)*(足元帳!$BB$2:$BB$231=3)*500)+SUMPRODUCT((足元帳!$K$2:$K$231=B52)*(足元帳!$AS$2:$AS$231=足元帳!$AS$1)*(足元帳!$BB$2:$BB$231=4)*1000)+SUMPRODUCT((足元帳!$K$2:$K$231=B52)*(足元帳!$AS$2:$AS$231=足元帳!$AS$1)*(足元帳!$BB$2:$BB$231=5)*1000)+SUMPRODUCT((足元帳!$K$2:$K$231=B52)*(足元帳!$AS$2:$AS$231=足元帳!$AS$1)*(足元帳!$BB$2:$BB$231=6)*300)</f>
        <v>0</v>
      </c>
      <c r="Q52" s="20">
        <f>SUMPRODUCT((足元帳!$K$2:$K$231=B52)*(足元帳!$BQ$2:$BV$231=Q$20))</f>
        <v>0</v>
      </c>
      <c r="R52" s="20">
        <f>SUMPRODUCT((足元帳!$K$2:$K$231=B52)*(足元帳!$BQ$2:$BV$231=R$20))</f>
        <v>0</v>
      </c>
      <c r="S52" s="20">
        <f>SUMPRODUCT((足元帳!$K$2:$K$231=B52)*(足元帳!$BQ$2:$BV$231=S$20))</f>
        <v>0</v>
      </c>
      <c r="T52" s="20">
        <f>SUMPRODUCT((足元帳!$K$2:$K$231=B52)*(足元帳!$BQ$2:$BV$231=T$20))</f>
        <v>0</v>
      </c>
      <c r="U52" s="20">
        <f>SUMPRODUCT((足元帳!$K$2:$K$231=B52)*(足元帳!$BK$2:$BK$231=3000)*3000)+SUMPRODUCT((足元帳!$K$2:$K$231=B52)*(足元帳!$BK$2:$BK$231=4000)*4000)+SUMPRODUCT((足元帳!$K$2:$K$231=B52)*(足元帳!$BK$2:$BK$231=5000)*5000)+SUMPRODUCT((足元帳!$K$2:$K$231=B52)*(足元帳!$BK$2:$BK$231=6000)*6000)</f>
        <v>0</v>
      </c>
      <c r="V52" s="20"/>
      <c r="W52" s="256"/>
      <c r="X52" s="131">
        <f t="shared" si="2"/>
        <v>0</v>
      </c>
      <c r="Y52" s="131">
        <f t="shared" si="3"/>
        <v>0</v>
      </c>
      <c r="Z52" s="132">
        <f>C52*C$11+E52*E$11+G52*G$11+I52*I$11+K52*K$11+M52*M$11+X52+Y52
+IF(管理シート!$BQ$4 &lt;&gt; "ON",0,SUMPRODUCT((足元帳!$K$2:$K$231=B52)*(足元帳!$BB$2:$BB$231=4)*(足元帳!$AZ$2:$AZ$231&gt;=3)*(足元帳!$AP$2:$AP$231&lt;&gt;""))*管理シート!$BP$4)+
IF(管理シート!$BQ$5 &lt;&gt; "ON",0,SUMPRODUCT((足元帳!$K$2:$K$231=B52)*(足元帳!$BB$2:$BB$231=5)*(足元帳!$AZ$2:$AZ$231&gt;=3)*(足元帳!$AP$2:$AP$231&lt;&gt;""))*管理シート!$BP$5)</f>
        <v>0</v>
      </c>
      <c r="AA52" s="131">
        <f t="shared" si="4"/>
        <v>0</v>
      </c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4">
        <f t="shared" si="5"/>
        <v>0</v>
      </c>
      <c r="AZ52" s="4"/>
      <c r="BA52" s="4"/>
      <c r="BB52" s="6" t="str">
        <f t="shared" si="6"/>
        <v/>
      </c>
      <c r="BC52" s="59" t="s">
        <v>108</v>
      </c>
      <c r="BD52" s="498">
        <f>BD51-(C9-BB80-BD50)+BJ73-BE75</f>
        <v>200000</v>
      </c>
      <c r="BE52" s="499"/>
      <c r="BF52" s="499"/>
      <c r="BG52" s="499"/>
      <c r="BH52" s="499"/>
      <c r="BI52" s="500"/>
      <c r="BW52" s="28"/>
      <c r="BX52" s="28"/>
      <c r="BY52" s="28"/>
    </row>
    <row r="53" spans="1:77" ht="33.75" customHeight="1">
      <c r="A53" s="47">
        <v>33</v>
      </c>
      <c r="B53" s="10"/>
      <c r="C53" s="20">
        <f>SUMPRODUCT((足元帳!$K$2:$K$231=B53)*(足元帳!$BB$2:$BB$231=1))</f>
        <v>0</v>
      </c>
      <c r="D53" s="21">
        <f>SUMPRODUCT((足元帳!$K$2:$K$231=B53)*(足元帳!$BB$2:$BB$231=1)*(足元帳!$AZ$2:$AZ$231&lt;=2))</f>
        <v>0</v>
      </c>
      <c r="E53" s="20">
        <f>SUMPRODUCT((足元帳!$K$2:$K$231=B53)*(足元帳!$BB$2:$BB$231=2))</f>
        <v>0</v>
      </c>
      <c r="F53" s="22">
        <f>SUMPRODUCT((足元帳!$K$2:$K$231=B53)*(足元帳!$BB$2:$BB$231=2)*(足元帳!$AZ$2:$AZ$231&lt;=2))</f>
        <v>0</v>
      </c>
      <c r="G53" s="20">
        <f>SUMPRODUCT((足元帳!$K$2:$K$231=B53)*(足元帳!$BB$2:$BB$231=3))</f>
        <v>0</v>
      </c>
      <c r="H53" s="22">
        <f>SUMPRODUCT((足元帳!$K$2:$K$231=B53)*(足元帳!$BB$2:$BB$231=3)*(足元帳!$AZ$2:$AZ$231&lt;=2))</f>
        <v>0</v>
      </c>
      <c r="I53" s="20">
        <f>SUMPRODUCT((足元帳!$K$2:$K$231=B53)*(足元帳!$BB$2:$BB$231=4))</f>
        <v>0</v>
      </c>
      <c r="J53" s="22">
        <f>SUMPRODUCT((足元帳!$K$2:$K$231=B53)*(足元帳!$BB$2:$BB$231=4)*(足元帳!$AZ$2:$AZ$231&lt;=2))</f>
        <v>0</v>
      </c>
      <c r="K53" s="20">
        <f>SUMPRODUCT((足元帳!$K$2:$K$231=B53)*(足元帳!$BB$2:$BB$231=5))</f>
        <v>0</v>
      </c>
      <c r="L53" s="22">
        <f>SUMPRODUCT((足元帳!$K$2:$K$231=B53)*(足元帳!$BB$2:$BB$231=5)*(足元帳!$AZ$2:$AZ$231&lt;=2))</f>
        <v>0</v>
      </c>
      <c r="M53" s="20">
        <f>SUMPRODUCT((足元帳!$K$2:$K$231=B53)*(足元帳!$BB$2:$BB$231=6))</f>
        <v>0</v>
      </c>
      <c r="N53" s="20">
        <f>SUMPRODUCT((足元帳!$K$2:$K$231=B53)*(足元帳!$BB$2:$BB$231=6)*(足元帳!$AZ$2:$AZ$231&lt;=2))</f>
        <v>0</v>
      </c>
      <c r="O53" s="20"/>
      <c r="P53" s="20">
        <f>SUMPRODUCT((足元帳!$K$2:$K$231=B53)*(足元帳!$AS$2:$AS$231=足元帳!$AS$1)*(足元帳!$BB$2:$BB$231=1)*500)+SUMPRODUCT((足元帳!$K$2:$K$231=B53)*(足元帳!$AS$2:$AS$231=足元帳!$AS$1)*(足元帳!$BB$2:$BB$231=2)*500)+SUMPRODUCT((足元帳!$K$2:$K$231=B53)*(足元帳!$AS$2:$AS$231=足元帳!$AS$1)*(足元帳!$BB$2:$BB$231=3)*500)+SUMPRODUCT((足元帳!$K$2:$K$231=B53)*(足元帳!$AS$2:$AS$231=足元帳!$AS$1)*(足元帳!$BB$2:$BB$231=4)*1000)+SUMPRODUCT((足元帳!$K$2:$K$231=B53)*(足元帳!$AS$2:$AS$231=足元帳!$AS$1)*(足元帳!$BB$2:$BB$231=5)*1000)+SUMPRODUCT((足元帳!$K$2:$K$231=B53)*(足元帳!$AS$2:$AS$231=足元帳!$AS$1)*(足元帳!$BB$2:$BB$231=6)*300)</f>
        <v>0</v>
      </c>
      <c r="Q53" s="20">
        <f>SUMPRODUCT((足元帳!$K$2:$K$231=B53)*(足元帳!$BQ$2:$BV$231=Q$20))</f>
        <v>0</v>
      </c>
      <c r="R53" s="20">
        <f>SUMPRODUCT((足元帳!$K$2:$K$231=B53)*(足元帳!$BQ$2:$BV$231=R$20))</f>
        <v>0</v>
      </c>
      <c r="S53" s="20">
        <f>SUMPRODUCT((足元帳!$K$2:$K$231=B53)*(足元帳!$BQ$2:$BV$231=S$20))</f>
        <v>0</v>
      </c>
      <c r="T53" s="20">
        <f>SUMPRODUCT((足元帳!$K$2:$K$231=B53)*(足元帳!$BQ$2:$BV$231=T$20))</f>
        <v>0</v>
      </c>
      <c r="U53" s="20">
        <f>SUMPRODUCT((足元帳!$K$2:$K$231=B53)*(足元帳!$BK$2:$BK$231=3000)*3000)+SUMPRODUCT((足元帳!$K$2:$K$231=B53)*(足元帳!$BK$2:$BK$231=4000)*4000)+SUMPRODUCT((足元帳!$K$2:$K$231=B53)*(足元帳!$BK$2:$BK$231=5000)*5000)+SUMPRODUCT((足元帳!$K$2:$K$231=B53)*(足元帳!$BK$2:$BK$231=6000)*6000)</f>
        <v>0</v>
      </c>
      <c r="V53" s="20"/>
      <c r="W53" s="256"/>
      <c r="X53" s="131">
        <f t="shared" si="2"/>
        <v>0</v>
      </c>
      <c r="Y53" s="131">
        <f t="shared" si="3"/>
        <v>0</v>
      </c>
      <c r="Z53" s="132">
        <f>C53*C$11+E53*E$11+G53*G$11+I53*I$11+K53*K$11+M53*M$11+X53+Y53
+IF(管理シート!$BQ$4 &lt;&gt; "ON",0,SUMPRODUCT((足元帳!$K$2:$K$231=B53)*(足元帳!$BB$2:$BB$231=4)*(足元帳!$AZ$2:$AZ$231&gt;=3)*(足元帳!$AP$2:$AP$231&lt;&gt;""))*管理シート!$BP$4)+
IF(管理シート!$BQ$5 &lt;&gt; "ON",0,SUMPRODUCT((足元帳!$K$2:$K$231=B53)*(足元帳!$BB$2:$BB$231=5)*(足元帳!$AZ$2:$AZ$231&gt;=3)*(足元帳!$AP$2:$AP$231&lt;&gt;""))*管理シート!$BP$5)</f>
        <v>0</v>
      </c>
      <c r="AA53" s="131">
        <f t="shared" si="4"/>
        <v>0</v>
      </c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4">
        <f t="shared" si="5"/>
        <v>0</v>
      </c>
      <c r="AZ53" s="4"/>
      <c r="BA53" s="5"/>
      <c r="BB53" s="6" t="str">
        <f t="shared" si="6"/>
        <v/>
      </c>
      <c r="BC53" s="59" t="s">
        <v>109</v>
      </c>
      <c r="BD53" s="465">
        <f>C9</f>
        <v>0</v>
      </c>
      <c r="BE53" s="465"/>
      <c r="BF53" s="465"/>
      <c r="BG53" s="465"/>
      <c r="BH53" s="465"/>
      <c r="BI53" s="465"/>
      <c r="BW53" s="28"/>
      <c r="BX53" s="28"/>
      <c r="BY53" s="28"/>
    </row>
    <row r="54" spans="1:77" ht="33.75" customHeight="1">
      <c r="A54" s="47">
        <v>34</v>
      </c>
      <c r="B54" s="10"/>
      <c r="C54" s="20">
        <f>SUMPRODUCT((足元帳!$K$2:$K$231=B54)*(足元帳!$BB$2:$BB$231=1))</f>
        <v>0</v>
      </c>
      <c r="D54" s="21">
        <f>SUMPRODUCT((足元帳!$K$2:$K$231=B54)*(足元帳!$BB$2:$BB$231=1)*(足元帳!$AZ$2:$AZ$231&lt;=2))</f>
        <v>0</v>
      </c>
      <c r="E54" s="20">
        <f>SUMPRODUCT((足元帳!$K$2:$K$231=B54)*(足元帳!$BB$2:$BB$231=2))</f>
        <v>0</v>
      </c>
      <c r="F54" s="22">
        <f>SUMPRODUCT((足元帳!$K$2:$K$231=B54)*(足元帳!$BB$2:$BB$231=2)*(足元帳!$AZ$2:$AZ$231&lt;=2))</f>
        <v>0</v>
      </c>
      <c r="G54" s="20">
        <f>SUMPRODUCT((足元帳!$K$2:$K$231=B54)*(足元帳!$BB$2:$BB$231=3))</f>
        <v>0</v>
      </c>
      <c r="H54" s="22">
        <f>SUMPRODUCT((足元帳!$K$2:$K$231=B54)*(足元帳!$BB$2:$BB$231=3)*(足元帳!$AZ$2:$AZ$231&lt;=2))</f>
        <v>0</v>
      </c>
      <c r="I54" s="20">
        <f>SUMPRODUCT((足元帳!$K$2:$K$231=B54)*(足元帳!$BB$2:$BB$231=4))</f>
        <v>0</v>
      </c>
      <c r="J54" s="22">
        <f>SUMPRODUCT((足元帳!$K$2:$K$231=B54)*(足元帳!$BB$2:$BB$231=4)*(足元帳!$AZ$2:$AZ$231&lt;=2))</f>
        <v>0</v>
      </c>
      <c r="K54" s="20">
        <f>SUMPRODUCT((足元帳!$K$2:$K$231=B54)*(足元帳!$BB$2:$BB$231=5))</f>
        <v>0</v>
      </c>
      <c r="L54" s="22">
        <f>SUMPRODUCT((足元帳!$K$2:$K$231=B54)*(足元帳!$BB$2:$BB$231=5)*(足元帳!$AZ$2:$AZ$231&lt;=2))</f>
        <v>0</v>
      </c>
      <c r="M54" s="20">
        <f>SUMPRODUCT((足元帳!$K$2:$K$231=B54)*(足元帳!$BB$2:$BB$231=6))</f>
        <v>0</v>
      </c>
      <c r="N54" s="20">
        <f>SUMPRODUCT((足元帳!$K$2:$K$231=B54)*(足元帳!$BB$2:$BB$231=6)*(足元帳!$AZ$2:$AZ$231&lt;=2))</f>
        <v>0</v>
      </c>
      <c r="O54" s="20"/>
      <c r="P54" s="20">
        <f>SUMPRODUCT((足元帳!$K$2:$K$231=B54)*(足元帳!$AS$2:$AS$231=足元帳!$AS$1)*(足元帳!$BB$2:$BB$231=1)*500)+SUMPRODUCT((足元帳!$K$2:$K$231=B54)*(足元帳!$AS$2:$AS$231=足元帳!$AS$1)*(足元帳!$BB$2:$BB$231=2)*500)+SUMPRODUCT((足元帳!$K$2:$K$231=B54)*(足元帳!$AS$2:$AS$231=足元帳!$AS$1)*(足元帳!$BB$2:$BB$231=3)*500)+SUMPRODUCT((足元帳!$K$2:$K$231=B54)*(足元帳!$AS$2:$AS$231=足元帳!$AS$1)*(足元帳!$BB$2:$BB$231=4)*1000)+SUMPRODUCT((足元帳!$K$2:$K$231=B54)*(足元帳!$AS$2:$AS$231=足元帳!$AS$1)*(足元帳!$BB$2:$BB$231=5)*1000)+SUMPRODUCT((足元帳!$K$2:$K$231=B54)*(足元帳!$AS$2:$AS$231=足元帳!$AS$1)*(足元帳!$BB$2:$BB$231=6)*300)</f>
        <v>0</v>
      </c>
      <c r="Q54" s="20">
        <f>SUMPRODUCT((足元帳!$K$2:$K$231=B54)*(足元帳!$BQ$2:$BV$231=Q$20))</f>
        <v>0</v>
      </c>
      <c r="R54" s="20">
        <f>SUMPRODUCT((足元帳!$K$2:$K$231=B54)*(足元帳!$BQ$2:$BV$231=R$20))</f>
        <v>0</v>
      </c>
      <c r="S54" s="20">
        <f>SUMPRODUCT((足元帳!$K$2:$K$231=B54)*(足元帳!$BQ$2:$BV$231=S$20))</f>
        <v>0</v>
      </c>
      <c r="T54" s="20">
        <f>SUMPRODUCT((足元帳!$K$2:$K$231=B54)*(足元帳!$BQ$2:$BV$231=T$20))</f>
        <v>0</v>
      </c>
      <c r="U54" s="20">
        <f>SUMPRODUCT((足元帳!$K$2:$K$231=B54)*(足元帳!$BK$2:$BK$231=3000)*3000)+SUMPRODUCT((足元帳!$K$2:$K$231=B54)*(足元帳!$BK$2:$BK$231=4000)*4000)+SUMPRODUCT((足元帳!$K$2:$K$231=B54)*(足元帳!$BK$2:$BK$231=5000)*5000)+SUMPRODUCT((足元帳!$K$2:$K$231=B54)*(足元帳!$BK$2:$BK$231=6000)*6000)</f>
        <v>0</v>
      </c>
      <c r="V54" s="20"/>
      <c r="W54" s="256"/>
      <c r="X54" s="131">
        <f t="shared" si="2"/>
        <v>0</v>
      </c>
      <c r="Y54" s="131">
        <f t="shared" si="3"/>
        <v>0</v>
      </c>
      <c r="Z54" s="132">
        <f>C54*C$11+E54*E$11+G54*G$11+I54*I$11+K54*K$11+M54*M$11+X54+Y54
+IF(管理シート!$BQ$4 &lt;&gt; "ON",0,SUMPRODUCT((足元帳!$K$2:$K$231=B54)*(足元帳!$BB$2:$BB$231=4)*(足元帳!$AZ$2:$AZ$231&gt;=3)*(足元帳!$AP$2:$AP$231&lt;&gt;""))*管理シート!$BP$4)+
IF(管理シート!$BQ$5 &lt;&gt; "ON",0,SUMPRODUCT((足元帳!$K$2:$K$231=B54)*(足元帳!$BB$2:$BB$231=5)*(足元帳!$AZ$2:$AZ$231&gt;=3)*(足元帳!$AP$2:$AP$231&lt;&gt;""))*管理シート!$BP$5)</f>
        <v>0</v>
      </c>
      <c r="AA54" s="131">
        <f t="shared" si="4"/>
        <v>0</v>
      </c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4">
        <f t="shared" si="5"/>
        <v>0</v>
      </c>
      <c r="AZ54" s="4"/>
      <c r="BA54" s="5"/>
      <c r="BB54" s="6" t="str">
        <f t="shared" si="6"/>
        <v/>
      </c>
      <c r="BC54" s="59" t="s">
        <v>110</v>
      </c>
      <c r="BD54" s="465">
        <f>BD53-BB80-BD50</f>
        <v>0</v>
      </c>
      <c r="BE54" s="465"/>
      <c r="BF54" s="465"/>
      <c r="BG54" s="465"/>
      <c r="BH54" s="465"/>
      <c r="BI54" s="465"/>
      <c r="BW54" s="28"/>
      <c r="BX54" s="28"/>
      <c r="BY54" s="28"/>
    </row>
    <row r="55" spans="1:77" ht="33.75" customHeight="1">
      <c r="A55" s="47">
        <v>35</v>
      </c>
      <c r="B55" s="10"/>
      <c r="C55" s="20">
        <f>SUMPRODUCT((足元帳!$K$2:$K$231=B55)*(足元帳!$BB$2:$BB$231=1))</f>
        <v>0</v>
      </c>
      <c r="D55" s="21">
        <f>SUMPRODUCT((足元帳!$K$2:$K$231=B55)*(足元帳!$BB$2:$BB$231=1)*(足元帳!$AZ$2:$AZ$231&lt;=2))</f>
        <v>0</v>
      </c>
      <c r="E55" s="20">
        <f>SUMPRODUCT((足元帳!$K$2:$K$231=B55)*(足元帳!$BB$2:$BB$231=2))</f>
        <v>0</v>
      </c>
      <c r="F55" s="22">
        <f>SUMPRODUCT((足元帳!$K$2:$K$231=B55)*(足元帳!$BB$2:$BB$231=2)*(足元帳!$AZ$2:$AZ$231&lt;=2))</f>
        <v>0</v>
      </c>
      <c r="G55" s="20">
        <f>SUMPRODUCT((足元帳!$K$2:$K$231=B55)*(足元帳!$BB$2:$BB$231=3))</f>
        <v>0</v>
      </c>
      <c r="H55" s="22">
        <f>SUMPRODUCT((足元帳!$K$2:$K$231=B55)*(足元帳!$BB$2:$BB$231=3)*(足元帳!$AZ$2:$AZ$231&lt;=2))</f>
        <v>0</v>
      </c>
      <c r="I55" s="20">
        <f>SUMPRODUCT((足元帳!$K$2:$K$231=B55)*(足元帳!$BB$2:$BB$231=4))</f>
        <v>0</v>
      </c>
      <c r="J55" s="22">
        <f>SUMPRODUCT((足元帳!$K$2:$K$231=B55)*(足元帳!$BB$2:$BB$231=4)*(足元帳!$AZ$2:$AZ$231&lt;=2))</f>
        <v>0</v>
      </c>
      <c r="K55" s="20">
        <f>SUMPRODUCT((足元帳!$K$2:$K$231=B55)*(足元帳!$BB$2:$BB$231=5))</f>
        <v>0</v>
      </c>
      <c r="L55" s="22">
        <f>SUMPRODUCT((足元帳!$K$2:$K$231=B55)*(足元帳!$BB$2:$BB$231=5)*(足元帳!$AZ$2:$AZ$231&lt;=2))</f>
        <v>0</v>
      </c>
      <c r="M55" s="20">
        <f>SUMPRODUCT((足元帳!$K$2:$K$231=B55)*(足元帳!$BB$2:$BB$231=6))</f>
        <v>0</v>
      </c>
      <c r="N55" s="20">
        <f>SUMPRODUCT((足元帳!$K$2:$K$231=B55)*(足元帳!$BB$2:$BB$231=6)*(足元帳!$AZ$2:$AZ$231&lt;=2))</f>
        <v>0</v>
      </c>
      <c r="O55" s="20"/>
      <c r="P55" s="20">
        <f>SUMPRODUCT((足元帳!$K$2:$K$231=B55)*(足元帳!$AS$2:$AS$231=足元帳!$AS$1)*(足元帳!$BB$2:$BB$231=1)*500)+SUMPRODUCT((足元帳!$K$2:$K$231=B55)*(足元帳!$AS$2:$AS$231=足元帳!$AS$1)*(足元帳!$BB$2:$BB$231=2)*500)+SUMPRODUCT((足元帳!$K$2:$K$231=B55)*(足元帳!$AS$2:$AS$231=足元帳!$AS$1)*(足元帳!$BB$2:$BB$231=3)*500)+SUMPRODUCT((足元帳!$K$2:$K$231=B55)*(足元帳!$AS$2:$AS$231=足元帳!$AS$1)*(足元帳!$BB$2:$BB$231=4)*1000)+SUMPRODUCT((足元帳!$K$2:$K$231=B55)*(足元帳!$AS$2:$AS$231=足元帳!$AS$1)*(足元帳!$BB$2:$BB$231=5)*1000)+SUMPRODUCT((足元帳!$K$2:$K$231=B55)*(足元帳!$AS$2:$AS$231=足元帳!$AS$1)*(足元帳!$BB$2:$BB$231=6)*300)</f>
        <v>0</v>
      </c>
      <c r="Q55" s="20">
        <f>SUMPRODUCT((足元帳!$K$2:$K$231=B55)*(足元帳!$BQ$2:$BV$231=Q$20))</f>
        <v>0</v>
      </c>
      <c r="R55" s="20">
        <f>SUMPRODUCT((足元帳!$K$2:$K$231=B55)*(足元帳!$BQ$2:$BV$231=R$20))</f>
        <v>0</v>
      </c>
      <c r="S55" s="20">
        <f>SUMPRODUCT((足元帳!$K$2:$K$231=B55)*(足元帳!$BQ$2:$BV$231=S$20))</f>
        <v>0</v>
      </c>
      <c r="T55" s="20">
        <f>SUMPRODUCT((足元帳!$K$2:$K$231=B55)*(足元帳!$BQ$2:$BV$231=T$20))</f>
        <v>0</v>
      </c>
      <c r="U55" s="20">
        <f>SUMPRODUCT((足元帳!$K$2:$K$231=B55)*(足元帳!$BK$2:$BK$231=3000)*3000)+SUMPRODUCT((足元帳!$K$2:$K$231=B55)*(足元帳!$BK$2:$BK$231=4000)*4000)+SUMPRODUCT((足元帳!$K$2:$K$231=B55)*(足元帳!$BK$2:$BK$231=5000)*5000)+SUMPRODUCT((足元帳!$K$2:$K$231=B55)*(足元帳!$BK$2:$BK$231=6000)*6000)</f>
        <v>0</v>
      </c>
      <c r="V55" s="20"/>
      <c r="W55" s="256"/>
      <c r="X55" s="131">
        <f t="shared" si="2"/>
        <v>0</v>
      </c>
      <c r="Y55" s="131">
        <f t="shared" si="3"/>
        <v>0</v>
      </c>
      <c r="Z55" s="132">
        <f>C55*C$11+E55*E$11+G55*G$11+I55*I$11+K55*K$11+M55*M$11+X55+Y55
+IF(管理シート!$BQ$4 &lt;&gt; "ON",0,SUMPRODUCT((足元帳!$K$2:$K$231=B55)*(足元帳!$BB$2:$BB$231=4)*(足元帳!$AZ$2:$AZ$231&gt;=3)*(足元帳!$AP$2:$AP$231&lt;&gt;""))*管理シート!$BP$4)+
IF(管理シート!$BQ$5 &lt;&gt; "ON",0,SUMPRODUCT((足元帳!$K$2:$K$231=B55)*(足元帳!$BB$2:$BB$231=5)*(足元帳!$AZ$2:$AZ$231&gt;=3)*(足元帳!$AP$2:$AP$231&lt;&gt;""))*管理シート!$BP$5)</f>
        <v>0</v>
      </c>
      <c r="AA55" s="131">
        <f t="shared" si="4"/>
        <v>0</v>
      </c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4">
        <f t="shared" si="5"/>
        <v>0</v>
      </c>
      <c r="AZ55" s="4"/>
      <c r="BA55" s="5"/>
      <c r="BB55" s="6" t="str">
        <f t="shared" si="6"/>
        <v/>
      </c>
      <c r="BC55" s="59" t="s">
        <v>111</v>
      </c>
      <c r="BD55" s="465">
        <f>BD46-BD49-BD50</f>
        <v>0</v>
      </c>
      <c r="BE55" s="465"/>
      <c r="BF55" s="465"/>
      <c r="BG55" s="465"/>
      <c r="BH55" s="465"/>
      <c r="BI55" s="465"/>
      <c r="BW55" s="28"/>
      <c r="BX55" s="28"/>
      <c r="BY55" s="28"/>
    </row>
    <row r="56" spans="1:77" ht="33.75" customHeight="1">
      <c r="A56" s="47">
        <v>36</v>
      </c>
      <c r="B56" s="10"/>
      <c r="C56" s="20">
        <f>SUMPRODUCT((足元帳!$K$2:$K$231=B56)*(足元帳!$BB$2:$BB$231=1))</f>
        <v>0</v>
      </c>
      <c r="D56" s="21">
        <f>SUMPRODUCT((足元帳!$K$2:$K$231=B56)*(足元帳!$BB$2:$BB$231=1)*(足元帳!$AZ$2:$AZ$231&lt;=2))</f>
        <v>0</v>
      </c>
      <c r="E56" s="20">
        <f>SUMPRODUCT((足元帳!$K$2:$K$231=B56)*(足元帳!$BB$2:$BB$231=2))</f>
        <v>0</v>
      </c>
      <c r="F56" s="22">
        <f>SUMPRODUCT((足元帳!$K$2:$K$231=B56)*(足元帳!$BB$2:$BB$231=2)*(足元帳!$AZ$2:$AZ$231&lt;=2))</f>
        <v>0</v>
      </c>
      <c r="G56" s="20">
        <f>SUMPRODUCT((足元帳!$K$2:$K$231=B56)*(足元帳!$BB$2:$BB$231=3))</f>
        <v>0</v>
      </c>
      <c r="H56" s="22">
        <f>SUMPRODUCT((足元帳!$K$2:$K$231=B56)*(足元帳!$BB$2:$BB$231=3)*(足元帳!$AZ$2:$AZ$231&lt;=2))</f>
        <v>0</v>
      </c>
      <c r="I56" s="20">
        <f>SUMPRODUCT((足元帳!$K$2:$K$231=B56)*(足元帳!$BB$2:$BB$231=4))</f>
        <v>0</v>
      </c>
      <c r="J56" s="22">
        <f>SUMPRODUCT((足元帳!$K$2:$K$231=B56)*(足元帳!$BB$2:$BB$231=4)*(足元帳!$AZ$2:$AZ$231&lt;=2))</f>
        <v>0</v>
      </c>
      <c r="K56" s="20">
        <f>SUMPRODUCT((足元帳!$K$2:$K$231=B56)*(足元帳!$BB$2:$BB$231=5))</f>
        <v>0</v>
      </c>
      <c r="L56" s="22">
        <f>SUMPRODUCT((足元帳!$K$2:$K$231=B56)*(足元帳!$BB$2:$BB$231=5)*(足元帳!$AZ$2:$AZ$231&lt;=2))</f>
        <v>0</v>
      </c>
      <c r="M56" s="20">
        <f>SUMPRODUCT((足元帳!$K$2:$K$231=B56)*(足元帳!$BB$2:$BB$231=6))</f>
        <v>0</v>
      </c>
      <c r="N56" s="20">
        <f>SUMPRODUCT((足元帳!$K$2:$K$231=B56)*(足元帳!$BB$2:$BB$231=6)*(足元帳!$AZ$2:$AZ$231&lt;=2))</f>
        <v>0</v>
      </c>
      <c r="O56" s="20"/>
      <c r="P56" s="20">
        <f>SUMPRODUCT((足元帳!$K$2:$K$231=B56)*(足元帳!$AS$2:$AS$231=足元帳!$AS$1)*(足元帳!$BB$2:$BB$231=1)*500)+SUMPRODUCT((足元帳!$K$2:$K$231=B56)*(足元帳!$AS$2:$AS$231=足元帳!$AS$1)*(足元帳!$BB$2:$BB$231=2)*500)+SUMPRODUCT((足元帳!$K$2:$K$231=B56)*(足元帳!$AS$2:$AS$231=足元帳!$AS$1)*(足元帳!$BB$2:$BB$231=3)*500)+SUMPRODUCT((足元帳!$K$2:$K$231=B56)*(足元帳!$AS$2:$AS$231=足元帳!$AS$1)*(足元帳!$BB$2:$BB$231=4)*1000)+SUMPRODUCT((足元帳!$K$2:$K$231=B56)*(足元帳!$AS$2:$AS$231=足元帳!$AS$1)*(足元帳!$BB$2:$BB$231=5)*1000)+SUMPRODUCT((足元帳!$K$2:$K$231=B56)*(足元帳!$AS$2:$AS$231=足元帳!$AS$1)*(足元帳!$BB$2:$BB$231=6)*300)</f>
        <v>0</v>
      </c>
      <c r="Q56" s="20">
        <f>SUMPRODUCT((足元帳!$K$2:$K$231=B56)*(足元帳!$BQ$2:$BV$231=Q$20))</f>
        <v>0</v>
      </c>
      <c r="R56" s="20">
        <f>SUMPRODUCT((足元帳!$K$2:$K$231=B56)*(足元帳!$BQ$2:$BV$231=R$20))</f>
        <v>0</v>
      </c>
      <c r="S56" s="20">
        <f>SUMPRODUCT((足元帳!$K$2:$K$231=B56)*(足元帳!$BQ$2:$BV$231=S$20))</f>
        <v>0</v>
      </c>
      <c r="T56" s="20">
        <f>SUMPRODUCT((足元帳!$K$2:$K$231=B56)*(足元帳!$BQ$2:$BV$231=T$20))</f>
        <v>0</v>
      </c>
      <c r="U56" s="20">
        <f>SUMPRODUCT((足元帳!$K$2:$K$231=B56)*(足元帳!$BK$2:$BK$231=3000)*3000)+SUMPRODUCT((足元帳!$K$2:$K$231=B56)*(足元帳!$BK$2:$BK$231=4000)*4000)+SUMPRODUCT((足元帳!$K$2:$K$231=B56)*(足元帳!$BK$2:$BK$231=5000)*5000)+SUMPRODUCT((足元帳!$K$2:$K$231=B56)*(足元帳!$BK$2:$BK$231=6000)*6000)</f>
        <v>0</v>
      </c>
      <c r="V56" s="20"/>
      <c r="W56" s="256"/>
      <c r="X56" s="131">
        <f t="shared" si="2"/>
        <v>0</v>
      </c>
      <c r="Y56" s="131">
        <f t="shared" si="3"/>
        <v>0</v>
      </c>
      <c r="Z56" s="132">
        <f>C56*C$11+E56*E$11+G56*G$11+I56*I$11+K56*K$11+M56*M$11+X56+Y56
+IF(管理シート!$BQ$4 &lt;&gt; "ON",0,SUMPRODUCT((足元帳!$K$2:$K$231=B56)*(足元帳!$BB$2:$BB$231=4)*(足元帳!$AZ$2:$AZ$231&gt;=3)*(足元帳!$AP$2:$AP$231&lt;&gt;""))*管理シート!$BP$4)+
IF(管理シート!$BQ$5 &lt;&gt; "ON",0,SUMPRODUCT((足元帳!$K$2:$K$231=B56)*(足元帳!$BB$2:$BB$231=5)*(足元帳!$AZ$2:$AZ$231&gt;=3)*(足元帳!$AP$2:$AP$231&lt;&gt;""))*管理シート!$BP$5)</f>
        <v>0</v>
      </c>
      <c r="AA56" s="131">
        <f t="shared" si="4"/>
        <v>0</v>
      </c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4">
        <f t="shared" si="5"/>
        <v>0</v>
      </c>
      <c r="AZ56" s="4"/>
      <c r="BA56" s="4"/>
      <c r="BB56" s="6" t="str">
        <f t="shared" si="6"/>
        <v/>
      </c>
      <c r="BC56" s="59" t="s">
        <v>193</v>
      </c>
      <c r="BD56" s="465">
        <f>BD66</f>
        <v>0</v>
      </c>
      <c r="BE56" s="465"/>
      <c r="BF56" s="465"/>
      <c r="BG56" s="465"/>
      <c r="BH56" s="465"/>
      <c r="BI56" s="465"/>
      <c r="BW56" s="28"/>
      <c r="BX56" s="28"/>
      <c r="BY56" s="28"/>
    </row>
    <row r="57" spans="1:77" ht="33.75" customHeight="1">
      <c r="A57" s="47">
        <v>37</v>
      </c>
      <c r="B57" s="10"/>
      <c r="C57" s="20">
        <f>SUMPRODUCT((足元帳!$K$2:$K$231=B57)*(足元帳!$BB$2:$BB$231=1))</f>
        <v>0</v>
      </c>
      <c r="D57" s="21">
        <f>SUMPRODUCT((足元帳!$K$2:$K$231=B57)*(足元帳!$BB$2:$BB$231=1)*(足元帳!$AZ$2:$AZ$231&lt;=2))</f>
        <v>0</v>
      </c>
      <c r="E57" s="20">
        <f>SUMPRODUCT((足元帳!$K$2:$K$231=B57)*(足元帳!$BB$2:$BB$231=2))</f>
        <v>0</v>
      </c>
      <c r="F57" s="22">
        <f>SUMPRODUCT((足元帳!$K$2:$K$231=B57)*(足元帳!$BB$2:$BB$231=2)*(足元帳!$AZ$2:$AZ$231&lt;=2))</f>
        <v>0</v>
      </c>
      <c r="G57" s="20">
        <f>SUMPRODUCT((足元帳!$K$2:$K$231=B57)*(足元帳!$BB$2:$BB$231=3))</f>
        <v>0</v>
      </c>
      <c r="H57" s="22">
        <f>SUMPRODUCT((足元帳!$K$2:$K$231=B57)*(足元帳!$BB$2:$BB$231=3)*(足元帳!$AZ$2:$AZ$231&lt;=2))</f>
        <v>0</v>
      </c>
      <c r="I57" s="20">
        <f>SUMPRODUCT((足元帳!$K$2:$K$231=B57)*(足元帳!$BB$2:$BB$231=4))</f>
        <v>0</v>
      </c>
      <c r="J57" s="22">
        <f>SUMPRODUCT((足元帳!$K$2:$K$231=B57)*(足元帳!$BB$2:$BB$231=4)*(足元帳!$AZ$2:$AZ$231&lt;=2))</f>
        <v>0</v>
      </c>
      <c r="K57" s="20">
        <f>SUMPRODUCT((足元帳!$K$2:$K$231=B57)*(足元帳!$BB$2:$BB$231=5))</f>
        <v>0</v>
      </c>
      <c r="L57" s="22">
        <f>SUMPRODUCT((足元帳!$K$2:$K$231=B57)*(足元帳!$BB$2:$BB$231=5)*(足元帳!$AZ$2:$AZ$231&lt;=2))</f>
        <v>0</v>
      </c>
      <c r="M57" s="20">
        <f>SUMPRODUCT((足元帳!$K$2:$K$231=B57)*(足元帳!$BB$2:$BB$231=6))</f>
        <v>0</v>
      </c>
      <c r="N57" s="20">
        <f>SUMPRODUCT((足元帳!$K$2:$K$231=B57)*(足元帳!$BB$2:$BB$231=6)*(足元帳!$AZ$2:$AZ$231&lt;=2))</f>
        <v>0</v>
      </c>
      <c r="O57" s="20"/>
      <c r="P57" s="20">
        <f>SUMPRODUCT((足元帳!$K$2:$K$231=B57)*(足元帳!$AS$2:$AS$231=足元帳!$AS$1)*(足元帳!$BB$2:$BB$231=1)*500)+SUMPRODUCT((足元帳!$K$2:$K$231=B57)*(足元帳!$AS$2:$AS$231=足元帳!$AS$1)*(足元帳!$BB$2:$BB$231=2)*500)+SUMPRODUCT((足元帳!$K$2:$K$231=B57)*(足元帳!$AS$2:$AS$231=足元帳!$AS$1)*(足元帳!$BB$2:$BB$231=3)*500)+SUMPRODUCT((足元帳!$K$2:$K$231=B57)*(足元帳!$AS$2:$AS$231=足元帳!$AS$1)*(足元帳!$BB$2:$BB$231=4)*1000)+SUMPRODUCT((足元帳!$K$2:$K$231=B57)*(足元帳!$AS$2:$AS$231=足元帳!$AS$1)*(足元帳!$BB$2:$BB$231=5)*1000)+SUMPRODUCT((足元帳!$K$2:$K$231=B57)*(足元帳!$AS$2:$AS$231=足元帳!$AS$1)*(足元帳!$BB$2:$BB$231=6)*300)</f>
        <v>0</v>
      </c>
      <c r="Q57" s="20">
        <f>SUMPRODUCT((足元帳!$K$2:$K$231=B57)*(足元帳!$BQ$2:$BV$231=Q$20))</f>
        <v>0</v>
      </c>
      <c r="R57" s="20">
        <f>SUMPRODUCT((足元帳!$K$2:$K$231=B57)*(足元帳!$BQ$2:$BV$231=R$20))</f>
        <v>0</v>
      </c>
      <c r="S57" s="20">
        <f>SUMPRODUCT((足元帳!$K$2:$K$231=B57)*(足元帳!$BQ$2:$BV$231=S$20))</f>
        <v>0</v>
      </c>
      <c r="T57" s="20">
        <f>SUMPRODUCT((足元帳!$K$2:$K$231=B57)*(足元帳!$BQ$2:$BV$231=T$20))</f>
        <v>0</v>
      </c>
      <c r="U57" s="20">
        <f>SUMPRODUCT((足元帳!$K$2:$K$231=B57)*(足元帳!$BK$2:$BK$231=3000)*3000)+SUMPRODUCT((足元帳!$K$2:$K$231=B57)*(足元帳!$BK$2:$BK$231=4000)*4000)+SUMPRODUCT((足元帳!$K$2:$K$231=B57)*(足元帳!$BK$2:$BK$231=5000)*5000)+SUMPRODUCT((足元帳!$K$2:$K$231=B57)*(足元帳!$BK$2:$BK$231=6000)*6000)</f>
        <v>0</v>
      </c>
      <c r="V57" s="20"/>
      <c r="W57" s="256"/>
      <c r="X57" s="131">
        <f t="shared" si="2"/>
        <v>0</v>
      </c>
      <c r="Y57" s="131">
        <f t="shared" si="3"/>
        <v>0</v>
      </c>
      <c r="Z57" s="132">
        <f>C57*C$11+E57*E$11+G57*G$11+I57*I$11+K57*K$11+M57*M$11+X57+Y57
+IF(管理シート!$BQ$4 &lt;&gt; "ON",0,SUMPRODUCT((足元帳!$K$2:$K$231=B57)*(足元帳!$BB$2:$BB$231=4)*(足元帳!$AZ$2:$AZ$231&gt;=3)*(足元帳!$AP$2:$AP$231&lt;&gt;""))*管理シート!$BP$4)+
IF(管理シート!$BQ$5 &lt;&gt; "ON",0,SUMPRODUCT((足元帳!$K$2:$K$231=B57)*(足元帳!$BB$2:$BB$231=5)*(足元帳!$AZ$2:$AZ$231&gt;=3)*(足元帳!$AP$2:$AP$231&lt;&gt;""))*管理シート!$BP$5)</f>
        <v>0</v>
      </c>
      <c r="AA57" s="131">
        <f t="shared" si="4"/>
        <v>0</v>
      </c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4">
        <f t="shared" si="5"/>
        <v>0</v>
      </c>
      <c r="AZ57" s="4"/>
      <c r="BA57" s="78"/>
      <c r="BB57" s="6" t="str">
        <f t="shared" si="6"/>
        <v/>
      </c>
      <c r="BC57" s="63" t="s">
        <v>194</v>
      </c>
      <c r="BD57" s="466">
        <f>BD46-BD47-BD50+BD48+BD56</f>
        <v>0</v>
      </c>
      <c r="BE57" s="466"/>
      <c r="BF57" s="466"/>
      <c r="BG57" s="466"/>
      <c r="BH57" s="466"/>
      <c r="BI57" s="466"/>
      <c r="BW57" s="28"/>
      <c r="BX57" s="28"/>
      <c r="BY57" s="28"/>
    </row>
    <row r="58" spans="1:77" ht="33.75" customHeight="1">
      <c r="A58" s="47">
        <v>38</v>
      </c>
      <c r="B58" s="10"/>
      <c r="C58" s="20">
        <f>SUMPRODUCT((足元帳!$K$2:$K$231=B58)*(足元帳!$BB$2:$BB$231=1))</f>
        <v>0</v>
      </c>
      <c r="D58" s="21">
        <f>SUMPRODUCT((足元帳!$K$2:$K$231=B58)*(足元帳!$BB$2:$BB$231=1)*(足元帳!$AZ$2:$AZ$231&lt;=2))</f>
        <v>0</v>
      </c>
      <c r="E58" s="20">
        <f>SUMPRODUCT((足元帳!$K$2:$K$231=B58)*(足元帳!$BB$2:$BB$231=2))</f>
        <v>0</v>
      </c>
      <c r="F58" s="22">
        <f>SUMPRODUCT((足元帳!$K$2:$K$231=B58)*(足元帳!$BB$2:$BB$231=2)*(足元帳!$AZ$2:$AZ$231&lt;=2))</f>
        <v>0</v>
      </c>
      <c r="G58" s="20">
        <f>SUMPRODUCT((足元帳!$K$2:$K$231=B58)*(足元帳!$BB$2:$BB$231=3))</f>
        <v>0</v>
      </c>
      <c r="H58" s="22">
        <f>SUMPRODUCT((足元帳!$K$2:$K$231=B58)*(足元帳!$BB$2:$BB$231=3)*(足元帳!$AZ$2:$AZ$231&lt;=2))</f>
        <v>0</v>
      </c>
      <c r="I58" s="20">
        <f>SUMPRODUCT((足元帳!$K$2:$K$231=B58)*(足元帳!$BB$2:$BB$231=4))</f>
        <v>0</v>
      </c>
      <c r="J58" s="22">
        <f>SUMPRODUCT((足元帳!$K$2:$K$231=B58)*(足元帳!$BB$2:$BB$231=4)*(足元帳!$AZ$2:$AZ$231&lt;=2))</f>
        <v>0</v>
      </c>
      <c r="K58" s="20">
        <f>SUMPRODUCT((足元帳!$K$2:$K$231=B58)*(足元帳!$BB$2:$BB$231=5))</f>
        <v>0</v>
      </c>
      <c r="L58" s="22">
        <f>SUMPRODUCT((足元帳!$K$2:$K$231=B58)*(足元帳!$BB$2:$BB$231=5)*(足元帳!$AZ$2:$AZ$231&lt;=2))</f>
        <v>0</v>
      </c>
      <c r="M58" s="20">
        <f>SUMPRODUCT((足元帳!$K$2:$K$231=B58)*(足元帳!$BB$2:$BB$231=6))</f>
        <v>0</v>
      </c>
      <c r="N58" s="20">
        <f>SUMPRODUCT((足元帳!$K$2:$K$231=B58)*(足元帳!$BB$2:$BB$231=6)*(足元帳!$AZ$2:$AZ$231&lt;=2))</f>
        <v>0</v>
      </c>
      <c r="O58" s="20"/>
      <c r="P58" s="20">
        <f>SUMPRODUCT((足元帳!$K$2:$K$231=B58)*(足元帳!$AS$2:$AS$231=足元帳!$AS$1)*(足元帳!$BB$2:$BB$231=1)*500)+SUMPRODUCT((足元帳!$K$2:$K$231=B58)*(足元帳!$AS$2:$AS$231=足元帳!$AS$1)*(足元帳!$BB$2:$BB$231=2)*500)+SUMPRODUCT((足元帳!$K$2:$K$231=B58)*(足元帳!$AS$2:$AS$231=足元帳!$AS$1)*(足元帳!$BB$2:$BB$231=3)*500)+SUMPRODUCT((足元帳!$K$2:$K$231=B58)*(足元帳!$AS$2:$AS$231=足元帳!$AS$1)*(足元帳!$BB$2:$BB$231=4)*1000)+SUMPRODUCT((足元帳!$K$2:$K$231=B58)*(足元帳!$AS$2:$AS$231=足元帳!$AS$1)*(足元帳!$BB$2:$BB$231=5)*1000)+SUMPRODUCT((足元帳!$K$2:$K$231=B58)*(足元帳!$AS$2:$AS$231=足元帳!$AS$1)*(足元帳!$BB$2:$BB$231=6)*300)</f>
        <v>0</v>
      </c>
      <c r="Q58" s="20">
        <f>SUMPRODUCT((足元帳!$K$2:$K$231=B58)*(足元帳!$BQ$2:$BV$231=Q$20))</f>
        <v>0</v>
      </c>
      <c r="R58" s="20">
        <f>SUMPRODUCT((足元帳!$K$2:$K$231=B58)*(足元帳!$BQ$2:$BV$231=R$20))</f>
        <v>0</v>
      </c>
      <c r="S58" s="20">
        <f>SUMPRODUCT((足元帳!$K$2:$K$231=B58)*(足元帳!$BQ$2:$BV$231=S$20))</f>
        <v>0</v>
      </c>
      <c r="T58" s="20">
        <f>SUMPRODUCT((足元帳!$K$2:$K$231=B58)*(足元帳!$BQ$2:$BV$231=T$20))</f>
        <v>0</v>
      </c>
      <c r="U58" s="20">
        <f>SUMPRODUCT((足元帳!$K$2:$K$231=B58)*(足元帳!$BK$2:$BK$231=3000)*3000)+SUMPRODUCT((足元帳!$K$2:$K$231=B58)*(足元帳!$BK$2:$BK$231=4000)*4000)+SUMPRODUCT((足元帳!$K$2:$K$231=B58)*(足元帳!$BK$2:$BK$231=5000)*5000)+SUMPRODUCT((足元帳!$K$2:$K$231=B58)*(足元帳!$BK$2:$BK$231=6000)*6000)</f>
        <v>0</v>
      </c>
      <c r="V58" s="20"/>
      <c r="W58" s="256"/>
      <c r="X58" s="131">
        <f t="shared" si="2"/>
        <v>0</v>
      </c>
      <c r="Y58" s="131">
        <f t="shared" si="3"/>
        <v>0</v>
      </c>
      <c r="Z58" s="132">
        <f>C58*C$11+E58*E$11+G58*G$11+I58*I$11+K58*K$11+M58*M$11+X58+Y58
+IF(管理シート!$BQ$4 &lt;&gt; "ON",0,SUMPRODUCT((足元帳!$K$2:$K$231=B58)*(足元帳!$BB$2:$BB$231=4)*(足元帳!$AZ$2:$AZ$231&gt;=3)*(足元帳!$AP$2:$AP$231&lt;&gt;""))*管理シート!$BP$4)+
IF(管理シート!$BQ$5 &lt;&gt; "ON",0,SUMPRODUCT((足元帳!$K$2:$K$231=B58)*(足元帳!$BB$2:$BB$231=5)*(足元帳!$AZ$2:$AZ$231&gt;=3)*(足元帳!$AP$2:$AP$231&lt;&gt;""))*管理シート!$BP$5)</f>
        <v>0</v>
      </c>
      <c r="AA58" s="131">
        <f t="shared" si="4"/>
        <v>0</v>
      </c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4">
        <f t="shared" si="5"/>
        <v>0</v>
      </c>
      <c r="AZ58" s="4"/>
      <c r="BA58" s="4"/>
      <c r="BB58" s="6" t="str">
        <f t="shared" si="6"/>
        <v/>
      </c>
      <c r="BL58" s="64"/>
      <c r="BW58" s="28"/>
      <c r="BX58" s="28"/>
      <c r="BY58" s="28"/>
    </row>
    <row r="59" spans="1:77" ht="33.75" customHeight="1">
      <c r="A59" s="47">
        <v>39</v>
      </c>
      <c r="B59" s="10"/>
      <c r="C59" s="20">
        <f>SUMPRODUCT((足元帳!$K$2:$K$231=B59)*(足元帳!$BB$2:$BB$231=1))</f>
        <v>0</v>
      </c>
      <c r="D59" s="21">
        <f>SUMPRODUCT((足元帳!$K$2:$K$231=B59)*(足元帳!$BB$2:$BB$231=1)*(足元帳!$AZ$2:$AZ$231&lt;=2))</f>
        <v>0</v>
      </c>
      <c r="E59" s="20">
        <f>SUMPRODUCT((足元帳!$K$2:$K$231=B59)*(足元帳!$BB$2:$BB$231=2))</f>
        <v>0</v>
      </c>
      <c r="F59" s="22">
        <f>SUMPRODUCT((足元帳!$K$2:$K$231=B59)*(足元帳!$BB$2:$BB$231=2)*(足元帳!$AZ$2:$AZ$231&lt;=2))</f>
        <v>0</v>
      </c>
      <c r="G59" s="20">
        <f>SUMPRODUCT((足元帳!$K$2:$K$231=B59)*(足元帳!$BB$2:$BB$231=3))</f>
        <v>0</v>
      </c>
      <c r="H59" s="22">
        <f>SUMPRODUCT((足元帳!$K$2:$K$231=B59)*(足元帳!$BB$2:$BB$231=3)*(足元帳!$AZ$2:$AZ$231&lt;=2))</f>
        <v>0</v>
      </c>
      <c r="I59" s="20">
        <f>SUMPRODUCT((足元帳!$K$2:$K$231=B59)*(足元帳!$BB$2:$BB$231=4))</f>
        <v>0</v>
      </c>
      <c r="J59" s="22">
        <f>SUMPRODUCT((足元帳!$K$2:$K$231=B59)*(足元帳!$BB$2:$BB$231=4)*(足元帳!$AZ$2:$AZ$231&lt;=2))</f>
        <v>0</v>
      </c>
      <c r="K59" s="20">
        <f>SUMPRODUCT((足元帳!$K$2:$K$231=B59)*(足元帳!$BB$2:$BB$231=5))</f>
        <v>0</v>
      </c>
      <c r="L59" s="22">
        <f>SUMPRODUCT((足元帳!$K$2:$K$231=B59)*(足元帳!$BB$2:$BB$231=5)*(足元帳!$AZ$2:$AZ$231&lt;=2))</f>
        <v>0</v>
      </c>
      <c r="M59" s="20">
        <f>SUMPRODUCT((足元帳!$K$2:$K$231=B59)*(足元帳!$BB$2:$BB$231=6))</f>
        <v>0</v>
      </c>
      <c r="N59" s="20">
        <f>SUMPRODUCT((足元帳!$K$2:$K$231=B59)*(足元帳!$BB$2:$BB$231=6)*(足元帳!$AZ$2:$AZ$231&lt;=2))</f>
        <v>0</v>
      </c>
      <c r="O59" s="20"/>
      <c r="P59" s="20">
        <f>SUMPRODUCT((足元帳!$K$2:$K$231=B59)*(足元帳!$AS$2:$AS$231=足元帳!$AS$1)*(足元帳!$BB$2:$BB$231=1)*500)+SUMPRODUCT((足元帳!$K$2:$K$231=B59)*(足元帳!$AS$2:$AS$231=足元帳!$AS$1)*(足元帳!$BB$2:$BB$231=2)*500)+SUMPRODUCT((足元帳!$K$2:$K$231=B59)*(足元帳!$AS$2:$AS$231=足元帳!$AS$1)*(足元帳!$BB$2:$BB$231=3)*500)+SUMPRODUCT((足元帳!$K$2:$K$231=B59)*(足元帳!$AS$2:$AS$231=足元帳!$AS$1)*(足元帳!$BB$2:$BB$231=4)*1000)+SUMPRODUCT((足元帳!$K$2:$K$231=B59)*(足元帳!$AS$2:$AS$231=足元帳!$AS$1)*(足元帳!$BB$2:$BB$231=5)*1000)+SUMPRODUCT((足元帳!$K$2:$K$231=B59)*(足元帳!$AS$2:$AS$231=足元帳!$AS$1)*(足元帳!$BB$2:$BB$231=6)*300)</f>
        <v>0</v>
      </c>
      <c r="Q59" s="20">
        <f>SUMPRODUCT((足元帳!$K$2:$K$231=B59)*(足元帳!$BQ$2:$BV$231=Q$20))</f>
        <v>0</v>
      </c>
      <c r="R59" s="20">
        <f>SUMPRODUCT((足元帳!$K$2:$K$231=B59)*(足元帳!$BQ$2:$BV$231=R$20))</f>
        <v>0</v>
      </c>
      <c r="S59" s="20">
        <f>SUMPRODUCT((足元帳!$K$2:$K$231=B59)*(足元帳!$BQ$2:$BV$231=S$20))</f>
        <v>0</v>
      </c>
      <c r="T59" s="20">
        <f>SUMPRODUCT((足元帳!$K$2:$K$231=B59)*(足元帳!$BQ$2:$BV$231=T$20))</f>
        <v>0</v>
      </c>
      <c r="U59" s="20">
        <f>SUMPRODUCT((足元帳!$K$2:$K$231=B59)*(足元帳!$BK$2:$BK$231=3000)*3000)+SUMPRODUCT((足元帳!$K$2:$K$231=B59)*(足元帳!$BK$2:$BK$231=4000)*4000)+SUMPRODUCT((足元帳!$K$2:$K$231=B59)*(足元帳!$BK$2:$BK$231=5000)*5000)+SUMPRODUCT((足元帳!$K$2:$K$231=B59)*(足元帳!$BK$2:$BK$231=6000)*6000)</f>
        <v>0</v>
      </c>
      <c r="V59" s="20"/>
      <c r="W59" s="256"/>
      <c r="X59" s="131">
        <f t="shared" si="2"/>
        <v>0</v>
      </c>
      <c r="Y59" s="131">
        <f t="shared" si="3"/>
        <v>0</v>
      </c>
      <c r="Z59" s="132">
        <f>C59*C$11+E59*E$11+G59*G$11+I59*I$11+K59*K$11+M59*M$11+X59+Y59
+IF(管理シート!$BQ$4 &lt;&gt; "ON",0,SUMPRODUCT((足元帳!$K$2:$K$231=B59)*(足元帳!$BB$2:$BB$231=4)*(足元帳!$AZ$2:$AZ$231&gt;=3)*(足元帳!$AP$2:$AP$231&lt;&gt;""))*管理シート!$BP$4)+
IF(管理シート!$BQ$5 &lt;&gt; "ON",0,SUMPRODUCT((足元帳!$K$2:$K$231=B59)*(足元帳!$BB$2:$BB$231=5)*(足元帳!$AZ$2:$AZ$231&gt;=3)*(足元帳!$AP$2:$AP$231&lt;&gt;""))*管理シート!$BP$5)</f>
        <v>0</v>
      </c>
      <c r="AA59" s="131">
        <f t="shared" si="4"/>
        <v>0</v>
      </c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4">
        <f t="shared" si="5"/>
        <v>0</v>
      </c>
      <c r="AZ59" s="4"/>
      <c r="BA59" s="5"/>
      <c r="BB59" s="6" t="str">
        <f t="shared" si="6"/>
        <v/>
      </c>
      <c r="BC59" s="62" t="s">
        <v>112</v>
      </c>
      <c r="BD59" s="445">
        <v>0</v>
      </c>
      <c r="BE59" s="447"/>
      <c r="BF59" s="16"/>
      <c r="BG59" s="445"/>
      <c r="BH59" s="446"/>
      <c r="BI59" s="447"/>
      <c r="BJ59" s="448"/>
      <c r="BK59" s="449"/>
      <c r="BL59" s="65"/>
      <c r="BW59" s="28"/>
      <c r="BX59" s="28"/>
      <c r="BY59" s="28"/>
    </row>
    <row r="60" spans="1:77" ht="33.75" customHeight="1">
      <c r="A60" s="47">
        <v>40</v>
      </c>
      <c r="B60" s="10"/>
      <c r="C60" s="20">
        <f>SUMPRODUCT((足元帳!$K$2:$K$231=B60)*(足元帳!$BB$2:$BB$231=1))</f>
        <v>0</v>
      </c>
      <c r="D60" s="21">
        <f>SUMPRODUCT((足元帳!$K$2:$K$231=B60)*(足元帳!$BB$2:$BB$231=1)*(足元帳!$AZ$2:$AZ$231&lt;=2))</f>
        <v>0</v>
      </c>
      <c r="E60" s="20">
        <f>SUMPRODUCT((足元帳!$K$2:$K$231=B60)*(足元帳!$BB$2:$BB$231=2))</f>
        <v>0</v>
      </c>
      <c r="F60" s="22">
        <f>SUMPRODUCT((足元帳!$K$2:$K$231=B60)*(足元帳!$BB$2:$BB$231=2)*(足元帳!$AZ$2:$AZ$231&lt;=2))</f>
        <v>0</v>
      </c>
      <c r="G60" s="20">
        <f>SUMPRODUCT((足元帳!$K$2:$K$231=B60)*(足元帳!$BB$2:$BB$231=3))</f>
        <v>0</v>
      </c>
      <c r="H60" s="22">
        <f>SUMPRODUCT((足元帳!$K$2:$K$231=B60)*(足元帳!$BB$2:$BB$231=3)*(足元帳!$AZ$2:$AZ$231&lt;=2))</f>
        <v>0</v>
      </c>
      <c r="I60" s="20">
        <f>SUMPRODUCT((足元帳!$K$2:$K$231=B60)*(足元帳!$BB$2:$BB$231=4))</f>
        <v>0</v>
      </c>
      <c r="J60" s="22">
        <f>SUMPRODUCT((足元帳!$K$2:$K$231=B60)*(足元帳!$BB$2:$BB$231=4)*(足元帳!$AZ$2:$AZ$231&lt;=2))</f>
        <v>0</v>
      </c>
      <c r="K60" s="20">
        <f>SUMPRODUCT((足元帳!$K$2:$K$231=B60)*(足元帳!$BB$2:$BB$231=5))</f>
        <v>0</v>
      </c>
      <c r="L60" s="22">
        <f>SUMPRODUCT((足元帳!$K$2:$K$231=B60)*(足元帳!$BB$2:$BB$231=5)*(足元帳!$AZ$2:$AZ$231&lt;=2))</f>
        <v>0</v>
      </c>
      <c r="M60" s="20">
        <f>SUMPRODUCT((足元帳!$K$2:$K$231=B60)*(足元帳!$BB$2:$BB$231=6))</f>
        <v>0</v>
      </c>
      <c r="N60" s="20">
        <f>SUMPRODUCT((足元帳!$K$2:$K$231=B60)*(足元帳!$BB$2:$BB$231=6)*(足元帳!$AZ$2:$AZ$231&lt;=2))</f>
        <v>0</v>
      </c>
      <c r="O60" s="20"/>
      <c r="P60" s="20">
        <f>SUMPRODUCT((足元帳!$K$2:$K$231=B60)*(足元帳!$AS$2:$AS$231=足元帳!$AS$1)*(足元帳!$BB$2:$BB$231=1)*500)+SUMPRODUCT((足元帳!$K$2:$K$231=B60)*(足元帳!$AS$2:$AS$231=足元帳!$AS$1)*(足元帳!$BB$2:$BB$231=2)*500)+SUMPRODUCT((足元帳!$K$2:$K$231=B60)*(足元帳!$AS$2:$AS$231=足元帳!$AS$1)*(足元帳!$BB$2:$BB$231=3)*500)+SUMPRODUCT((足元帳!$K$2:$K$231=B60)*(足元帳!$AS$2:$AS$231=足元帳!$AS$1)*(足元帳!$BB$2:$BB$231=4)*1000)+SUMPRODUCT((足元帳!$K$2:$K$231=B60)*(足元帳!$AS$2:$AS$231=足元帳!$AS$1)*(足元帳!$BB$2:$BB$231=5)*1000)+SUMPRODUCT((足元帳!$K$2:$K$231=B60)*(足元帳!$AS$2:$AS$231=足元帳!$AS$1)*(足元帳!$BB$2:$BB$231=6)*300)</f>
        <v>0</v>
      </c>
      <c r="Q60" s="20">
        <f>SUMPRODUCT((足元帳!$K$2:$K$231=B60)*(足元帳!$BQ$2:$BV$231=Q$20))</f>
        <v>0</v>
      </c>
      <c r="R60" s="20">
        <f>SUMPRODUCT((足元帳!$K$2:$K$231=B60)*(足元帳!$BQ$2:$BV$231=R$20))</f>
        <v>0</v>
      </c>
      <c r="S60" s="20">
        <f>SUMPRODUCT((足元帳!$K$2:$K$231=B60)*(足元帳!$BQ$2:$BV$231=S$20))</f>
        <v>0</v>
      </c>
      <c r="T60" s="20">
        <f>SUMPRODUCT((足元帳!$K$2:$K$231=B60)*(足元帳!$BQ$2:$BV$231=T$20))</f>
        <v>0</v>
      </c>
      <c r="U60" s="20">
        <f>SUMPRODUCT((足元帳!$K$2:$K$231=B60)*(足元帳!$BK$2:$BK$231=3000)*3000)+SUMPRODUCT((足元帳!$K$2:$K$231=B60)*(足元帳!$BK$2:$BK$231=4000)*4000)+SUMPRODUCT((足元帳!$K$2:$K$231=B60)*(足元帳!$BK$2:$BK$231=5000)*5000)+SUMPRODUCT((足元帳!$K$2:$K$231=B60)*(足元帳!$BK$2:$BK$231=6000)*6000)</f>
        <v>0</v>
      </c>
      <c r="V60" s="20"/>
      <c r="W60" s="256"/>
      <c r="X60" s="131">
        <f t="shared" si="2"/>
        <v>0</v>
      </c>
      <c r="Y60" s="131">
        <f t="shared" si="3"/>
        <v>0</v>
      </c>
      <c r="Z60" s="132">
        <f>C60*C$11+E60*E$11+G60*G$11+I60*I$11+K60*K$11+M60*M$11+X60+Y60
+IF(管理シート!$BQ$4 &lt;&gt; "ON",0,SUMPRODUCT((足元帳!$K$2:$K$231=B60)*(足元帳!$BB$2:$BB$231=4)*(足元帳!$AZ$2:$AZ$231&gt;=3)*(足元帳!$AP$2:$AP$231&lt;&gt;""))*管理シート!$BP$4)+
IF(管理シート!$BQ$5 &lt;&gt; "ON",0,SUMPRODUCT((足元帳!$K$2:$K$231=B60)*(足元帳!$BB$2:$BB$231=5)*(足元帳!$AZ$2:$AZ$231&gt;=3)*(足元帳!$AP$2:$AP$231&lt;&gt;""))*管理シート!$BP$5)</f>
        <v>0</v>
      </c>
      <c r="AA60" s="131">
        <f t="shared" si="4"/>
        <v>0</v>
      </c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4">
        <f t="shared" si="5"/>
        <v>0</v>
      </c>
      <c r="AZ60" s="4"/>
      <c r="BA60" s="4"/>
      <c r="BB60" s="6" t="str">
        <f t="shared" si="6"/>
        <v/>
      </c>
      <c r="BC60" s="62" t="s">
        <v>85</v>
      </c>
      <c r="BD60" s="445">
        <v>0</v>
      </c>
      <c r="BE60" s="447"/>
      <c r="BF60" s="16"/>
      <c r="BG60" s="445"/>
      <c r="BH60" s="446"/>
      <c r="BI60" s="447"/>
      <c r="BJ60" s="448"/>
      <c r="BK60" s="449"/>
      <c r="BL60" s="66"/>
      <c r="BW60" s="28"/>
      <c r="BX60" s="28"/>
      <c r="BY60" s="28"/>
    </row>
    <row r="61" spans="1:77" ht="33.75" customHeight="1">
      <c r="A61" s="47">
        <v>41</v>
      </c>
      <c r="B61" s="10"/>
      <c r="C61" s="20">
        <f>SUMPRODUCT((足元帳!$K$2:$K$231=B61)*(足元帳!$BB$2:$BB$231=1))</f>
        <v>0</v>
      </c>
      <c r="D61" s="21">
        <f>SUMPRODUCT((足元帳!$K$2:$K$231=B61)*(足元帳!$BB$2:$BB$231=1)*(足元帳!$AZ$2:$AZ$231&lt;=2))</f>
        <v>0</v>
      </c>
      <c r="E61" s="20">
        <f>SUMPRODUCT((足元帳!$K$2:$K$231=B61)*(足元帳!$BB$2:$BB$231=2))</f>
        <v>0</v>
      </c>
      <c r="F61" s="22">
        <f>SUMPRODUCT((足元帳!$K$2:$K$231=B61)*(足元帳!$BB$2:$BB$231=2)*(足元帳!$AZ$2:$AZ$231&lt;=2))</f>
        <v>0</v>
      </c>
      <c r="G61" s="20">
        <f>SUMPRODUCT((足元帳!$K$2:$K$231=B61)*(足元帳!$BB$2:$BB$231=3))</f>
        <v>0</v>
      </c>
      <c r="H61" s="22">
        <f>SUMPRODUCT((足元帳!$K$2:$K$231=B61)*(足元帳!$BB$2:$BB$231=3)*(足元帳!$AZ$2:$AZ$231&lt;=2))</f>
        <v>0</v>
      </c>
      <c r="I61" s="20">
        <f>SUMPRODUCT((足元帳!$K$2:$K$231=B61)*(足元帳!$BB$2:$BB$231=4))</f>
        <v>0</v>
      </c>
      <c r="J61" s="22">
        <f>SUMPRODUCT((足元帳!$K$2:$K$231=B61)*(足元帳!$BB$2:$BB$231=4)*(足元帳!$AZ$2:$AZ$231&lt;=2))</f>
        <v>0</v>
      </c>
      <c r="K61" s="20">
        <f>SUMPRODUCT((足元帳!$K$2:$K$231=B61)*(足元帳!$BB$2:$BB$231=5))</f>
        <v>0</v>
      </c>
      <c r="L61" s="22">
        <f>SUMPRODUCT((足元帳!$K$2:$K$231=B61)*(足元帳!$BB$2:$BB$231=5)*(足元帳!$AZ$2:$AZ$231&lt;=2))</f>
        <v>0</v>
      </c>
      <c r="M61" s="20">
        <f>SUMPRODUCT((足元帳!$K$2:$K$231=B61)*(足元帳!$BB$2:$BB$231=6))</f>
        <v>0</v>
      </c>
      <c r="N61" s="20">
        <f>SUMPRODUCT((足元帳!$K$2:$K$231=B61)*(足元帳!$BB$2:$BB$231=6)*(足元帳!$AZ$2:$AZ$231&lt;=2))</f>
        <v>0</v>
      </c>
      <c r="O61" s="20"/>
      <c r="P61" s="20">
        <f>SUMPRODUCT((足元帳!$K$2:$K$231=B61)*(足元帳!$AS$2:$AS$231=足元帳!$AS$1)*(足元帳!$BB$2:$BB$231=1)*500)+SUMPRODUCT((足元帳!$K$2:$K$231=B61)*(足元帳!$AS$2:$AS$231=足元帳!$AS$1)*(足元帳!$BB$2:$BB$231=2)*500)+SUMPRODUCT((足元帳!$K$2:$K$231=B61)*(足元帳!$AS$2:$AS$231=足元帳!$AS$1)*(足元帳!$BB$2:$BB$231=3)*500)+SUMPRODUCT((足元帳!$K$2:$K$231=B61)*(足元帳!$AS$2:$AS$231=足元帳!$AS$1)*(足元帳!$BB$2:$BB$231=4)*1000)+SUMPRODUCT((足元帳!$K$2:$K$231=B61)*(足元帳!$AS$2:$AS$231=足元帳!$AS$1)*(足元帳!$BB$2:$BB$231=5)*1000)+SUMPRODUCT((足元帳!$K$2:$K$231=B61)*(足元帳!$AS$2:$AS$231=足元帳!$AS$1)*(足元帳!$BB$2:$BB$231=6)*300)</f>
        <v>0</v>
      </c>
      <c r="Q61" s="20">
        <f>SUMPRODUCT((足元帳!$K$2:$K$231=B61)*(足元帳!$BQ$2:$BV$231=Q$20))</f>
        <v>0</v>
      </c>
      <c r="R61" s="20">
        <f>SUMPRODUCT((足元帳!$K$2:$K$231=B61)*(足元帳!$BQ$2:$BV$231=R$20))</f>
        <v>0</v>
      </c>
      <c r="S61" s="20">
        <f>SUMPRODUCT((足元帳!$K$2:$K$231=B61)*(足元帳!$BQ$2:$BV$231=S$20))</f>
        <v>0</v>
      </c>
      <c r="T61" s="20">
        <f>SUMPRODUCT((足元帳!$K$2:$K$231=B61)*(足元帳!$BQ$2:$BV$231=T$20))</f>
        <v>0</v>
      </c>
      <c r="U61" s="20">
        <f>SUMPRODUCT((足元帳!$K$2:$K$231=B61)*(足元帳!$BK$2:$BK$231=3000)*3000)+SUMPRODUCT((足元帳!$K$2:$K$231=B61)*(足元帳!$BK$2:$BK$231=4000)*4000)+SUMPRODUCT((足元帳!$K$2:$K$231=B61)*(足元帳!$BK$2:$BK$231=5000)*5000)+SUMPRODUCT((足元帳!$K$2:$K$231=B61)*(足元帳!$BK$2:$BK$231=6000)*6000)</f>
        <v>0</v>
      </c>
      <c r="V61" s="20"/>
      <c r="W61" s="256"/>
      <c r="X61" s="131">
        <f t="shared" si="2"/>
        <v>0</v>
      </c>
      <c r="Y61" s="131">
        <f t="shared" si="3"/>
        <v>0</v>
      </c>
      <c r="Z61" s="132">
        <f>C61*C$11+E61*E$11+G61*G$11+I61*I$11+K61*K$11+M61*M$11+X61+Y61
+IF(管理シート!$BQ$4 &lt;&gt; "ON",0,SUMPRODUCT((足元帳!$K$2:$K$231=B61)*(足元帳!$BB$2:$BB$231=4)*(足元帳!$AZ$2:$AZ$231&gt;=3)*(足元帳!$AP$2:$AP$231&lt;&gt;""))*管理シート!$BP$4)+
IF(管理シート!$BQ$5 &lt;&gt; "ON",0,SUMPRODUCT((足元帳!$K$2:$K$231=B61)*(足元帳!$BB$2:$BB$231=5)*(足元帳!$AZ$2:$AZ$231&gt;=3)*(足元帳!$AP$2:$AP$231&lt;&gt;""))*管理シート!$BP$5)</f>
        <v>0</v>
      </c>
      <c r="AA61" s="131">
        <f t="shared" si="4"/>
        <v>0</v>
      </c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4">
        <f t="shared" si="5"/>
        <v>0</v>
      </c>
      <c r="AZ61" s="4"/>
      <c r="BA61" s="5"/>
      <c r="BB61" s="6" t="str">
        <f t="shared" si="6"/>
        <v/>
      </c>
      <c r="BC61" s="62" t="s">
        <v>113</v>
      </c>
      <c r="BD61" s="445">
        <v>0</v>
      </c>
      <c r="BE61" s="447"/>
      <c r="BF61" s="16"/>
      <c r="BG61" s="445"/>
      <c r="BH61" s="446"/>
      <c r="BI61" s="447"/>
      <c r="BJ61" s="448"/>
      <c r="BK61" s="449"/>
      <c r="BW61" s="28"/>
      <c r="BX61" s="28"/>
      <c r="BY61" s="28"/>
    </row>
    <row r="62" spans="1:77" ht="33.75" customHeight="1">
      <c r="A62" s="47">
        <v>42</v>
      </c>
      <c r="B62" s="10"/>
      <c r="C62" s="20">
        <f>SUMPRODUCT((足元帳!$K$2:$K$231=B62)*(足元帳!$BB$2:$BB$231=1))</f>
        <v>0</v>
      </c>
      <c r="D62" s="21">
        <f>SUMPRODUCT((足元帳!$K$2:$K$231=B62)*(足元帳!$BB$2:$BB$231=1)*(足元帳!$AZ$2:$AZ$231&lt;=2))</f>
        <v>0</v>
      </c>
      <c r="E62" s="20">
        <f>SUMPRODUCT((足元帳!$K$2:$K$231=B62)*(足元帳!$BB$2:$BB$231=2))</f>
        <v>0</v>
      </c>
      <c r="F62" s="22">
        <f>SUMPRODUCT((足元帳!$K$2:$K$231=B62)*(足元帳!$BB$2:$BB$231=2)*(足元帳!$AZ$2:$AZ$231&lt;=2))</f>
        <v>0</v>
      </c>
      <c r="G62" s="20">
        <f>SUMPRODUCT((足元帳!$K$2:$K$231=B62)*(足元帳!$BB$2:$BB$231=3))</f>
        <v>0</v>
      </c>
      <c r="H62" s="22">
        <f>SUMPRODUCT((足元帳!$K$2:$K$231=B62)*(足元帳!$BB$2:$BB$231=3)*(足元帳!$AZ$2:$AZ$231&lt;=2))</f>
        <v>0</v>
      </c>
      <c r="I62" s="20">
        <f>SUMPRODUCT((足元帳!$K$2:$K$231=B62)*(足元帳!$BB$2:$BB$231=4))</f>
        <v>0</v>
      </c>
      <c r="J62" s="22">
        <f>SUMPRODUCT((足元帳!$K$2:$K$231=B62)*(足元帳!$BB$2:$BB$231=4)*(足元帳!$AZ$2:$AZ$231&lt;=2))</f>
        <v>0</v>
      </c>
      <c r="K62" s="20">
        <f>SUMPRODUCT((足元帳!$K$2:$K$231=B62)*(足元帳!$BB$2:$BB$231=5))</f>
        <v>0</v>
      </c>
      <c r="L62" s="22">
        <f>SUMPRODUCT((足元帳!$K$2:$K$231=B62)*(足元帳!$BB$2:$BB$231=5)*(足元帳!$AZ$2:$AZ$231&lt;=2))</f>
        <v>0</v>
      </c>
      <c r="M62" s="20">
        <f>SUMPRODUCT((足元帳!$K$2:$K$231=B62)*(足元帳!$BB$2:$BB$231=6))</f>
        <v>0</v>
      </c>
      <c r="N62" s="20">
        <f>SUMPRODUCT((足元帳!$K$2:$K$231=B62)*(足元帳!$BB$2:$BB$231=6)*(足元帳!$AZ$2:$AZ$231&lt;=2))</f>
        <v>0</v>
      </c>
      <c r="O62" s="20"/>
      <c r="P62" s="20">
        <f>SUMPRODUCT((足元帳!$K$2:$K$231=B62)*(足元帳!$AS$2:$AS$231=足元帳!$AS$1)*(足元帳!$BB$2:$BB$231=1)*500)+SUMPRODUCT((足元帳!$K$2:$K$231=B62)*(足元帳!$AS$2:$AS$231=足元帳!$AS$1)*(足元帳!$BB$2:$BB$231=2)*500)+SUMPRODUCT((足元帳!$K$2:$K$231=B62)*(足元帳!$AS$2:$AS$231=足元帳!$AS$1)*(足元帳!$BB$2:$BB$231=3)*500)+SUMPRODUCT((足元帳!$K$2:$K$231=B62)*(足元帳!$AS$2:$AS$231=足元帳!$AS$1)*(足元帳!$BB$2:$BB$231=4)*1000)+SUMPRODUCT((足元帳!$K$2:$K$231=B62)*(足元帳!$AS$2:$AS$231=足元帳!$AS$1)*(足元帳!$BB$2:$BB$231=5)*1000)+SUMPRODUCT((足元帳!$K$2:$K$231=B62)*(足元帳!$AS$2:$AS$231=足元帳!$AS$1)*(足元帳!$BB$2:$BB$231=6)*300)</f>
        <v>0</v>
      </c>
      <c r="Q62" s="20">
        <f>SUMPRODUCT((足元帳!$K$2:$K$231=B62)*(足元帳!$BQ$2:$BV$231=Q$20))</f>
        <v>0</v>
      </c>
      <c r="R62" s="20">
        <f>SUMPRODUCT((足元帳!$K$2:$K$231=B62)*(足元帳!$BQ$2:$BV$231=R$20))</f>
        <v>0</v>
      </c>
      <c r="S62" s="20">
        <f>SUMPRODUCT((足元帳!$K$2:$K$231=B62)*(足元帳!$BQ$2:$BV$231=S$20))</f>
        <v>0</v>
      </c>
      <c r="T62" s="20">
        <f>SUMPRODUCT((足元帳!$K$2:$K$231=B62)*(足元帳!$BQ$2:$BV$231=T$20))</f>
        <v>0</v>
      </c>
      <c r="U62" s="20">
        <f>SUMPRODUCT((足元帳!$K$2:$K$231=B62)*(足元帳!$BK$2:$BK$231=3000)*3000)+SUMPRODUCT((足元帳!$K$2:$K$231=B62)*(足元帳!$BK$2:$BK$231=4000)*4000)+SUMPRODUCT((足元帳!$K$2:$K$231=B62)*(足元帳!$BK$2:$BK$231=5000)*5000)+SUMPRODUCT((足元帳!$K$2:$K$231=B62)*(足元帳!$BK$2:$BK$231=6000)*6000)</f>
        <v>0</v>
      </c>
      <c r="V62" s="20"/>
      <c r="W62" s="256"/>
      <c r="X62" s="131">
        <f t="shared" si="2"/>
        <v>0</v>
      </c>
      <c r="Y62" s="131">
        <f t="shared" si="3"/>
        <v>0</v>
      </c>
      <c r="Z62" s="132">
        <f>C62*C$11+E62*E$11+G62*G$11+I62*I$11+K62*K$11+M62*M$11+X62+Y62
+IF(管理シート!$BQ$4 &lt;&gt; "ON",0,SUMPRODUCT((足元帳!$K$2:$K$231=B62)*(足元帳!$BB$2:$BB$231=4)*(足元帳!$AZ$2:$AZ$231&gt;=3)*(足元帳!$AP$2:$AP$231&lt;&gt;""))*管理シート!$BP$4)+
IF(管理シート!$BQ$5 &lt;&gt; "ON",0,SUMPRODUCT((足元帳!$K$2:$K$231=B62)*(足元帳!$BB$2:$BB$231=5)*(足元帳!$AZ$2:$AZ$231&gt;=3)*(足元帳!$AP$2:$AP$231&lt;&gt;""))*管理シート!$BP$5)</f>
        <v>0</v>
      </c>
      <c r="AA62" s="131">
        <f t="shared" si="4"/>
        <v>0</v>
      </c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4">
        <f t="shared" si="5"/>
        <v>0</v>
      </c>
      <c r="AZ62" s="4"/>
      <c r="BB62" s="6" t="str">
        <f t="shared" si="6"/>
        <v/>
      </c>
      <c r="BC62" s="62" t="s">
        <v>114</v>
      </c>
      <c r="BD62" s="445">
        <v>0</v>
      </c>
      <c r="BE62" s="447"/>
      <c r="BF62" s="16"/>
      <c r="BG62" s="445"/>
      <c r="BH62" s="446"/>
      <c r="BI62" s="447"/>
      <c r="BJ62" s="448"/>
      <c r="BK62" s="449"/>
      <c r="BW62" s="28"/>
      <c r="BX62" s="28"/>
      <c r="BY62" s="28"/>
    </row>
    <row r="63" spans="1:77" ht="33.75" customHeight="1">
      <c r="A63" s="47">
        <v>43</v>
      </c>
      <c r="B63" s="10"/>
      <c r="C63" s="20"/>
      <c r="D63" s="21"/>
      <c r="E63" s="20"/>
      <c r="F63" s="22"/>
      <c r="G63" s="20"/>
      <c r="H63" s="22"/>
      <c r="I63" s="20"/>
      <c r="J63" s="22"/>
      <c r="K63" s="20"/>
      <c r="L63" s="22"/>
      <c r="M63" s="20"/>
      <c r="N63" s="20"/>
      <c r="O63" s="20"/>
      <c r="P63" s="20">
        <f>SUMPRODUCT((足元帳!$K$2:$K$231=B63)*(足元帳!$AS$2:$AS$231=足元帳!$AS$1)*(足元帳!$BB$2:$BB$231=1)*500)+SUMPRODUCT((足元帳!$K$2:$K$231=B63)*(足元帳!$AS$2:$AS$231=足元帳!$AS$1)*(足元帳!$BB$2:$BB$231=2)*500)+SUMPRODUCT((足元帳!$K$2:$K$231=B63)*(足元帳!$AS$2:$AS$231=足元帳!$AS$1)*(足元帳!$BB$2:$BB$231=3)*500)+SUMPRODUCT((足元帳!$K$2:$K$231=B63)*(足元帳!$AS$2:$AS$231=足元帳!$AS$1)*(足元帳!$BB$2:$BB$231=4)*1000)+SUMPRODUCT((足元帳!$K$2:$K$231=B63)*(足元帳!$AS$2:$AS$231=足元帳!$AS$1)*(足元帳!$BB$2:$BB$231=5)*1000)+SUMPRODUCT((足元帳!$K$2:$K$231=B63)*(足元帳!$AS$2:$AS$231=足元帳!$AS$1)*(足元帳!$BB$2:$BB$231=6)*300)</f>
        <v>0</v>
      </c>
      <c r="Q63" s="20"/>
      <c r="R63" s="20"/>
      <c r="S63" s="20"/>
      <c r="T63" s="20"/>
      <c r="U63" s="20"/>
      <c r="V63" s="20"/>
      <c r="W63" s="256"/>
      <c r="X63" s="131"/>
      <c r="Y63" s="131"/>
      <c r="Z63" s="132">
        <f>C63*C$11+E63*E$11+G63*G$11+I63*I$11+K63*K$11+M63*M$11+X63+Y63
+IF(管理シート!$BQ$4 &lt;&gt; "ON",0,SUMPRODUCT((足元帳!$K$2:$K$231=B63)*(足元帳!$BB$2:$BB$231=4)*(足元帳!$AZ$2:$AZ$231&gt;=3)*(足元帳!$AP$2:$AP$231&lt;&gt;""))*管理シート!$BP$4)+
IF(管理シート!$BQ$5 &lt;&gt; "ON",0,SUMPRODUCT((足元帳!$K$2:$K$231=B63)*(足元帳!$BB$2:$BB$231=5)*(足元帳!$AZ$2:$AZ$231&gt;=3)*(足元帳!$AP$2:$AP$231&lt;&gt;""))*管理シート!$BP$5)</f>
        <v>0</v>
      </c>
      <c r="AA63" s="131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4"/>
      <c r="AZ63" s="4"/>
      <c r="BB63" s="6"/>
      <c r="BC63" s="62" t="s">
        <v>375</v>
      </c>
      <c r="BD63" s="445">
        <v>0</v>
      </c>
      <c r="BE63" s="447"/>
      <c r="BF63" s="16"/>
      <c r="BG63" s="445"/>
      <c r="BH63" s="446"/>
      <c r="BI63" s="447"/>
      <c r="BJ63" s="448"/>
      <c r="BK63" s="449"/>
      <c r="BW63" s="28"/>
      <c r="BX63" s="28"/>
      <c r="BY63" s="28"/>
    </row>
    <row r="64" spans="1:77" ht="33.75" customHeight="1">
      <c r="A64" s="47">
        <v>44</v>
      </c>
      <c r="B64" s="10"/>
      <c r="C64" s="20"/>
      <c r="D64" s="21"/>
      <c r="E64" s="20"/>
      <c r="F64" s="22"/>
      <c r="G64" s="20"/>
      <c r="H64" s="22"/>
      <c r="I64" s="20"/>
      <c r="J64" s="22"/>
      <c r="K64" s="20"/>
      <c r="L64" s="22"/>
      <c r="M64" s="20"/>
      <c r="N64" s="20"/>
      <c r="O64" s="20"/>
      <c r="P64" s="20">
        <f>SUMPRODUCT((足元帳!$K$2:$K$231=B64)*(足元帳!$AS$2:$AS$231=足元帳!$AS$1)*(足元帳!$BB$2:$BB$231=1)*500)+SUMPRODUCT((足元帳!$K$2:$K$231=B64)*(足元帳!$AS$2:$AS$231=足元帳!$AS$1)*(足元帳!$BB$2:$BB$231=2)*500)+SUMPRODUCT((足元帳!$K$2:$K$231=B64)*(足元帳!$AS$2:$AS$231=足元帳!$AS$1)*(足元帳!$BB$2:$BB$231=3)*500)+SUMPRODUCT((足元帳!$K$2:$K$231=B64)*(足元帳!$AS$2:$AS$231=足元帳!$AS$1)*(足元帳!$BB$2:$BB$231=4)*1000)+SUMPRODUCT((足元帳!$K$2:$K$231=B64)*(足元帳!$AS$2:$AS$231=足元帳!$AS$1)*(足元帳!$BB$2:$BB$231=5)*1000)+SUMPRODUCT((足元帳!$K$2:$K$231=B64)*(足元帳!$AS$2:$AS$231=足元帳!$AS$1)*(足元帳!$BB$2:$BB$231=6)*300)</f>
        <v>0</v>
      </c>
      <c r="Q64" s="20"/>
      <c r="R64" s="20"/>
      <c r="S64" s="20"/>
      <c r="T64" s="20"/>
      <c r="U64" s="20"/>
      <c r="V64" s="20"/>
      <c r="W64" s="256"/>
      <c r="X64" s="131"/>
      <c r="Y64" s="131"/>
      <c r="Z64" s="132">
        <f>C64*C$11+E64*E$11+G64*G$11+I64*I$11+K64*K$11+M64*M$11+X64+Y64
+IF(管理シート!$BQ$4 &lt;&gt; "ON",0,SUMPRODUCT((足元帳!$K$2:$K$231=B64)*(足元帳!$BB$2:$BB$231=4)*(足元帳!$AZ$2:$AZ$231&gt;=3)*(足元帳!$AP$2:$AP$231&lt;&gt;""))*管理シート!$BP$4)+
IF(管理シート!$BQ$5 &lt;&gt; "ON",0,SUMPRODUCT((足元帳!$K$2:$K$231=B64)*(足元帳!$BB$2:$BB$231=5)*(足元帳!$AZ$2:$AZ$231&gt;=3)*(足元帳!$AP$2:$AP$231&lt;&gt;""))*管理シート!$BP$5)</f>
        <v>0</v>
      </c>
      <c r="AA64" s="131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4"/>
      <c r="AZ64" s="4"/>
      <c r="BB64" s="6"/>
      <c r="BC64" s="62" t="s">
        <v>376</v>
      </c>
      <c r="BD64" s="445">
        <v>0</v>
      </c>
      <c r="BE64" s="447"/>
      <c r="BF64" s="16"/>
      <c r="BG64" s="445"/>
      <c r="BH64" s="446"/>
      <c r="BI64" s="447"/>
      <c r="BJ64" s="448"/>
      <c r="BK64" s="449"/>
      <c r="BW64" s="28"/>
      <c r="BX64" s="28"/>
      <c r="BY64" s="28"/>
    </row>
    <row r="65" spans="1:77" ht="33.75" customHeight="1">
      <c r="A65" s="47">
        <v>45</v>
      </c>
      <c r="B65" s="10"/>
      <c r="C65" s="20">
        <f>SUMPRODUCT((足元帳!$K$2:$K$231=B65)*(足元帳!$BB$2:$BB$231=1))</f>
        <v>0</v>
      </c>
      <c r="D65" s="21">
        <f>SUMPRODUCT((足元帳!$K$2:$K$231=B65)*(足元帳!$BB$2:$BB$231=1)*(足元帳!$AZ$2:$AZ$231&lt;=2))</f>
        <v>0</v>
      </c>
      <c r="E65" s="20">
        <f>SUMPRODUCT((足元帳!$K$2:$K$231=B65)*(足元帳!$BB$2:$BB$231=2))</f>
        <v>0</v>
      </c>
      <c r="F65" s="22">
        <f>SUMPRODUCT((足元帳!$K$2:$K$231=B65)*(足元帳!$BB$2:$BB$231=2)*(足元帳!$AZ$2:$AZ$231&lt;=2))</f>
        <v>0</v>
      </c>
      <c r="G65" s="20">
        <f>SUMPRODUCT((足元帳!$K$2:$K$231=B65)*(足元帳!$BB$2:$BB$231=3))</f>
        <v>0</v>
      </c>
      <c r="H65" s="22">
        <f>SUMPRODUCT((足元帳!$K$2:$K$231=B65)*(足元帳!$BB$2:$BB$231=3)*(足元帳!$AZ$2:$AZ$231&lt;=2))</f>
        <v>0</v>
      </c>
      <c r="I65" s="20">
        <f>SUMPRODUCT((足元帳!$K$2:$K$231=B65)*(足元帳!$BB$2:$BB$231=4))</f>
        <v>0</v>
      </c>
      <c r="J65" s="22">
        <f>SUMPRODUCT((足元帳!$K$2:$K$231=B65)*(足元帳!$BB$2:$BB$231=4)*(足元帳!$AZ$2:$AZ$231&lt;=2))</f>
        <v>0</v>
      </c>
      <c r="K65" s="20">
        <f>SUMPRODUCT((足元帳!$K$2:$K$231=B65)*(足元帳!$BB$2:$BB$231=5))</f>
        <v>0</v>
      </c>
      <c r="L65" s="22">
        <f>SUMPRODUCT((足元帳!$K$2:$K$231=B65)*(足元帳!$BB$2:$BB$231=5)*(足元帳!$AZ$2:$AZ$231&lt;=2))</f>
        <v>0</v>
      </c>
      <c r="M65" s="20">
        <f>SUMPRODUCT((足元帳!$K$2:$K$231=B65)*(足元帳!$BB$2:$BB$231=6))</f>
        <v>0</v>
      </c>
      <c r="N65" s="20">
        <f>SUMPRODUCT((足元帳!$K$2:$K$231=B65)*(足元帳!$BB$2:$BB$231=6)*(足元帳!$AZ$2:$AZ$231&lt;=2))</f>
        <v>0</v>
      </c>
      <c r="O65" s="20"/>
      <c r="P65" s="20">
        <f>SUMPRODUCT((足元帳!$K$2:$K$231=B65)*(足元帳!$AS$2:$AS$231=足元帳!$AS$1)*(足元帳!$BB$2:$BB$231=1)*500)+SUMPRODUCT((足元帳!$K$2:$K$231=B65)*(足元帳!$AS$2:$AS$231=足元帳!$AS$1)*(足元帳!$BB$2:$BB$231=2)*500)+SUMPRODUCT((足元帳!$K$2:$K$231=B65)*(足元帳!$AS$2:$AS$231=足元帳!$AS$1)*(足元帳!$BB$2:$BB$231=3)*500)+SUMPRODUCT((足元帳!$K$2:$K$231=B65)*(足元帳!$AS$2:$AS$231=足元帳!$AS$1)*(足元帳!$BB$2:$BB$231=4)*1000)+SUMPRODUCT((足元帳!$K$2:$K$231=B65)*(足元帳!$AS$2:$AS$231=足元帳!$AS$1)*(足元帳!$BB$2:$BB$231=5)*1000)+SUMPRODUCT((足元帳!$K$2:$K$231=B65)*(足元帳!$AS$2:$AS$231=足元帳!$AS$1)*(足元帳!$BB$2:$BB$231=6)*300)</f>
        <v>0</v>
      </c>
      <c r="Q65" s="20">
        <f>SUMPRODUCT((足元帳!$K$2:$K$231=B65)*(足元帳!$BQ$2:$BV$231=Q$20))</f>
        <v>0</v>
      </c>
      <c r="R65" s="20">
        <f>SUMPRODUCT((足元帳!$K$2:$K$231=B65)*(足元帳!$BQ$2:$BV$231=R$20))</f>
        <v>0</v>
      </c>
      <c r="S65" s="20">
        <f>SUMPRODUCT((足元帳!$K$2:$K$231=B65)*(足元帳!$BQ$2:$BV$231=S$20))</f>
        <v>0</v>
      </c>
      <c r="T65" s="20">
        <f>SUMPRODUCT((足元帳!$K$2:$K$231=B65)*(足元帳!$BQ$2:$BV$231=T$20))</f>
        <v>0</v>
      </c>
      <c r="U65" s="20">
        <f>SUMPRODUCT((足元帳!$K$2:$K$231=B65)*(足元帳!$BK$2:$BK$231=3000)*3000)+SUMPRODUCT((足元帳!$K$2:$K$231=B65)*(足元帳!$BK$2:$BK$231=4000)*4000)+SUMPRODUCT((足元帳!$K$2:$K$231=B65)*(足元帳!$BK$2:$BK$231=5000)*5000)+SUMPRODUCT((足元帳!$K$2:$K$231=B65)*(足元帳!$BK$2:$BK$231=6000)*6000)</f>
        <v>0</v>
      </c>
      <c r="V65" s="20"/>
      <c r="W65" s="256"/>
      <c r="X65" s="131">
        <f t="shared" ref="X65:X75" si="17">D65*C$12+F65*E$12+H65*G$12+J65*I$12+L65*K$12+N65*M$12+O65+P65</f>
        <v>0</v>
      </c>
      <c r="Y65" s="131">
        <f t="shared" ref="Y65:Y75" si="18">Q65*Q$11+R65*R$11+S65*S$11+T65*T$11-U65</f>
        <v>0</v>
      </c>
      <c r="Z65" s="132">
        <f>C65*C$11+E65*E$11+G65*G$11+I65*I$11+K65*K$11+M65*M$11+X65+Y65
+IF(管理シート!$BQ$4 &lt;&gt; "ON",0,SUMPRODUCT((足元帳!$K$2:$K$231=B65)*(足元帳!$BB$2:$BB$231=4)*(足元帳!$AZ$2:$AZ$231&gt;=3)*(足元帳!$AP$2:$AP$231&lt;&gt;""))*管理シート!$BP$4)+
IF(管理シート!$BQ$5 &lt;&gt; "ON",0,SUMPRODUCT((足元帳!$K$2:$K$231=B65)*(足元帳!$BB$2:$BB$231=5)*(足元帳!$AZ$2:$AZ$231&gt;=3)*(足元帳!$AP$2:$AP$231&lt;&gt;""))*管理シート!$BP$5)</f>
        <v>0</v>
      </c>
      <c r="AA65" s="131">
        <f t="shared" ref="AA65:AA75" si="19">C65*C$13+E65*E$13+G65*G$13+I65*I$13+K65*K$13+M65*M$13+U65</f>
        <v>0</v>
      </c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4">
        <f t="shared" ref="AY65:AY75" si="20">Z65-AA65</f>
        <v>0</v>
      </c>
      <c r="AZ65" s="4"/>
      <c r="BA65" s="4"/>
      <c r="BB65" s="6" t="str">
        <f t="shared" ref="BB65:BB75" si="21">IF(AZ65="","",AY65)</f>
        <v/>
      </c>
      <c r="BC65" s="62" t="s">
        <v>377</v>
      </c>
      <c r="BD65" s="445">
        <v>0</v>
      </c>
      <c r="BE65" s="447"/>
      <c r="BF65" s="16"/>
      <c r="BG65" s="445"/>
      <c r="BH65" s="446"/>
      <c r="BI65" s="447"/>
      <c r="BJ65" s="448"/>
      <c r="BK65" s="449"/>
      <c r="BW65" s="28"/>
      <c r="BX65" s="28"/>
      <c r="BY65" s="28"/>
    </row>
    <row r="66" spans="1:77" ht="33.75" customHeight="1">
      <c r="A66" s="47">
        <v>46</v>
      </c>
      <c r="B66" s="10"/>
      <c r="C66" s="20">
        <f>SUMPRODUCT((足元帳!$K$2:$K$231=B66)*(足元帳!$BB$2:$BB$231=1))</f>
        <v>0</v>
      </c>
      <c r="D66" s="21">
        <f>SUMPRODUCT((足元帳!$K$2:$K$231=B66)*(足元帳!$BB$2:$BB$231=1)*(足元帳!$AZ$2:$AZ$231&lt;=2))</f>
        <v>0</v>
      </c>
      <c r="E66" s="20">
        <f>SUMPRODUCT((足元帳!$K$2:$K$231=B66)*(足元帳!$BB$2:$BB$231=2))</f>
        <v>0</v>
      </c>
      <c r="F66" s="22">
        <f>SUMPRODUCT((足元帳!$K$2:$K$231=B66)*(足元帳!$BB$2:$BB$231=2)*(足元帳!$AZ$2:$AZ$231&lt;=2))</f>
        <v>0</v>
      </c>
      <c r="G66" s="20">
        <f>SUMPRODUCT((足元帳!$K$2:$K$231=B66)*(足元帳!$BB$2:$BB$231=3))</f>
        <v>0</v>
      </c>
      <c r="H66" s="22">
        <f>SUMPRODUCT((足元帳!$K$2:$K$231=B66)*(足元帳!$BB$2:$BB$231=3)*(足元帳!$AZ$2:$AZ$231&lt;=2))</f>
        <v>0</v>
      </c>
      <c r="I66" s="20">
        <f>SUMPRODUCT((足元帳!$K$2:$K$231=B66)*(足元帳!$BB$2:$BB$231=4))</f>
        <v>0</v>
      </c>
      <c r="J66" s="22">
        <f>SUMPRODUCT((足元帳!$K$2:$K$231=B66)*(足元帳!$BB$2:$BB$231=4)*(足元帳!$AZ$2:$AZ$231&lt;=2))</f>
        <v>0</v>
      </c>
      <c r="K66" s="20">
        <f>SUMPRODUCT((足元帳!$K$2:$K$231=B66)*(足元帳!$BB$2:$BB$231=5))</f>
        <v>0</v>
      </c>
      <c r="L66" s="22">
        <f>SUMPRODUCT((足元帳!$K$2:$K$231=B66)*(足元帳!$BB$2:$BB$231=5)*(足元帳!$AZ$2:$AZ$231&lt;=2))</f>
        <v>0</v>
      </c>
      <c r="M66" s="20">
        <f>SUMPRODUCT((足元帳!$K$2:$K$231=B66)*(足元帳!$BB$2:$BB$231=6))</f>
        <v>0</v>
      </c>
      <c r="N66" s="20">
        <f>SUMPRODUCT((足元帳!$K$2:$K$231=B66)*(足元帳!$BB$2:$BB$231=6)*(足元帳!$AZ$2:$AZ$231&lt;=2))</f>
        <v>0</v>
      </c>
      <c r="O66" s="20"/>
      <c r="P66" s="20">
        <f>SUMPRODUCT((足元帳!$K$2:$K$231=B66)*(足元帳!$AS$2:$AS$231=足元帳!$AS$1)*(足元帳!$BB$2:$BB$231=1)*500)+SUMPRODUCT((足元帳!$K$2:$K$231=B66)*(足元帳!$AS$2:$AS$231=足元帳!$AS$1)*(足元帳!$BB$2:$BB$231=2)*500)+SUMPRODUCT((足元帳!$K$2:$K$231=B66)*(足元帳!$AS$2:$AS$231=足元帳!$AS$1)*(足元帳!$BB$2:$BB$231=3)*500)+SUMPRODUCT((足元帳!$K$2:$K$231=B66)*(足元帳!$AS$2:$AS$231=足元帳!$AS$1)*(足元帳!$BB$2:$BB$231=4)*1000)+SUMPRODUCT((足元帳!$K$2:$K$231=B66)*(足元帳!$AS$2:$AS$231=足元帳!$AS$1)*(足元帳!$BB$2:$BB$231=5)*1000)+SUMPRODUCT((足元帳!$K$2:$K$231=B66)*(足元帳!$AS$2:$AS$231=足元帳!$AS$1)*(足元帳!$BB$2:$BB$231=6)*300)</f>
        <v>0</v>
      </c>
      <c r="Q66" s="20">
        <f>SUMPRODUCT((足元帳!$K$2:$K$231=B66)*(足元帳!$BQ$2:$BV$231=Q$20))</f>
        <v>0</v>
      </c>
      <c r="R66" s="20">
        <f>SUMPRODUCT((足元帳!$K$2:$K$231=B66)*(足元帳!$BQ$2:$BV$231=R$20))</f>
        <v>0</v>
      </c>
      <c r="S66" s="20">
        <f>SUMPRODUCT((足元帳!$K$2:$K$231=B66)*(足元帳!$BQ$2:$BV$231=S$20))</f>
        <v>0</v>
      </c>
      <c r="T66" s="20">
        <f>SUMPRODUCT((足元帳!$K$2:$K$231=B66)*(足元帳!$BQ$2:$BV$231=T$20))</f>
        <v>0</v>
      </c>
      <c r="U66" s="20">
        <f>SUMPRODUCT((足元帳!$K$2:$K$231=B66)*(足元帳!$BK$2:$BK$231=3000)*3000)+SUMPRODUCT((足元帳!$K$2:$K$231=B66)*(足元帳!$BK$2:$BK$231=4000)*4000)+SUMPRODUCT((足元帳!$K$2:$K$231=B66)*(足元帳!$BK$2:$BK$231=5000)*5000)+SUMPRODUCT((足元帳!$K$2:$K$231=B66)*(足元帳!$BK$2:$BK$231=6000)*6000)</f>
        <v>0</v>
      </c>
      <c r="V66" s="20"/>
      <c r="W66" s="256"/>
      <c r="X66" s="131">
        <f t="shared" si="17"/>
        <v>0</v>
      </c>
      <c r="Y66" s="131">
        <f t="shared" si="18"/>
        <v>0</v>
      </c>
      <c r="Z66" s="132">
        <f>C66*C$11+E66*E$11+G66*G$11+I66*I$11+K66*K$11+M66*M$11+X66+Y66
+IF(管理シート!$BQ$4 &lt;&gt; "ON",0,SUMPRODUCT((足元帳!$K$2:$K$231=B66)*(足元帳!$BB$2:$BB$231=4)*(足元帳!$AZ$2:$AZ$231&gt;=3)*(足元帳!$AP$2:$AP$231&lt;&gt;""))*管理シート!$BP$4)+
IF(管理シート!$BQ$5 &lt;&gt; "ON",0,SUMPRODUCT((足元帳!$K$2:$K$231=B66)*(足元帳!$BB$2:$BB$231=5)*(足元帳!$AZ$2:$AZ$231&gt;=3)*(足元帳!$AP$2:$AP$231&lt;&gt;""))*管理シート!$BP$5)</f>
        <v>0</v>
      </c>
      <c r="AA66" s="131">
        <f t="shared" si="19"/>
        <v>0</v>
      </c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4">
        <f t="shared" si="20"/>
        <v>0</v>
      </c>
      <c r="AZ66" s="4"/>
      <c r="BA66" s="5"/>
      <c r="BB66" s="6" t="str">
        <f t="shared" si="21"/>
        <v/>
      </c>
      <c r="BC66" s="59" t="s">
        <v>37</v>
      </c>
      <c r="BD66" s="467">
        <f>SUM(BD59:BG65)</f>
        <v>0</v>
      </c>
      <c r="BE66" s="467"/>
      <c r="BF66" s="16"/>
      <c r="BG66" s="450" t="s">
        <v>115</v>
      </c>
      <c r="BH66" s="451"/>
      <c r="BI66" s="452"/>
      <c r="BJ66" s="453">
        <f>SUM(BJ59:BK65)</f>
        <v>0</v>
      </c>
      <c r="BK66" s="454"/>
      <c r="BW66" s="28"/>
      <c r="BX66" s="28"/>
      <c r="BY66" s="28"/>
    </row>
    <row r="67" spans="1:77" ht="33.75" customHeight="1" thickBot="1">
      <c r="A67" s="47">
        <v>47</v>
      </c>
      <c r="B67" s="10"/>
      <c r="C67" s="20">
        <f>SUMPRODUCT((足元帳!$K$2:$K$231=B67)*(足元帳!$BB$2:$BB$231=1))</f>
        <v>0</v>
      </c>
      <c r="D67" s="21">
        <f>SUMPRODUCT((足元帳!$K$2:$K$231=B67)*(足元帳!$BB$2:$BB$231=1)*(足元帳!$AZ$2:$AZ$231&lt;=2))</f>
        <v>0</v>
      </c>
      <c r="E67" s="20">
        <f>SUMPRODUCT((足元帳!$K$2:$K$231=B67)*(足元帳!$BB$2:$BB$231=2))</f>
        <v>0</v>
      </c>
      <c r="F67" s="22">
        <f>SUMPRODUCT((足元帳!$K$2:$K$231=B67)*(足元帳!$BB$2:$BB$231=2)*(足元帳!$AZ$2:$AZ$231&lt;=2))</f>
        <v>0</v>
      </c>
      <c r="G67" s="20">
        <f>SUMPRODUCT((足元帳!$K$2:$K$231=B67)*(足元帳!$BB$2:$BB$231=3))</f>
        <v>0</v>
      </c>
      <c r="H67" s="22">
        <f>SUMPRODUCT((足元帳!$K$2:$K$231=B67)*(足元帳!$BB$2:$BB$231=3)*(足元帳!$AZ$2:$AZ$231&lt;=2))</f>
        <v>0</v>
      </c>
      <c r="I67" s="20">
        <f>SUMPRODUCT((足元帳!$K$2:$K$231=B67)*(足元帳!$BB$2:$BB$231=4))</f>
        <v>0</v>
      </c>
      <c r="J67" s="22">
        <f>SUMPRODUCT((足元帳!$K$2:$K$231=B67)*(足元帳!$BB$2:$BB$231=4)*(足元帳!$AZ$2:$AZ$231&lt;=2))</f>
        <v>0</v>
      </c>
      <c r="K67" s="20">
        <f>SUMPRODUCT((足元帳!$K$2:$K$231=B67)*(足元帳!$BB$2:$BB$231=5))</f>
        <v>0</v>
      </c>
      <c r="L67" s="22">
        <f>SUMPRODUCT((足元帳!$K$2:$K$231=B67)*(足元帳!$BB$2:$BB$231=5)*(足元帳!$AZ$2:$AZ$231&lt;=2))</f>
        <v>0</v>
      </c>
      <c r="M67" s="20">
        <f>SUMPRODUCT((足元帳!$K$2:$K$231=B67)*(足元帳!$BB$2:$BB$231=6))</f>
        <v>0</v>
      </c>
      <c r="N67" s="20">
        <f>SUMPRODUCT((足元帳!$K$2:$K$231=B67)*(足元帳!$BB$2:$BB$231=6)*(足元帳!$AZ$2:$AZ$231&lt;=2))</f>
        <v>0</v>
      </c>
      <c r="O67" s="20"/>
      <c r="P67" s="20">
        <f>SUMPRODUCT((足元帳!$K$2:$K$231=B67)*(足元帳!$AS$2:$AS$231=足元帳!$AS$1)*(足元帳!$BB$2:$BB$231=1)*500)+SUMPRODUCT((足元帳!$K$2:$K$231=B67)*(足元帳!$AS$2:$AS$231=足元帳!$AS$1)*(足元帳!$BB$2:$BB$231=2)*500)+SUMPRODUCT((足元帳!$K$2:$K$231=B67)*(足元帳!$AS$2:$AS$231=足元帳!$AS$1)*(足元帳!$BB$2:$BB$231=3)*500)+SUMPRODUCT((足元帳!$K$2:$K$231=B67)*(足元帳!$AS$2:$AS$231=足元帳!$AS$1)*(足元帳!$BB$2:$BB$231=4)*1000)+SUMPRODUCT((足元帳!$K$2:$K$231=B67)*(足元帳!$AS$2:$AS$231=足元帳!$AS$1)*(足元帳!$BB$2:$BB$231=5)*1000)+SUMPRODUCT((足元帳!$K$2:$K$231=B67)*(足元帳!$AS$2:$AS$231=足元帳!$AS$1)*(足元帳!$BB$2:$BB$231=6)*300)</f>
        <v>0</v>
      </c>
      <c r="Q67" s="20">
        <f>SUMPRODUCT((足元帳!$K$2:$K$231=B67)*(足元帳!$BQ$2:$BV$231=Q$20))</f>
        <v>0</v>
      </c>
      <c r="R67" s="20">
        <f>SUMPRODUCT((足元帳!$K$2:$K$231=B67)*(足元帳!$BQ$2:$BV$231=R$20))</f>
        <v>0</v>
      </c>
      <c r="S67" s="20">
        <f>SUMPRODUCT((足元帳!$K$2:$K$231=B67)*(足元帳!$BQ$2:$BV$231=S$20))</f>
        <v>0</v>
      </c>
      <c r="T67" s="20">
        <f>SUMPRODUCT((足元帳!$K$2:$K$231=B67)*(足元帳!$BQ$2:$BV$231=T$20))</f>
        <v>0</v>
      </c>
      <c r="U67" s="20">
        <f>SUMPRODUCT((足元帳!$K$2:$K$231=B67)*(足元帳!$BK$2:$BK$231=3000)*3000)+SUMPRODUCT((足元帳!$K$2:$K$231=B67)*(足元帳!$BK$2:$BK$231=4000)*4000)+SUMPRODUCT((足元帳!$K$2:$K$231=B67)*(足元帳!$BK$2:$BK$231=5000)*5000)+SUMPRODUCT((足元帳!$K$2:$K$231=B67)*(足元帳!$BK$2:$BK$231=6000)*6000)</f>
        <v>0</v>
      </c>
      <c r="V67" s="20"/>
      <c r="W67" s="256"/>
      <c r="X67" s="131">
        <f t="shared" si="17"/>
        <v>0</v>
      </c>
      <c r="Y67" s="131">
        <f t="shared" si="18"/>
        <v>0</v>
      </c>
      <c r="Z67" s="132">
        <f>C67*C$11+E67*E$11+G67*G$11+I67*I$11+K67*K$11+M67*M$11+X67+Y67
+IF(管理シート!$BQ$4 &lt;&gt; "ON",0,SUMPRODUCT((足元帳!$K$2:$K$231=B67)*(足元帳!$BB$2:$BB$231=4)*(足元帳!$AZ$2:$AZ$231&gt;=3)*(足元帳!$AP$2:$AP$231&lt;&gt;""))*管理シート!$BP$4)+
IF(管理シート!$BQ$5 &lt;&gt; "ON",0,SUMPRODUCT((足元帳!$K$2:$K$231=B67)*(足元帳!$BB$2:$BB$231=5)*(足元帳!$AZ$2:$AZ$231&gt;=3)*(足元帳!$AP$2:$AP$231&lt;&gt;""))*管理シート!$BP$5)</f>
        <v>0</v>
      </c>
      <c r="AA67" s="131">
        <f t="shared" si="19"/>
        <v>0</v>
      </c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4">
        <f t="shared" si="20"/>
        <v>0</v>
      </c>
      <c r="AZ67" s="4"/>
      <c r="BA67" s="4"/>
      <c r="BB67" s="6" t="str">
        <f t="shared" si="21"/>
        <v/>
      </c>
      <c r="BW67" s="28"/>
      <c r="BX67" s="28"/>
      <c r="BY67" s="28"/>
    </row>
    <row r="68" spans="1:77" ht="33.75" customHeight="1" thickBot="1">
      <c r="A68" s="47">
        <v>48</v>
      </c>
      <c r="B68" s="10"/>
      <c r="C68" s="20">
        <f>SUMPRODUCT((足元帳!$K$2:$K$231=B68)*(足元帳!$BB$2:$BB$231=1))</f>
        <v>0</v>
      </c>
      <c r="D68" s="21">
        <f>SUMPRODUCT((足元帳!$K$2:$K$231=B68)*(足元帳!$BB$2:$BB$231=1)*(足元帳!$AZ$2:$AZ$231&lt;=2))</f>
        <v>0</v>
      </c>
      <c r="E68" s="20">
        <f>SUMPRODUCT((足元帳!$K$2:$K$231=B68)*(足元帳!$BB$2:$BB$231=2))</f>
        <v>0</v>
      </c>
      <c r="F68" s="22">
        <f>SUMPRODUCT((足元帳!$K$2:$K$231=B68)*(足元帳!$BB$2:$BB$231=2)*(足元帳!$AZ$2:$AZ$231&lt;=2))</f>
        <v>0</v>
      </c>
      <c r="G68" s="20">
        <f>SUMPRODUCT((足元帳!$K$2:$K$231=B68)*(足元帳!$BB$2:$BB$231=3))</f>
        <v>0</v>
      </c>
      <c r="H68" s="22">
        <f>SUMPRODUCT((足元帳!$K$2:$K$231=B68)*(足元帳!$BB$2:$BB$231=3)*(足元帳!$AZ$2:$AZ$231&lt;=2))</f>
        <v>0</v>
      </c>
      <c r="I68" s="20">
        <f>SUMPRODUCT((足元帳!$K$2:$K$231=B68)*(足元帳!$BB$2:$BB$231=4))</f>
        <v>0</v>
      </c>
      <c r="J68" s="22">
        <f>SUMPRODUCT((足元帳!$K$2:$K$231=B68)*(足元帳!$BB$2:$BB$231=4)*(足元帳!$AZ$2:$AZ$231&lt;=2))</f>
        <v>0</v>
      </c>
      <c r="K68" s="20">
        <f>SUMPRODUCT((足元帳!$K$2:$K$231=B68)*(足元帳!$BB$2:$BB$231=5))</f>
        <v>0</v>
      </c>
      <c r="L68" s="22">
        <f>SUMPRODUCT((足元帳!$K$2:$K$231=B68)*(足元帳!$BB$2:$BB$231=5)*(足元帳!$AZ$2:$AZ$231&lt;=2))</f>
        <v>0</v>
      </c>
      <c r="M68" s="20">
        <f>SUMPRODUCT((足元帳!$K$2:$K$231=B68)*(足元帳!$BB$2:$BB$231=6))</f>
        <v>0</v>
      </c>
      <c r="N68" s="20">
        <f>SUMPRODUCT((足元帳!$K$2:$K$231=B68)*(足元帳!$BB$2:$BB$231=6)*(足元帳!$AZ$2:$AZ$231&lt;=2))</f>
        <v>0</v>
      </c>
      <c r="O68" s="20"/>
      <c r="P68" s="20">
        <f>SUMPRODUCT((足元帳!$K$2:$K$231=B68)*(足元帳!$AS$2:$AS$231=足元帳!$AS$1)*(足元帳!$BB$2:$BB$231=1)*500)+SUMPRODUCT((足元帳!$K$2:$K$231=B68)*(足元帳!$AS$2:$AS$231=足元帳!$AS$1)*(足元帳!$BB$2:$BB$231=2)*500)+SUMPRODUCT((足元帳!$K$2:$K$231=B68)*(足元帳!$AS$2:$AS$231=足元帳!$AS$1)*(足元帳!$BB$2:$BB$231=3)*500)+SUMPRODUCT((足元帳!$K$2:$K$231=B68)*(足元帳!$AS$2:$AS$231=足元帳!$AS$1)*(足元帳!$BB$2:$BB$231=4)*1000)+SUMPRODUCT((足元帳!$K$2:$K$231=B68)*(足元帳!$AS$2:$AS$231=足元帳!$AS$1)*(足元帳!$BB$2:$BB$231=5)*1000)+SUMPRODUCT((足元帳!$K$2:$K$231=B68)*(足元帳!$AS$2:$AS$231=足元帳!$AS$1)*(足元帳!$BB$2:$BB$231=6)*300)</f>
        <v>0</v>
      </c>
      <c r="Q68" s="20">
        <f>SUMPRODUCT((足元帳!$K$2:$K$231=B68)*(足元帳!$BQ$2:$BV$231=Q$20))</f>
        <v>0</v>
      </c>
      <c r="R68" s="20">
        <f>SUMPRODUCT((足元帳!$K$2:$K$231=B68)*(足元帳!$BQ$2:$BV$231=R$20))</f>
        <v>0</v>
      </c>
      <c r="S68" s="20">
        <f>SUMPRODUCT((足元帳!$K$2:$K$231=B68)*(足元帳!$BQ$2:$BV$231=S$20))</f>
        <v>0</v>
      </c>
      <c r="T68" s="20">
        <f>SUMPRODUCT((足元帳!$K$2:$K$231=B68)*(足元帳!$BQ$2:$BV$231=T$20))</f>
        <v>0</v>
      </c>
      <c r="U68" s="20">
        <f>SUMPRODUCT((足元帳!$K$2:$K$231=B68)*(足元帳!$BK$2:$BK$231=3000)*3000)+SUMPRODUCT((足元帳!$K$2:$K$231=B68)*(足元帳!$BK$2:$BK$231=4000)*4000)+SUMPRODUCT((足元帳!$K$2:$K$231=B68)*(足元帳!$BK$2:$BK$231=5000)*5000)+SUMPRODUCT((足元帳!$K$2:$K$231=B68)*(足元帳!$BK$2:$BK$231=6000)*6000)</f>
        <v>0</v>
      </c>
      <c r="V68" s="20"/>
      <c r="W68" s="256"/>
      <c r="X68" s="131">
        <f t="shared" si="17"/>
        <v>0</v>
      </c>
      <c r="Y68" s="131">
        <f t="shared" si="18"/>
        <v>0</v>
      </c>
      <c r="Z68" s="132">
        <f>C68*C$11+E68*E$11+G68*G$11+I68*I$11+K68*K$11+M68*M$11+X68+Y68
+IF(管理シート!$BQ$4 &lt;&gt; "ON",0,SUMPRODUCT((足元帳!$K$2:$K$231=B68)*(足元帳!$BB$2:$BB$231=4)*(足元帳!$AZ$2:$AZ$231&gt;=3)*(足元帳!$AP$2:$AP$231&lt;&gt;""))*管理シート!$BP$4)+
IF(管理シート!$BQ$5 &lt;&gt; "ON",0,SUMPRODUCT((足元帳!$K$2:$K$231=B68)*(足元帳!$BB$2:$BB$231=5)*(足元帳!$AZ$2:$AZ$231&gt;=3)*(足元帳!$AP$2:$AP$231&lt;&gt;""))*管理シート!$BP$5)</f>
        <v>0</v>
      </c>
      <c r="AA68" s="131">
        <f t="shared" si="19"/>
        <v>0</v>
      </c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4">
        <f t="shared" si="20"/>
        <v>0</v>
      </c>
      <c r="AZ68" s="4"/>
      <c r="BA68" s="4"/>
      <c r="BB68" s="6" t="str">
        <f t="shared" si="21"/>
        <v/>
      </c>
      <c r="BC68" s="261">
        <v>10000</v>
      </c>
      <c r="BD68" s="262">
        <v>0</v>
      </c>
      <c r="BE68" s="487">
        <f>BC68*BD68</f>
        <v>0</v>
      </c>
      <c r="BF68" s="488"/>
      <c r="BG68" s="67"/>
      <c r="BH68" s="67"/>
      <c r="BW68" s="28"/>
      <c r="BX68" s="28"/>
      <c r="BY68" s="28"/>
    </row>
    <row r="69" spans="1:77" ht="33.75" customHeight="1">
      <c r="A69" s="47">
        <v>49</v>
      </c>
      <c r="B69" s="10"/>
      <c r="C69" s="20">
        <f>SUMPRODUCT((足元帳!$K$2:$K$231=B69)*(足元帳!$BB$2:$BB$231=1))</f>
        <v>0</v>
      </c>
      <c r="D69" s="21">
        <f>SUMPRODUCT((足元帳!$K$2:$K$231=B69)*(足元帳!$BB$2:$BB$231=1)*(足元帳!$AZ$2:$AZ$231&lt;=2))</f>
        <v>0</v>
      </c>
      <c r="E69" s="20">
        <f>SUMPRODUCT((足元帳!$K$2:$K$231=B69)*(足元帳!$BB$2:$BB$231=2))</f>
        <v>0</v>
      </c>
      <c r="F69" s="22">
        <f>SUMPRODUCT((足元帳!$K$2:$K$231=B69)*(足元帳!$BB$2:$BB$231=2)*(足元帳!$AZ$2:$AZ$231&lt;=2))</f>
        <v>0</v>
      </c>
      <c r="G69" s="20">
        <f>SUMPRODUCT((足元帳!$K$2:$K$231=B69)*(足元帳!$BB$2:$BB$231=3))</f>
        <v>0</v>
      </c>
      <c r="H69" s="22">
        <f>SUMPRODUCT((足元帳!$K$2:$K$231=B69)*(足元帳!$BB$2:$BB$231=3)*(足元帳!$AZ$2:$AZ$231&lt;=2))</f>
        <v>0</v>
      </c>
      <c r="I69" s="20">
        <f>SUMPRODUCT((足元帳!$K$2:$K$231=B69)*(足元帳!$BB$2:$BB$231=4))</f>
        <v>0</v>
      </c>
      <c r="J69" s="22">
        <f>SUMPRODUCT((足元帳!$K$2:$K$231=B69)*(足元帳!$BB$2:$BB$231=4)*(足元帳!$AZ$2:$AZ$231&lt;=2))</f>
        <v>0</v>
      </c>
      <c r="K69" s="20">
        <f>SUMPRODUCT((足元帳!$K$2:$K$231=B69)*(足元帳!$BB$2:$BB$231=5))</f>
        <v>0</v>
      </c>
      <c r="L69" s="22">
        <f>SUMPRODUCT((足元帳!$K$2:$K$231=B69)*(足元帳!$BB$2:$BB$231=5)*(足元帳!$AZ$2:$AZ$231&lt;=2))</f>
        <v>0</v>
      </c>
      <c r="M69" s="20">
        <f>SUMPRODUCT((足元帳!$K$2:$K$231=B69)*(足元帳!$BB$2:$BB$231=6))</f>
        <v>0</v>
      </c>
      <c r="N69" s="20">
        <f>SUMPRODUCT((足元帳!$K$2:$K$231=B69)*(足元帳!$BB$2:$BB$231=6)*(足元帳!$AZ$2:$AZ$231&lt;=2))</f>
        <v>0</v>
      </c>
      <c r="O69" s="20"/>
      <c r="P69" s="20">
        <f>SUMPRODUCT((足元帳!$K$2:$K$231=B69)*(足元帳!$AS$2:$AS$231=足元帳!$AS$1)*(足元帳!$BB$2:$BB$231=1)*500)+SUMPRODUCT((足元帳!$K$2:$K$231=B69)*(足元帳!$AS$2:$AS$231=足元帳!$AS$1)*(足元帳!$BB$2:$BB$231=2)*500)+SUMPRODUCT((足元帳!$K$2:$K$231=B69)*(足元帳!$AS$2:$AS$231=足元帳!$AS$1)*(足元帳!$BB$2:$BB$231=3)*500)+SUMPRODUCT((足元帳!$K$2:$K$231=B69)*(足元帳!$AS$2:$AS$231=足元帳!$AS$1)*(足元帳!$BB$2:$BB$231=4)*1000)+SUMPRODUCT((足元帳!$K$2:$K$231=B69)*(足元帳!$AS$2:$AS$231=足元帳!$AS$1)*(足元帳!$BB$2:$BB$231=5)*1000)+SUMPRODUCT((足元帳!$K$2:$K$231=B69)*(足元帳!$AS$2:$AS$231=足元帳!$AS$1)*(足元帳!$BB$2:$BB$231=6)*300)</f>
        <v>0</v>
      </c>
      <c r="Q69" s="20">
        <f>SUMPRODUCT((足元帳!$K$2:$K$231=B69)*(足元帳!$BQ$2:$BV$231=Q$20))</f>
        <v>0</v>
      </c>
      <c r="R69" s="20">
        <f>SUMPRODUCT((足元帳!$K$2:$K$231=B69)*(足元帳!$BQ$2:$BV$231=R$20))</f>
        <v>0</v>
      </c>
      <c r="S69" s="20">
        <f>SUMPRODUCT((足元帳!$K$2:$K$231=B69)*(足元帳!$BQ$2:$BV$231=S$20))</f>
        <v>0</v>
      </c>
      <c r="T69" s="20">
        <f>SUMPRODUCT((足元帳!$K$2:$K$231=B69)*(足元帳!$BQ$2:$BV$231=T$20))</f>
        <v>0</v>
      </c>
      <c r="U69" s="20">
        <f>SUMPRODUCT((足元帳!$K$2:$K$231=B69)*(足元帳!$BK$2:$BK$231=3000)*3000)+SUMPRODUCT((足元帳!$K$2:$K$231=B69)*(足元帳!$BK$2:$BK$231=4000)*4000)+SUMPRODUCT((足元帳!$K$2:$K$231=B69)*(足元帳!$BK$2:$BK$231=5000)*5000)+SUMPRODUCT((足元帳!$K$2:$K$231=B69)*(足元帳!$BK$2:$BK$231=6000)*6000)</f>
        <v>0</v>
      </c>
      <c r="V69" s="20"/>
      <c r="W69" s="256"/>
      <c r="X69" s="131">
        <f t="shared" si="17"/>
        <v>0</v>
      </c>
      <c r="Y69" s="131">
        <f t="shared" si="18"/>
        <v>0</v>
      </c>
      <c r="Z69" s="132">
        <f>C69*C$11+E69*E$11+G69*G$11+I69*I$11+K69*K$11+M69*M$11+X69+Y69
+IF(管理シート!$BQ$4 &lt;&gt; "ON",0,SUMPRODUCT((足元帳!$K$2:$K$231=B69)*(足元帳!$BB$2:$BB$231=4)*(足元帳!$AZ$2:$AZ$231&gt;=3)*(足元帳!$AP$2:$AP$231&lt;&gt;""))*管理シート!$BP$4)+
IF(管理シート!$BQ$5 &lt;&gt; "ON",0,SUMPRODUCT((足元帳!$K$2:$K$231=B69)*(足元帳!$BB$2:$BB$231=5)*(足元帳!$AZ$2:$AZ$231&gt;=3)*(足元帳!$AP$2:$AP$231&lt;&gt;""))*管理シート!$BP$5)</f>
        <v>0</v>
      </c>
      <c r="AA69" s="131">
        <f t="shared" si="19"/>
        <v>0</v>
      </c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4">
        <f t="shared" si="20"/>
        <v>0</v>
      </c>
      <c r="AZ69" s="4"/>
      <c r="BA69" s="4"/>
      <c r="BB69" s="6" t="str">
        <f t="shared" si="21"/>
        <v/>
      </c>
      <c r="BC69" s="263">
        <v>5000</v>
      </c>
      <c r="BD69" s="8">
        <v>0</v>
      </c>
      <c r="BE69" s="470">
        <f t="shared" ref="BE69:BE74" si="22">BC69*BD69</f>
        <v>0</v>
      </c>
      <c r="BF69" s="471"/>
      <c r="BG69" s="67"/>
      <c r="BH69" s="493" t="s">
        <v>378</v>
      </c>
      <c r="BI69" s="494"/>
      <c r="BJ69" s="495"/>
      <c r="BK69" s="496"/>
      <c r="BW69" s="28"/>
      <c r="BX69" s="28"/>
      <c r="BY69" s="28"/>
    </row>
    <row r="70" spans="1:77" ht="33.75" customHeight="1">
      <c r="A70" s="47">
        <v>50</v>
      </c>
      <c r="B70" s="10"/>
      <c r="C70" s="20">
        <f>SUMPRODUCT((足元帳!$K$2:$K$231=B70)*(足元帳!$BB$2:$BB$231=1))</f>
        <v>0</v>
      </c>
      <c r="D70" s="21">
        <f>SUMPRODUCT((足元帳!$K$2:$K$231=B70)*(足元帳!$BB$2:$BB$231=1)*(足元帳!$AZ$2:$AZ$231&lt;=2))</f>
        <v>0</v>
      </c>
      <c r="E70" s="20">
        <f>SUMPRODUCT((足元帳!$K$2:$K$231=B70)*(足元帳!$BB$2:$BB$231=2))</f>
        <v>0</v>
      </c>
      <c r="F70" s="22">
        <f>SUMPRODUCT((足元帳!$K$2:$K$231=B70)*(足元帳!$BB$2:$BB$231=2)*(足元帳!$AZ$2:$AZ$231&lt;=2))</f>
        <v>0</v>
      </c>
      <c r="G70" s="20">
        <f>SUMPRODUCT((足元帳!$K$2:$K$231=B70)*(足元帳!$BB$2:$BB$231=3))</f>
        <v>0</v>
      </c>
      <c r="H70" s="22">
        <f>SUMPRODUCT((足元帳!$K$2:$K$231=B70)*(足元帳!$BB$2:$BB$231=3)*(足元帳!$AZ$2:$AZ$231&lt;=2))</f>
        <v>0</v>
      </c>
      <c r="I70" s="20">
        <f>SUMPRODUCT((足元帳!$K$2:$K$231=B70)*(足元帳!$BB$2:$BB$231=4))</f>
        <v>0</v>
      </c>
      <c r="J70" s="22">
        <f>SUMPRODUCT((足元帳!$K$2:$K$231=B70)*(足元帳!$BB$2:$BB$231=4)*(足元帳!$AZ$2:$AZ$231&lt;=2))</f>
        <v>0</v>
      </c>
      <c r="K70" s="20">
        <f>SUMPRODUCT((足元帳!$K$2:$K$231=B70)*(足元帳!$BB$2:$BB$231=5))</f>
        <v>0</v>
      </c>
      <c r="L70" s="22">
        <f>SUMPRODUCT((足元帳!$K$2:$K$231=B70)*(足元帳!$BB$2:$BB$231=5)*(足元帳!$AZ$2:$AZ$231&lt;=2))</f>
        <v>0</v>
      </c>
      <c r="M70" s="20">
        <f>SUMPRODUCT((足元帳!$K$2:$K$231=B70)*(足元帳!$BB$2:$BB$231=6))</f>
        <v>0</v>
      </c>
      <c r="N70" s="20">
        <f>SUMPRODUCT((足元帳!$K$2:$K$231=B70)*(足元帳!$BB$2:$BB$231=6)*(足元帳!$AZ$2:$AZ$231&lt;=2))</f>
        <v>0</v>
      </c>
      <c r="O70" s="20"/>
      <c r="P70" s="20">
        <f>SUMPRODUCT((足元帳!$K$2:$K$231=B70)*(足元帳!$AS$2:$AS$231=足元帳!$AS$1)*(足元帳!$BB$2:$BB$231=1)*500)+SUMPRODUCT((足元帳!$K$2:$K$231=B70)*(足元帳!$AS$2:$AS$231=足元帳!$AS$1)*(足元帳!$BB$2:$BB$231=2)*500)+SUMPRODUCT((足元帳!$K$2:$K$231=B70)*(足元帳!$AS$2:$AS$231=足元帳!$AS$1)*(足元帳!$BB$2:$BB$231=3)*500)+SUMPRODUCT((足元帳!$K$2:$K$231=B70)*(足元帳!$AS$2:$AS$231=足元帳!$AS$1)*(足元帳!$BB$2:$BB$231=4)*1000)+SUMPRODUCT((足元帳!$K$2:$K$231=B70)*(足元帳!$AS$2:$AS$231=足元帳!$AS$1)*(足元帳!$BB$2:$BB$231=5)*1000)+SUMPRODUCT((足元帳!$K$2:$K$231=B70)*(足元帳!$AS$2:$AS$231=足元帳!$AS$1)*(足元帳!$BB$2:$BB$231=6)*300)</f>
        <v>0</v>
      </c>
      <c r="Q70" s="20">
        <f>SUMPRODUCT((足元帳!$K$2:$K$231=B70)*(足元帳!$BQ$2:$BV$231=Q$20))</f>
        <v>0</v>
      </c>
      <c r="R70" s="20">
        <f>SUMPRODUCT((足元帳!$K$2:$K$231=B70)*(足元帳!$BQ$2:$BV$231=R$20))</f>
        <v>0</v>
      </c>
      <c r="S70" s="20">
        <f>SUMPRODUCT((足元帳!$K$2:$K$231=B70)*(足元帳!$BQ$2:$BV$231=S$20))</f>
        <v>0</v>
      </c>
      <c r="T70" s="20">
        <f>SUMPRODUCT((足元帳!$K$2:$K$231=B70)*(足元帳!$BQ$2:$BV$231=T$20))</f>
        <v>0</v>
      </c>
      <c r="U70" s="20">
        <f>SUMPRODUCT((足元帳!$K$2:$K$231=B70)*(足元帳!$BK$2:$BK$231=3000)*3000)+SUMPRODUCT((足元帳!$K$2:$K$231=B70)*(足元帳!$BK$2:$BK$231=4000)*4000)+SUMPRODUCT((足元帳!$K$2:$K$231=B70)*(足元帳!$BK$2:$BK$231=5000)*5000)+SUMPRODUCT((足元帳!$K$2:$K$231=B70)*(足元帳!$BK$2:$BK$231=6000)*6000)</f>
        <v>0</v>
      </c>
      <c r="V70" s="20"/>
      <c r="W70" s="256"/>
      <c r="X70" s="131">
        <f t="shared" si="17"/>
        <v>0</v>
      </c>
      <c r="Y70" s="131">
        <f t="shared" si="18"/>
        <v>0</v>
      </c>
      <c r="Z70" s="132">
        <f>C70*C$11+E70*E$11+G70*G$11+I70*I$11+K70*K$11+M70*M$11+X70+Y70
+IF(管理シート!$BQ$4 &lt;&gt; "ON",0,SUMPRODUCT((足元帳!$K$2:$K$231=B70)*(足元帳!$BB$2:$BB$231=4)*(足元帳!$AZ$2:$AZ$231&gt;=3)*(足元帳!$AP$2:$AP$231&lt;&gt;""))*管理シート!$BP$4)+
IF(管理シート!$BQ$5 &lt;&gt; "ON",0,SUMPRODUCT((足元帳!$K$2:$K$231=B70)*(足元帳!$BB$2:$BB$231=5)*(足元帳!$AZ$2:$AZ$231&gt;=3)*(足元帳!$AP$2:$AP$231&lt;&gt;""))*管理シート!$BP$5)</f>
        <v>0</v>
      </c>
      <c r="AA70" s="131">
        <f t="shared" si="19"/>
        <v>0</v>
      </c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4">
        <f t="shared" si="20"/>
        <v>0</v>
      </c>
      <c r="AZ70" s="4"/>
      <c r="BA70" s="4"/>
      <c r="BB70" s="6" t="str">
        <f t="shared" si="21"/>
        <v/>
      </c>
      <c r="BC70" s="263">
        <v>1000</v>
      </c>
      <c r="BD70" s="8">
        <v>0</v>
      </c>
      <c r="BE70" s="470">
        <f t="shared" si="22"/>
        <v>0</v>
      </c>
      <c r="BF70" s="471"/>
      <c r="BG70" s="67"/>
      <c r="BH70" s="491" t="s">
        <v>379</v>
      </c>
      <c r="BI70" s="492"/>
      <c r="BJ70" s="489">
        <f>BD66</f>
        <v>0</v>
      </c>
      <c r="BK70" s="490"/>
      <c r="BW70" s="28"/>
      <c r="BX70" s="28"/>
      <c r="BY70" s="28"/>
    </row>
    <row r="71" spans="1:77" ht="33.75" customHeight="1">
      <c r="A71" s="47">
        <v>51</v>
      </c>
      <c r="B71" s="10"/>
      <c r="C71" s="20">
        <f>SUMPRODUCT((足元帳!$K$2:$K$231=B71)*(足元帳!$BB$2:$BB$231=1))</f>
        <v>0</v>
      </c>
      <c r="D71" s="21">
        <f>SUMPRODUCT((足元帳!$K$2:$K$231=B71)*(足元帳!$BB$2:$BB$231=1)*(足元帳!$AZ$2:$AZ$231&lt;=2))</f>
        <v>0</v>
      </c>
      <c r="E71" s="20">
        <f>SUMPRODUCT((足元帳!$K$2:$K$231=B71)*(足元帳!$BB$2:$BB$231=2))</f>
        <v>0</v>
      </c>
      <c r="F71" s="22">
        <f>SUMPRODUCT((足元帳!$K$2:$K$231=B71)*(足元帳!$BB$2:$BB$231=2)*(足元帳!$AZ$2:$AZ$231&lt;=2))</f>
        <v>0</v>
      </c>
      <c r="G71" s="20">
        <f>SUMPRODUCT((足元帳!$K$2:$K$231=B71)*(足元帳!$BB$2:$BB$231=3))</f>
        <v>0</v>
      </c>
      <c r="H71" s="22">
        <f>SUMPRODUCT((足元帳!$K$2:$K$231=B71)*(足元帳!$BB$2:$BB$231=3)*(足元帳!$AZ$2:$AZ$231&lt;=2))</f>
        <v>0</v>
      </c>
      <c r="I71" s="20">
        <f>SUMPRODUCT((足元帳!$K$2:$K$231=B71)*(足元帳!$BB$2:$BB$231=4))</f>
        <v>0</v>
      </c>
      <c r="J71" s="22">
        <f>SUMPRODUCT((足元帳!$K$2:$K$231=B71)*(足元帳!$BB$2:$BB$231=4)*(足元帳!$AZ$2:$AZ$231&lt;=2))</f>
        <v>0</v>
      </c>
      <c r="K71" s="20">
        <f>SUMPRODUCT((足元帳!$K$2:$K$231=B71)*(足元帳!$BB$2:$BB$231=5))</f>
        <v>0</v>
      </c>
      <c r="L71" s="22">
        <f>SUMPRODUCT((足元帳!$K$2:$K$231=B71)*(足元帳!$BB$2:$BB$231=5)*(足元帳!$AZ$2:$AZ$231&lt;=2))</f>
        <v>0</v>
      </c>
      <c r="M71" s="20">
        <f>SUMPRODUCT((足元帳!$K$2:$K$231=B71)*(足元帳!$BB$2:$BB$231=6))</f>
        <v>0</v>
      </c>
      <c r="N71" s="20">
        <f>SUMPRODUCT((足元帳!$K$2:$K$231=B71)*(足元帳!$BB$2:$BB$231=6)*(足元帳!$AZ$2:$AZ$231&lt;=2))</f>
        <v>0</v>
      </c>
      <c r="O71" s="20"/>
      <c r="P71" s="20">
        <f>SUMPRODUCT((足元帳!$K$2:$K$231=B71)*(足元帳!$AS$2:$AS$231=足元帳!$AS$1)*(足元帳!$BB$2:$BB$231=1)*500)+SUMPRODUCT((足元帳!$K$2:$K$231=B71)*(足元帳!$AS$2:$AS$231=足元帳!$AS$1)*(足元帳!$BB$2:$BB$231=2)*500)+SUMPRODUCT((足元帳!$K$2:$K$231=B71)*(足元帳!$AS$2:$AS$231=足元帳!$AS$1)*(足元帳!$BB$2:$BB$231=3)*500)+SUMPRODUCT((足元帳!$K$2:$K$231=B71)*(足元帳!$AS$2:$AS$231=足元帳!$AS$1)*(足元帳!$BB$2:$BB$231=4)*1000)+SUMPRODUCT((足元帳!$K$2:$K$231=B71)*(足元帳!$AS$2:$AS$231=足元帳!$AS$1)*(足元帳!$BB$2:$BB$231=5)*1000)+SUMPRODUCT((足元帳!$K$2:$K$231=B71)*(足元帳!$AS$2:$AS$231=足元帳!$AS$1)*(足元帳!$BB$2:$BB$231=6)*300)</f>
        <v>0</v>
      </c>
      <c r="Q71" s="20">
        <f>SUMPRODUCT((足元帳!$K$2:$K$231=B71)*(足元帳!$BQ$2:$BV$231=Q$20))</f>
        <v>0</v>
      </c>
      <c r="R71" s="20">
        <f>SUMPRODUCT((足元帳!$K$2:$K$231=B71)*(足元帳!$BQ$2:$BV$231=R$20))</f>
        <v>0</v>
      </c>
      <c r="S71" s="20">
        <f>SUMPRODUCT((足元帳!$K$2:$K$231=B71)*(足元帳!$BQ$2:$BV$231=S$20))</f>
        <v>0</v>
      </c>
      <c r="T71" s="20">
        <f>SUMPRODUCT((足元帳!$K$2:$K$231=B71)*(足元帳!$BQ$2:$BV$231=T$20))</f>
        <v>0</v>
      </c>
      <c r="U71" s="20">
        <f>SUMPRODUCT((足元帳!$K$2:$K$231=B71)*(足元帳!$BK$2:$BK$231=3000)*3000)+SUMPRODUCT((足元帳!$K$2:$K$231=B71)*(足元帳!$BK$2:$BK$231=4000)*4000)+SUMPRODUCT((足元帳!$K$2:$K$231=B71)*(足元帳!$BK$2:$BK$231=5000)*5000)+SUMPRODUCT((足元帳!$K$2:$K$231=B71)*(足元帳!$BK$2:$BK$231=6000)*6000)</f>
        <v>0</v>
      </c>
      <c r="V71" s="20"/>
      <c r="W71" s="256"/>
      <c r="X71" s="131">
        <f t="shared" si="17"/>
        <v>0</v>
      </c>
      <c r="Y71" s="131">
        <f t="shared" si="18"/>
        <v>0</v>
      </c>
      <c r="Z71" s="132">
        <f>C71*C$11+E71*E$11+G71*G$11+I71*I$11+K71*K$11+M71*M$11+X71+Y71
+IF(管理シート!$BQ$4 &lt;&gt; "ON",0,SUMPRODUCT((足元帳!$K$2:$K$231=B71)*(足元帳!$BB$2:$BB$231=4)*(足元帳!$AZ$2:$AZ$231&gt;=3)*(足元帳!$AP$2:$AP$231&lt;&gt;""))*管理シート!$BP$4)+
IF(管理シート!$BQ$5 &lt;&gt; "ON",0,SUMPRODUCT((足元帳!$K$2:$K$231=B71)*(足元帳!$BB$2:$BB$231=5)*(足元帳!$AZ$2:$AZ$231&gt;=3)*(足元帳!$AP$2:$AP$231&lt;&gt;""))*管理シート!$BP$5)</f>
        <v>0</v>
      </c>
      <c r="AA71" s="131">
        <f t="shared" si="19"/>
        <v>0</v>
      </c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4">
        <f t="shared" si="20"/>
        <v>0</v>
      </c>
      <c r="AZ71" s="4"/>
      <c r="BA71" s="4"/>
      <c r="BB71" s="6" t="str">
        <f t="shared" si="21"/>
        <v/>
      </c>
      <c r="BC71" s="263">
        <v>500</v>
      </c>
      <c r="BD71" s="8">
        <v>0</v>
      </c>
      <c r="BE71" s="470">
        <f t="shared" si="22"/>
        <v>0</v>
      </c>
      <c r="BF71" s="471"/>
      <c r="BG71" s="67"/>
      <c r="BH71" s="476" t="s">
        <v>116</v>
      </c>
      <c r="BI71" s="477"/>
      <c r="BJ71" s="478"/>
      <c r="BK71" s="479"/>
      <c r="BW71" s="28"/>
      <c r="BX71" s="28"/>
      <c r="BY71" s="28"/>
    </row>
    <row r="72" spans="1:77" ht="33.75" customHeight="1">
      <c r="A72" s="47">
        <v>52</v>
      </c>
      <c r="B72" s="10"/>
      <c r="C72" s="20">
        <f>SUMPRODUCT((足元帳!$K$2:$K$231=B72)*(足元帳!$BB$2:$BB$231=1))</f>
        <v>0</v>
      </c>
      <c r="D72" s="21">
        <f>SUMPRODUCT((足元帳!$K$2:$K$231=B72)*(足元帳!$BB$2:$BB$231=1)*(足元帳!$AZ$2:$AZ$231&lt;=2))</f>
        <v>0</v>
      </c>
      <c r="E72" s="20">
        <f>SUMPRODUCT((足元帳!$K$2:$K$231=B72)*(足元帳!$BB$2:$BB$231=2))</f>
        <v>0</v>
      </c>
      <c r="F72" s="22">
        <f>SUMPRODUCT((足元帳!$K$2:$K$231=B72)*(足元帳!$BB$2:$BB$231=2)*(足元帳!$AZ$2:$AZ$231&lt;=2))</f>
        <v>0</v>
      </c>
      <c r="G72" s="20">
        <f>SUMPRODUCT((足元帳!$K$2:$K$231=B72)*(足元帳!$BB$2:$BB$231=3))</f>
        <v>0</v>
      </c>
      <c r="H72" s="22">
        <f>SUMPRODUCT((足元帳!$K$2:$K$231=B72)*(足元帳!$BB$2:$BB$231=3)*(足元帳!$AZ$2:$AZ$231&lt;=2))</f>
        <v>0</v>
      </c>
      <c r="I72" s="20">
        <f>SUMPRODUCT((足元帳!$K$2:$K$231=B72)*(足元帳!$BB$2:$BB$231=4))</f>
        <v>0</v>
      </c>
      <c r="J72" s="22">
        <f>SUMPRODUCT((足元帳!$K$2:$K$231=B72)*(足元帳!$BB$2:$BB$231=4)*(足元帳!$AZ$2:$AZ$231&lt;=2))</f>
        <v>0</v>
      </c>
      <c r="K72" s="20">
        <f>SUMPRODUCT((足元帳!$K$2:$K$231=B72)*(足元帳!$BB$2:$BB$231=5))</f>
        <v>0</v>
      </c>
      <c r="L72" s="22">
        <f>SUMPRODUCT((足元帳!$K$2:$K$231=B72)*(足元帳!$BB$2:$BB$231=5)*(足元帳!$AZ$2:$AZ$231&lt;=2))</f>
        <v>0</v>
      </c>
      <c r="M72" s="20">
        <f>SUMPRODUCT((足元帳!$K$2:$K$231=B72)*(足元帳!$BB$2:$BB$231=6))</f>
        <v>0</v>
      </c>
      <c r="N72" s="20">
        <f>SUMPRODUCT((足元帳!$K$2:$K$231=B72)*(足元帳!$BB$2:$BB$231=6)*(足元帳!$AZ$2:$AZ$231&lt;=2))</f>
        <v>0</v>
      </c>
      <c r="O72" s="20"/>
      <c r="P72" s="20">
        <f>SUMPRODUCT((足元帳!$K$2:$K$231=B72)*(足元帳!$AS$2:$AS$231=足元帳!$AS$1)*(足元帳!$BB$2:$BB$231=1)*500)+SUMPRODUCT((足元帳!$K$2:$K$231=B72)*(足元帳!$AS$2:$AS$231=足元帳!$AS$1)*(足元帳!$BB$2:$BB$231=2)*500)+SUMPRODUCT((足元帳!$K$2:$K$231=B72)*(足元帳!$AS$2:$AS$231=足元帳!$AS$1)*(足元帳!$BB$2:$BB$231=3)*500)+SUMPRODUCT((足元帳!$K$2:$K$231=B72)*(足元帳!$AS$2:$AS$231=足元帳!$AS$1)*(足元帳!$BB$2:$BB$231=4)*1000)+SUMPRODUCT((足元帳!$K$2:$K$231=B72)*(足元帳!$AS$2:$AS$231=足元帳!$AS$1)*(足元帳!$BB$2:$BB$231=5)*1000)+SUMPRODUCT((足元帳!$K$2:$K$231=B72)*(足元帳!$AS$2:$AS$231=足元帳!$AS$1)*(足元帳!$BB$2:$BB$231=6)*300)</f>
        <v>0</v>
      </c>
      <c r="Q72" s="20">
        <f>SUMPRODUCT((足元帳!$K$2:$K$231=B72)*(足元帳!$BQ$2:$BV$231=Q$20))</f>
        <v>0</v>
      </c>
      <c r="R72" s="20">
        <f>SUMPRODUCT((足元帳!$K$2:$K$231=B72)*(足元帳!$BQ$2:$BV$231=R$20))</f>
        <v>0</v>
      </c>
      <c r="S72" s="20">
        <f>SUMPRODUCT((足元帳!$K$2:$K$231=B72)*(足元帳!$BQ$2:$BV$231=S$20))</f>
        <v>0</v>
      </c>
      <c r="T72" s="20">
        <f>SUMPRODUCT((足元帳!$K$2:$K$231=B72)*(足元帳!$BQ$2:$BV$231=T$20))</f>
        <v>0</v>
      </c>
      <c r="U72" s="20">
        <f>SUMPRODUCT((足元帳!$K$2:$K$231=B72)*(足元帳!$BK$2:$BK$231=3000)*3000)+SUMPRODUCT((足元帳!$K$2:$K$231=B72)*(足元帳!$BK$2:$BK$231=4000)*4000)+SUMPRODUCT((足元帳!$K$2:$K$231=B72)*(足元帳!$BK$2:$BK$231=5000)*5000)+SUMPRODUCT((足元帳!$K$2:$K$231=B72)*(足元帳!$BK$2:$BK$231=6000)*6000)</f>
        <v>0</v>
      </c>
      <c r="V72" s="20"/>
      <c r="W72" s="256"/>
      <c r="X72" s="131">
        <f t="shared" si="17"/>
        <v>0</v>
      </c>
      <c r="Y72" s="131">
        <f t="shared" si="18"/>
        <v>0</v>
      </c>
      <c r="Z72" s="132">
        <f>C72*C$11+E72*E$11+G72*G$11+I72*I$11+K72*K$11+M72*M$11+X72+Y72
+IF(管理シート!$BQ$4 &lt;&gt; "ON",0,SUMPRODUCT((足元帳!$K$2:$K$231=B72)*(足元帳!$BB$2:$BB$231=4)*(足元帳!$AZ$2:$AZ$231&gt;=3)*(足元帳!$AP$2:$AP$231&lt;&gt;""))*管理シート!$BP$4)+
IF(管理シート!$BQ$5 &lt;&gt; "ON",0,SUMPRODUCT((足元帳!$K$2:$K$231=B72)*(足元帳!$BB$2:$BB$231=5)*(足元帳!$AZ$2:$AZ$231&gt;=3)*(足元帳!$AP$2:$AP$231&lt;&gt;""))*管理シート!$BP$5)</f>
        <v>0</v>
      </c>
      <c r="AA72" s="131">
        <f t="shared" si="19"/>
        <v>0</v>
      </c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4">
        <f t="shared" si="20"/>
        <v>0</v>
      </c>
      <c r="AZ72" s="4"/>
      <c r="BA72" s="4"/>
      <c r="BB72" s="6" t="str">
        <f t="shared" si="21"/>
        <v/>
      </c>
      <c r="BC72" s="263">
        <v>100</v>
      </c>
      <c r="BD72" s="8">
        <v>0</v>
      </c>
      <c r="BE72" s="470">
        <f t="shared" si="22"/>
        <v>0</v>
      </c>
      <c r="BF72" s="471"/>
      <c r="BG72" s="67"/>
      <c r="BH72" s="472" t="s">
        <v>117</v>
      </c>
      <c r="BI72" s="473"/>
      <c r="BJ72" s="480">
        <f>BB80+BJ66</f>
        <v>0</v>
      </c>
      <c r="BK72" s="481"/>
      <c r="BW72" s="28"/>
      <c r="BX72" s="28"/>
      <c r="BY72" s="28"/>
    </row>
    <row r="73" spans="1:77" ht="33.75" customHeight="1">
      <c r="A73" s="47">
        <v>53</v>
      </c>
      <c r="B73" s="10"/>
      <c r="C73" s="20">
        <f>SUMPRODUCT((足元帳!$K$2:$K$231=B73)*(足元帳!$BB$2:$BB$231=1))</f>
        <v>0</v>
      </c>
      <c r="D73" s="21">
        <f>SUMPRODUCT((足元帳!$K$2:$K$231=B73)*(足元帳!$BB$2:$BB$231=1)*(足元帳!$AZ$2:$AZ$231&lt;=2))</f>
        <v>0</v>
      </c>
      <c r="E73" s="20">
        <f>SUMPRODUCT((足元帳!$K$2:$K$231=B73)*(足元帳!$BB$2:$BB$231=2))</f>
        <v>0</v>
      </c>
      <c r="F73" s="22">
        <f>SUMPRODUCT((足元帳!$K$2:$K$231=B73)*(足元帳!$BB$2:$BB$231=2)*(足元帳!$AZ$2:$AZ$231&lt;=2))</f>
        <v>0</v>
      </c>
      <c r="G73" s="20">
        <f>SUMPRODUCT((足元帳!$K$2:$K$231=B73)*(足元帳!$BB$2:$BB$231=3))</f>
        <v>0</v>
      </c>
      <c r="H73" s="22">
        <f>SUMPRODUCT((足元帳!$K$2:$K$231=B73)*(足元帳!$BB$2:$BB$231=3)*(足元帳!$AZ$2:$AZ$231&lt;=2))</f>
        <v>0</v>
      </c>
      <c r="I73" s="20">
        <f>SUMPRODUCT((足元帳!$K$2:$K$231=B73)*(足元帳!$BB$2:$BB$231=4))</f>
        <v>0</v>
      </c>
      <c r="J73" s="22">
        <f>SUMPRODUCT((足元帳!$K$2:$K$231=B73)*(足元帳!$BB$2:$BB$231=4)*(足元帳!$AZ$2:$AZ$231&lt;=2))</f>
        <v>0</v>
      </c>
      <c r="K73" s="20">
        <f>SUMPRODUCT((足元帳!$K$2:$K$231=B73)*(足元帳!$BB$2:$BB$231=5))</f>
        <v>0</v>
      </c>
      <c r="L73" s="22">
        <f>SUMPRODUCT((足元帳!$K$2:$K$231=B73)*(足元帳!$BB$2:$BB$231=5)*(足元帳!$AZ$2:$AZ$231&lt;=2))</f>
        <v>0</v>
      </c>
      <c r="M73" s="20">
        <f>SUMPRODUCT((足元帳!$K$2:$K$231=B73)*(足元帳!$BB$2:$BB$231=6))</f>
        <v>0</v>
      </c>
      <c r="N73" s="20">
        <f>SUMPRODUCT((足元帳!$K$2:$K$231=B73)*(足元帳!$BB$2:$BB$231=6)*(足元帳!$AZ$2:$AZ$231&lt;=2))</f>
        <v>0</v>
      </c>
      <c r="O73" s="20"/>
      <c r="P73" s="20">
        <f>SUMPRODUCT((足元帳!$K$2:$K$231=B73)*(足元帳!$AS$2:$AS$231=足元帳!$AS$1)*(足元帳!$BB$2:$BB$231=1)*500)+SUMPRODUCT((足元帳!$K$2:$K$231=B73)*(足元帳!$AS$2:$AS$231=足元帳!$AS$1)*(足元帳!$BB$2:$BB$231=2)*500)+SUMPRODUCT((足元帳!$K$2:$K$231=B73)*(足元帳!$AS$2:$AS$231=足元帳!$AS$1)*(足元帳!$BB$2:$BB$231=3)*500)+SUMPRODUCT((足元帳!$K$2:$K$231=B73)*(足元帳!$AS$2:$AS$231=足元帳!$AS$1)*(足元帳!$BB$2:$BB$231=4)*1000)+SUMPRODUCT((足元帳!$K$2:$K$231=B73)*(足元帳!$AS$2:$AS$231=足元帳!$AS$1)*(足元帳!$BB$2:$BB$231=5)*1000)+SUMPRODUCT((足元帳!$K$2:$K$231=B73)*(足元帳!$AS$2:$AS$231=足元帳!$AS$1)*(足元帳!$BB$2:$BB$231=6)*300)</f>
        <v>0</v>
      </c>
      <c r="Q73" s="20">
        <f>SUMPRODUCT((足元帳!$K$2:$K$231=B73)*(足元帳!$BQ$2:$BV$231=Q$20))</f>
        <v>0</v>
      </c>
      <c r="R73" s="20">
        <f>SUMPRODUCT((足元帳!$K$2:$K$231=B73)*(足元帳!$BQ$2:$BV$231=R$20))</f>
        <v>0</v>
      </c>
      <c r="S73" s="20">
        <f>SUMPRODUCT((足元帳!$K$2:$K$231=B73)*(足元帳!$BQ$2:$BV$231=S$20))</f>
        <v>0</v>
      </c>
      <c r="T73" s="20">
        <f>SUMPRODUCT((足元帳!$K$2:$K$231=B73)*(足元帳!$BQ$2:$BV$231=T$20))</f>
        <v>0</v>
      </c>
      <c r="U73" s="20">
        <f>SUMPRODUCT((足元帳!$K$2:$K$231=B73)*(足元帳!$BK$2:$BK$231=3000)*3000)+SUMPRODUCT((足元帳!$K$2:$K$231=B73)*(足元帳!$BK$2:$BK$231=4000)*4000)+SUMPRODUCT((足元帳!$K$2:$K$231=B73)*(足元帳!$BK$2:$BK$231=5000)*5000)+SUMPRODUCT((足元帳!$K$2:$K$231=B73)*(足元帳!$BK$2:$BK$231=6000)*6000)</f>
        <v>0</v>
      </c>
      <c r="V73" s="20"/>
      <c r="W73" s="256"/>
      <c r="X73" s="131">
        <f t="shared" si="17"/>
        <v>0</v>
      </c>
      <c r="Y73" s="131">
        <f t="shared" si="18"/>
        <v>0</v>
      </c>
      <c r="Z73" s="132">
        <f>C73*C$11+E73*E$11+G73*G$11+I73*I$11+K73*K$11+M73*M$11+X73+Y73
+IF(管理シート!$BQ$4 &lt;&gt; "ON",0,SUMPRODUCT((足元帳!$K$2:$K$231=B73)*(足元帳!$BB$2:$BB$231=4)*(足元帳!$AZ$2:$AZ$231&gt;=3)*(足元帳!$AP$2:$AP$231&lt;&gt;""))*管理シート!$BP$4)+
IF(管理シート!$BQ$5 &lt;&gt; "ON",0,SUMPRODUCT((足元帳!$K$2:$K$231=B73)*(足元帳!$BB$2:$BB$231=5)*(足元帳!$AZ$2:$AZ$231&gt;=3)*(足元帳!$AP$2:$AP$231&lt;&gt;""))*管理シート!$BP$5)</f>
        <v>0</v>
      </c>
      <c r="AA73" s="131">
        <f t="shared" si="19"/>
        <v>0</v>
      </c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4">
        <f t="shared" si="20"/>
        <v>0</v>
      </c>
      <c r="AZ73" s="4"/>
      <c r="BA73" s="4"/>
      <c r="BB73" s="6" t="str">
        <f t="shared" si="21"/>
        <v/>
      </c>
      <c r="BC73" s="263">
        <v>50</v>
      </c>
      <c r="BD73" s="8">
        <v>0</v>
      </c>
      <c r="BE73" s="470">
        <f t="shared" si="22"/>
        <v>0</v>
      </c>
      <c r="BF73" s="471"/>
      <c r="BG73" s="67"/>
      <c r="BH73" s="472" t="s">
        <v>39</v>
      </c>
      <c r="BI73" s="473"/>
      <c r="BJ73" s="474">
        <v>200000</v>
      </c>
      <c r="BK73" s="475"/>
      <c r="BW73" s="28"/>
      <c r="BX73" s="28"/>
      <c r="BY73" s="28"/>
    </row>
    <row r="74" spans="1:77" ht="33.75" customHeight="1">
      <c r="A74" s="47">
        <v>54</v>
      </c>
      <c r="B74" s="10"/>
      <c r="C74" s="20">
        <f>SUMPRODUCT((足元帳!$K$2:$K$231=B74)*(足元帳!$BB$2:$BB$231=1))</f>
        <v>0</v>
      </c>
      <c r="D74" s="21">
        <f>SUMPRODUCT((足元帳!$K$2:$K$231=B74)*(足元帳!$BB$2:$BB$231=1)*(足元帳!$AZ$2:$AZ$231&lt;=2))</f>
        <v>0</v>
      </c>
      <c r="E74" s="20">
        <f>SUMPRODUCT((足元帳!$K$2:$K$231=B74)*(足元帳!$BB$2:$BB$231=2))</f>
        <v>0</v>
      </c>
      <c r="F74" s="22">
        <f>SUMPRODUCT((足元帳!$K$2:$K$231=B74)*(足元帳!$BB$2:$BB$231=2)*(足元帳!$AZ$2:$AZ$231&lt;=2))</f>
        <v>0</v>
      </c>
      <c r="G74" s="20">
        <f>SUMPRODUCT((足元帳!$K$2:$K$231=B74)*(足元帳!$BB$2:$BB$231=3))</f>
        <v>0</v>
      </c>
      <c r="H74" s="22">
        <f>SUMPRODUCT((足元帳!$K$2:$K$231=B74)*(足元帳!$BB$2:$BB$231=3)*(足元帳!$AZ$2:$AZ$231&lt;=2))</f>
        <v>0</v>
      </c>
      <c r="I74" s="20">
        <f>SUMPRODUCT((足元帳!$K$2:$K$231=B74)*(足元帳!$BB$2:$BB$231=4))</f>
        <v>0</v>
      </c>
      <c r="J74" s="22">
        <f>SUMPRODUCT((足元帳!$K$2:$K$231=B74)*(足元帳!$BB$2:$BB$231=4)*(足元帳!$AZ$2:$AZ$231&lt;=2))</f>
        <v>0</v>
      </c>
      <c r="K74" s="20">
        <f>SUMPRODUCT((足元帳!$K$2:$K$231=B74)*(足元帳!$BB$2:$BB$231=5))</f>
        <v>0</v>
      </c>
      <c r="L74" s="22">
        <f>SUMPRODUCT((足元帳!$K$2:$K$231=B74)*(足元帳!$BB$2:$BB$231=5)*(足元帳!$AZ$2:$AZ$231&lt;=2))</f>
        <v>0</v>
      </c>
      <c r="M74" s="20">
        <f>SUMPRODUCT((足元帳!$K$2:$K$231=B74)*(足元帳!$BB$2:$BB$231=6))</f>
        <v>0</v>
      </c>
      <c r="N74" s="20">
        <f>SUMPRODUCT((足元帳!$K$2:$K$231=B74)*(足元帳!$BB$2:$BB$231=6)*(足元帳!$AZ$2:$AZ$231&lt;=2))</f>
        <v>0</v>
      </c>
      <c r="O74" s="20"/>
      <c r="P74" s="20">
        <f>SUMPRODUCT((足元帳!$K$2:$K$231=B74)*(足元帳!$AS$2:$AS$231=足元帳!$AS$1)*(足元帳!$BB$2:$BB$231=1)*500)+SUMPRODUCT((足元帳!$K$2:$K$231=B74)*(足元帳!$AS$2:$AS$231=足元帳!$AS$1)*(足元帳!$BB$2:$BB$231=2)*500)+SUMPRODUCT((足元帳!$K$2:$K$231=B74)*(足元帳!$AS$2:$AS$231=足元帳!$AS$1)*(足元帳!$BB$2:$BB$231=3)*500)+SUMPRODUCT((足元帳!$K$2:$K$231=B74)*(足元帳!$AS$2:$AS$231=足元帳!$AS$1)*(足元帳!$BB$2:$BB$231=4)*1000)+SUMPRODUCT((足元帳!$K$2:$K$231=B74)*(足元帳!$AS$2:$AS$231=足元帳!$AS$1)*(足元帳!$BB$2:$BB$231=5)*1000)+SUMPRODUCT((足元帳!$K$2:$K$231=B74)*(足元帳!$AS$2:$AS$231=足元帳!$AS$1)*(足元帳!$BB$2:$BB$231=6)*300)</f>
        <v>0</v>
      </c>
      <c r="Q74" s="20">
        <f>SUMPRODUCT((足元帳!$K$2:$K$231=B74)*(足元帳!$BQ$2:$BV$231=Q$20))</f>
        <v>0</v>
      </c>
      <c r="R74" s="20">
        <f>SUMPRODUCT((足元帳!$K$2:$K$231=B74)*(足元帳!$BQ$2:$BV$231=R$20))</f>
        <v>0</v>
      </c>
      <c r="S74" s="20">
        <f>SUMPRODUCT((足元帳!$K$2:$K$231=B74)*(足元帳!$BQ$2:$BV$231=S$20))</f>
        <v>0</v>
      </c>
      <c r="T74" s="20">
        <f>SUMPRODUCT((足元帳!$K$2:$K$231=B74)*(足元帳!$BQ$2:$BV$231=T$20))</f>
        <v>0</v>
      </c>
      <c r="U74" s="20">
        <f>SUMPRODUCT((足元帳!$K$2:$K$231=B74)*(足元帳!$BK$2:$BK$231=3000)*3000)+SUMPRODUCT((足元帳!$K$2:$K$231=B74)*(足元帳!$BK$2:$BK$231=4000)*4000)+SUMPRODUCT((足元帳!$K$2:$K$231=B74)*(足元帳!$BK$2:$BK$231=5000)*5000)+SUMPRODUCT((足元帳!$K$2:$K$231=B74)*(足元帳!$BK$2:$BK$231=6000)*6000)</f>
        <v>0</v>
      </c>
      <c r="V74" s="20"/>
      <c r="W74" s="256"/>
      <c r="X74" s="131">
        <f t="shared" si="17"/>
        <v>0</v>
      </c>
      <c r="Y74" s="131">
        <f t="shared" si="18"/>
        <v>0</v>
      </c>
      <c r="Z74" s="132">
        <f>C74*C$11+E74*E$11+G74*G$11+I74*I$11+K74*K$11+M74*M$11+X74+Y74
+IF(管理シート!$BQ$4 &lt;&gt; "ON",0,SUMPRODUCT((足元帳!$K$2:$K$231=B74)*(足元帳!$BB$2:$BB$231=4)*(足元帳!$AZ$2:$AZ$231&gt;=3)*(足元帳!$AP$2:$AP$231&lt;&gt;""))*管理シート!$BP$4)+
IF(管理シート!$BQ$5 &lt;&gt; "ON",0,SUMPRODUCT((足元帳!$K$2:$K$231=B74)*(足元帳!$BB$2:$BB$231=5)*(足元帳!$AZ$2:$AZ$231&gt;=3)*(足元帳!$AP$2:$AP$231&lt;&gt;""))*管理シート!$BP$5)</f>
        <v>0</v>
      </c>
      <c r="AA74" s="131">
        <f t="shared" si="19"/>
        <v>0</v>
      </c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4">
        <f t="shared" si="20"/>
        <v>0</v>
      </c>
      <c r="AZ74" s="4"/>
      <c r="BA74" s="4"/>
      <c r="BB74" s="6" t="str">
        <f t="shared" si="21"/>
        <v/>
      </c>
      <c r="BC74" s="263">
        <v>10</v>
      </c>
      <c r="BD74" s="8">
        <v>0</v>
      </c>
      <c r="BE74" s="470">
        <f t="shared" si="22"/>
        <v>0</v>
      </c>
      <c r="BF74" s="471"/>
      <c r="BG74" s="67"/>
      <c r="BH74" s="472" t="s">
        <v>118</v>
      </c>
      <c r="BI74" s="473"/>
      <c r="BJ74" s="486">
        <f>BE75+BJ71+BJ72-BJ73</f>
        <v>-200000</v>
      </c>
      <c r="BK74" s="481"/>
      <c r="BW74" s="28"/>
      <c r="BX74" s="28"/>
      <c r="BY74" s="28"/>
    </row>
    <row r="75" spans="1:77" ht="33.75" customHeight="1" thickBot="1">
      <c r="A75" s="47">
        <v>55</v>
      </c>
      <c r="B75" s="10"/>
      <c r="C75" s="20">
        <f>SUMPRODUCT((足元帳!$K$2:$K$231=B75)*(足元帳!$BB$2:$BB$231=1))</f>
        <v>0</v>
      </c>
      <c r="D75" s="21">
        <f>SUMPRODUCT((足元帳!$K$2:$K$231=B75)*(足元帳!$BB$2:$BB$231=1)*(足元帳!$AZ$2:$AZ$231&lt;=2))</f>
        <v>0</v>
      </c>
      <c r="E75" s="20">
        <f>SUMPRODUCT((足元帳!$K$2:$K$231=B75)*(足元帳!$BB$2:$BB$231=2))</f>
        <v>0</v>
      </c>
      <c r="F75" s="22">
        <f>SUMPRODUCT((足元帳!$K$2:$K$231=B75)*(足元帳!$BB$2:$BB$231=2)*(足元帳!$AZ$2:$AZ$231&lt;=2))</f>
        <v>0</v>
      </c>
      <c r="G75" s="20">
        <f>SUMPRODUCT((足元帳!$K$2:$K$231=B75)*(足元帳!$BB$2:$BB$231=3))</f>
        <v>0</v>
      </c>
      <c r="H75" s="22">
        <f>SUMPRODUCT((足元帳!$K$2:$K$231=B75)*(足元帳!$BB$2:$BB$231=3)*(足元帳!$AZ$2:$AZ$231&lt;=2))</f>
        <v>0</v>
      </c>
      <c r="I75" s="20">
        <f>SUMPRODUCT((足元帳!$K$2:$K$231=B75)*(足元帳!$BB$2:$BB$231=4))</f>
        <v>0</v>
      </c>
      <c r="J75" s="22">
        <f>SUMPRODUCT((足元帳!$K$2:$K$231=B75)*(足元帳!$BB$2:$BB$231=4)*(足元帳!$AZ$2:$AZ$231&lt;=2))</f>
        <v>0</v>
      </c>
      <c r="K75" s="20">
        <f>SUMPRODUCT((足元帳!$K$2:$K$231=B75)*(足元帳!$BB$2:$BB$231=5))</f>
        <v>0</v>
      </c>
      <c r="L75" s="22">
        <f>SUMPRODUCT((足元帳!$K$2:$K$231=B75)*(足元帳!$BB$2:$BB$231=5)*(足元帳!$AZ$2:$AZ$231&lt;=2))</f>
        <v>0</v>
      </c>
      <c r="M75" s="20">
        <f>SUMPRODUCT((足元帳!$K$2:$K$231=B75)*(足元帳!$BB$2:$BB$231=6))</f>
        <v>0</v>
      </c>
      <c r="N75" s="20">
        <f>SUMPRODUCT((足元帳!$K$2:$K$231=B75)*(足元帳!$BB$2:$BB$231=6)*(足元帳!$AZ$2:$AZ$231&lt;=2))</f>
        <v>0</v>
      </c>
      <c r="O75" s="20"/>
      <c r="P75" s="20">
        <f>SUMPRODUCT((足元帳!$K$2:$K$231=B75)*(足元帳!$AS$2:$AS$231=足元帳!$AS$1)*(足元帳!$BB$2:$BB$231=1)*500)+SUMPRODUCT((足元帳!$K$2:$K$231=B75)*(足元帳!$AS$2:$AS$231=足元帳!$AS$1)*(足元帳!$BB$2:$BB$231=2)*500)+SUMPRODUCT((足元帳!$K$2:$K$231=B75)*(足元帳!$AS$2:$AS$231=足元帳!$AS$1)*(足元帳!$BB$2:$BB$231=3)*500)+SUMPRODUCT((足元帳!$K$2:$K$231=B75)*(足元帳!$AS$2:$AS$231=足元帳!$AS$1)*(足元帳!$BB$2:$BB$231=4)*1000)+SUMPRODUCT((足元帳!$K$2:$K$231=B75)*(足元帳!$AS$2:$AS$231=足元帳!$AS$1)*(足元帳!$BB$2:$BB$231=5)*1000)+SUMPRODUCT((足元帳!$K$2:$K$231=B75)*(足元帳!$AS$2:$AS$231=足元帳!$AS$1)*(足元帳!$BB$2:$BB$231=6)*300)</f>
        <v>0</v>
      </c>
      <c r="Q75" s="20">
        <f>SUMPRODUCT((足元帳!$K$2:$K$231=B75)*(足元帳!$BQ$2:$BV$231=Q$20))</f>
        <v>0</v>
      </c>
      <c r="R75" s="20">
        <f>SUMPRODUCT((足元帳!$K$2:$K$231=B75)*(足元帳!$BQ$2:$BV$231=R$20))</f>
        <v>0</v>
      </c>
      <c r="S75" s="20">
        <f>SUMPRODUCT((足元帳!$K$2:$K$231=B75)*(足元帳!$BQ$2:$BV$231=S$20))</f>
        <v>0</v>
      </c>
      <c r="T75" s="20">
        <f>SUMPRODUCT((足元帳!$K$2:$K$231=B75)*(足元帳!$BQ$2:$BV$231=T$20))</f>
        <v>0</v>
      </c>
      <c r="U75" s="20">
        <f>SUMPRODUCT((足元帳!$K$2:$K$231=B75)*(足元帳!$BK$2:$BK$231=3000)*3000)+SUMPRODUCT((足元帳!$K$2:$K$231=B75)*(足元帳!$BK$2:$BK$231=4000)*4000)+SUMPRODUCT((足元帳!$K$2:$K$231=B75)*(足元帳!$BK$2:$BK$231=5000)*5000)+SUMPRODUCT((足元帳!$K$2:$K$231=B75)*(足元帳!$BK$2:$BK$231=6000)*6000)</f>
        <v>0</v>
      </c>
      <c r="V75" s="20"/>
      <c r="W75" s="256"/>
      <c r="X75" s="131">
        <f t="shared" si="17"/>
        <v>0</v>
      </c>
      <c r="Y75" s="131">
        <f t="shared" si="18"/>
        <v>0</v>
      </c>
      <c r="Z75" s="132">
        <f>C75*C$11+E75*E$11+G75*G$11+I75*I$11+K75*K$11+M75*M$11+X75+Y75
+IF(管理シート!$BQ$4 &lt;&gt; "ON",0,SUMPRODUCT((足元帳!$K$2:$K$231=B75)*(足元帳!$BB$2:$BB$231=4)*(足元帳!$AZ$2:$AZ$231&gt;=3)*(足元帳!$AP$2:$AP$231&lt;&gt;""))*管理シート!$BP$4)+
IF(管理シート!$BQ$5 &lt;&gt; "ON",0,SUMPRODUCT((足元帳!$K$2:$K$231=B75)*(足元帳!$BB$2:$BB$231=5)*(足元帳!$AZ$2:$AZ$231&gt;=3)*(足元帳!$AP$2:$AP$231&lt;&gt;""))*管理シート!$BP$5)</f>
        <v>0</v>
      </c>
      <c r="AA75" s="131">
        <f t="shared" si="19"/>
        <v>0</v>
      </c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4">
        <f t="shared" si="20"/>
        <v>0</v>
      </c>
      <c r="AZ75" s="4"/>
      <c r="BA75" s="4"/>
      <c r="BB75" s="6" t="str">
        <f t="shared" si="21"/>
        <v/>
      </c>
      <c r="BC75" s="264" t="s">
        <v>119</v>
      </c>
      <c r="BD75" s="265"/>
      <c r="BE75" s="468">
        <f>SUM(BE68:BF74)</f>
        <v>0</v>
      </c>
      <c r="BF75" s="469"/>
      <c r="BG75" s="68"/>
      <c r="BH75" s="482" t="s">
        <v>120</v>
      </c>
      <c r="BI75" s="483"/>
      <c r="BJ75" s="484">
        <f>BD46-BJ74+BJ70-BJ69</f>
        <v>200000</v>
      </c>
      <c r="BK75" s="485"/>
      <c r="BW75" s="28"/>
      <c r="BX75" s="28"/>
      <c r="BY75" s="28"/>
    </row>
    <row r="76" spans="1:77" ht="33.75" customHeight="1">
      <c r="A76" s="47">
        <v>56</v>
      </c>
      <c r="B76" s="10"/>
      <c r="C76" s="20">
        <f>SUMPRODUCT((足元帳!$K$2:$K$231=B76)*(足元帳!$BB$2:$BB$231=1))</f>
        <v>0</v>
      </c>
      <c r="D76" s="21">
        <f>SUMPRODUCT((足元帳!$K$2:$K$231=B76)*(足元帳!$BB$2:$BB$231=1)*(足元帳!$AZ$2:$AZ$231&lt;=2))</f>
        <v>0</v>
      </c>
      <c r="E76" s="20">
        <f>SUMPRODUCT((足元帳!$K$2:$K$231=B76)*(足元帳!$BB$2:$BB$231=2))</f>
        <v>0</v>
      </c>
      <c r="F76" s="22">
        <f>SUMPRODUCT((足元帳!$K$2:$K$231=B76)*(足元帳!$BB$2:$BB$231=2)*(足元帳!$AZ$2:$AZ$231&lt;=2))</f>
        <v>0</v>
      </c>
      <c r="G76" s="20">
        <f>SUMPRODUCT((足元帳!$K$2:$K$231=B76)*(足元帳!$BB$2:$BB$231=3))</f>
        <v>0</v>
      </c>
      <c r="H76" s="22">
        <f>SUMPRODUCT((足元帳!$K$2:$K$231=B76)*(足元帳!$BB$2:$BB$231=3)*(足元帳!$AZ$2:$AZ$231&lt;=2))</f>
        <v>0</v>
      </c>
      <c r="I76" s="20">
        <f>SUMPRODUCT((足元帳!$K$2:$K$231=B76)*(足元帳!$BB$2:$BB$231=4))</f>
        <v>0</v>
      </c>
      <c r="J76" s="22">
        <f>SUMPRODUCT((足元帳!$K$2:$K$231=B76)*(足元帳!$BB$2:$BB$231=4)*(足元帳!$AZ$2:$AZ$231&lt;=2))</f>
        <v>0</v>
      </c>
      <c r="K76" s="20">
        <f>SUMPRODUCT((足元帳!$K$2:$K$231=B76)*(足元帳!$BB$2:$BB$231=5))</f>
        <v>0</v>
      </c>
      <c r="L76" s="22">
        <f>SUMPRODUCT((足元帳!$K$2:$K$231=B76)*(足元帳!$BB$2:$BB$231=5)*(足元帳!$AZ$2:$AZ$231&lt;=2))</f>
        <v>0</v>
      </c>
      <c r="M76" s="20">
        <f>SUMPRODUCT((足元帳!$K$2:$K$231=B76)*(足元帳!$BB$2:$BB$231=6))</f>
        <v>0</v>
      </c>
      <c r="N76" s="20">
        <f>SUMPRODUCT((足元帳!$K$2:$K$231=B76)*(足元帳!$BB$2:$BB$231=6)*(足元帳!$AZ$2:$AZ$231&lt;=2))</f>
        <v>0</v>
      </c>
      <c r="O76" s="20"/>
      <c r="P76" s="20">
        <f>SUMPRODUCT((足元帳!$K$2:$K$231=B76)*(足元帳!$AS$2:$AS$231=足元帳!$AS$1)*(足元帳!$BB$2:$BB$231=1)*500)+SUMPRODUCT((足元帳!$K$2:$K$231=B76)*(足元帳!$AS$2:$AS$231=足元帳!$AS$1)*(足元帳!$BB$2:$BB$231=2)*500)+SUMPRODUCT((足元帳!$K$2:$K$231=B76)*(足元帳!$AS$2:$AS$231=足元帳!$AS$1)*(足元帳!$BB$2:$BB$231=3)*500)+SUMPRODUCT((足元帳!$K$2:$K$231=B76)*(足元帳!$AS$2:$AS$231=足元帳!$AS$1)*(足元帳!$BB$2:$BB$231=4)*1000)+SUMPRODUCT((足元帳!$K$2:$K$231=B76)*(足元帳!$AS$2:$AS$231=足元帳!$AS$1)*(足元帳!$BB$2:$BB$231=5)*1000)+SUMPRODUCT((足元帳!$K$2:$K$231=B76)*(足元帳!$AS$2:$AS$231=足元帳!$AS$1)*(足元帳!$BB$2:$BB$231=6)*300)</f>
        <v>0</v>
      </c>
      <c r="Q76" s="20">
        <f>SUMPRODUCT((足元帳!$K$2:$K$231=B76)*(足元帳!$BQ$2:$BV$231=Q$20))</f>
        <v>0</v>
      </c>
      <c r="R76" s="20">
        <f>SUMPRODUCT((足元帳!$K$2:$K$231=B76)*(足元帳!$BQ$2:$BV$231=R$20))</f>
        <v>0</v>
      </c>
      <c r="S76" s="20">
        <f>SUMPRODUCT((足元帳!$K$2:$K$231=B76)*(足元帳!$BQ$2:$BV$231=S$20))</f>
        <v>0</v>
      </c>
      <c r="T76" s="20">
        <f>SUMPRODUCT((足元帳!$K$2:$K$231=B76)*(足元帳!$BQ$2:$BV$231=T$20))</f>
        <v>0</v>
      </c>
      <c r="U76" s="20">
        <f>SUMPRODUCT((足元帳!$K$2:$K$231=B76)*(足元帳!$BK$2:$BK$231=3000)*3000)+SUMPRODUCT((足元帳!$K$2:$K$231=B76)*(足元帳!$BK$2:$BK$231=4000)*4000)+SUMPRODUCT((足元帳!$K$2:$K$231=B76)*(足元帳!$BK$2:$BK$231=5000)*5000)+SUMPRODUCT((足元帳!$K$2:$K$231=B76)*(足元帳!$BK$2:$BK$231=6000)*6000)</f>
        <v>0</v>
      </c>
      <c r="V76" s="20"/>
      <c r="W76" s="256"/>
      <c r="X76" s="131">
        <f t="shared" ref="X76:X77" si="23">D76*C$12+F76*E$12+H76*G$12+J76*I$12+L76*K$12+N76*M$12+O76+P76</f>
        <v>0</v>
      </c>
      <c r="Y76" s="131">
        <f t="shared" ref="Y76:Y77" si="24">Q76*Q$11+R76*R$11+S76*S$11+T76*T$11-U76</f>
        <v>0</v>
      </c>
      <c r="Z76" s="132">
        <f>C76*C$11+E76*E$11+G76*G$11+I76*I$11+K76*K$11+M76*M$11+X76+Y76
+IF(管理シート!$BQ$4 &lt;&gt; "ON",0,SUMPRODUCT((足元帳!$K$2:$K$231=B76)*(足元帳!$BB$2:$BB$231=4)*(足元帳!$AZ$2:$AZ$231&gt;=3)*(足元帳!$AP$2:$AP$231&lt;&gt;""))*管理シート!$BP$4)+
IF(管理シート!$BQ$5 &lt;&gt; "ON",0,SUMPRODUCT((足元帳!$K$2:$K$231=B76)*(足元帳!$BB$2:$BB$231=5)*(足元帳!$AZ$2:$AZ$231&gt;=3)*(足元帳!$AP$2:$AP$231&lt;&gt;""))*管理シート!$BP$5)</f>
        <v>0</v>
      </c>
      <c r="AA76" s="131">
        <f t="shared" ref="AA76:AA77" si="25">C76*C$13+E76*E$13+G76*G$13+I76*I$13+K76*K$13+M76*M$13+U76</f>
        <v>0</v>
      </c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4">
        <f t="shared" ref="AY76:AY77" si="26">Z76-AA76</f>
        <v>0</v>
      </c>
      <c r="AZ76" s="4"/>
      <c r="BA76" s="4"/>
      <c r="BB76" s="6" t="str">
        <f t="shared" ref="BB76:BB77" si="27">IF(AZ76="","",AY76)</f>
        <v/>
      </c>
      <c r="BW76" s="28"/>
      <c r="BX76" s="28"/>
      <c r="BY76" s="28"/>
    </row>
    <row r="77" spans="1:77" ht="33.75" customHeight="1" thickBot="1">
      <c r="A77" s="47">
        <v>57</v>
      </c>
      <c r="B77" s="266"/>
      <c r="C77" s="267">
        <f>SUMPRODUCT((足元帳!$K$2:$K$231=B77)*(足元帳!$BB$2:$BB$231=1))</f>
        <v>0</v>
      </c>
      <c r="D77" s="268">
        <f>SUMPRODUCT((足元帳!$K$2:$K$231=B77)*(足元帳!$BB$2:$BB$231=1)*(足元帳!$AZ$2:$AZ$231&lt;=2))</f>
        <v>0</v>
      </c>
      <c r="E77" s="267">
        <f>SUMPRODUCT((足元帳!$K$2:$K$231=B77)*(足元帳!$BB$2:$BB$231=2))</f>
        <v>0</v>
      </c>
      <c r="F77" s="269">
        <f>SUMPRODUCT((足元帳!$K$2:$K$231=B77)*(足元帳!$BB$2:$BB$231=2)*(足元帳!$AZ$2:$AZ$231&lt;=2))</f>
        <v>0</v>
      </c>
      <c r="G77" s="267">
        <f>SUMPRODUCT((足元帳!$K$2:$K$231=B77)*(足元帳!$BB$2:$BB$231=3))</f>
        <v>0</v>
      </c>
      <c r="H77" s="269">
        <f>SUMPRODUCT((足元帳!$K$2:$K$231=B77)*(足元帳!$BB$2:$BB$231=3)*(足元帳!$AZ$2:$AZ$231&lt;=2))</f>
        <v>0</v>
      </c>
      <c r="I77" s="267">
        <f>SUMPRODUCT((足元帳!$K$2:$K$231=B77)*(足元帳!$BB$2:$BB$231=4))</f>
        <v>0</v>
      </c>
      <c r="J77" s="269">
        <f>SUMPRODUCT((足元帳!$K$2:$K$231=B77)*(足元帳!$BB$2:$BB$231=4)*(足元帳!$AZ$2:$AZ$231&lt;=2))</f>
        <v>0</v>
      </c>
      <c r="K77" s="267">
        <f>SUMPRODUCT((足元帳!$K$2:$K$231=B77)*(足元帳!$BB$2:$BB$231=5))</f>
        <v>0</v>
      </c>
      <c r="L77" s="269">
        <f>SUMPRODUCT((足元帳!$K$2:$K$231=B77)*(足元帳!$BB$2:$BB$231=5)*(足元帳!$AZ$2:$AZ$231&lt;=2))</f>
        <v>0</v>
      </c>
      <c r="M77" s="267">
        <f>SUMPRODUCT((足元帳!$K$2:$K$231=B77)*(足元帳!$BB$2:$BB$231=6))</f>
        <v>0</v>
      </c>
      <c r="N77" s="267">
        <f>SUMPRODUCT((足元帳!$K$2:$K$231=B77)*(足元帳!$BB$2:$BB$231=6)*(足元帳!$AZ$2:$AZ$231&lt;=2))</f>
        <v>0</v>
      </c>
      <c r="O77" s="267"/>
      <c r="P77" s="267">
        <f>SUMPRODUCT((足元帳!$K$2:$K$231=B77)*(足元帳!$AS$2:$AS$231=足元帳!$AS$1)*(足元帳!$BB$2:$BB$231=1)*500)+SUMPRODUCT((足元帳!$K$2:$K$231=B77)*(足元帳!$AS$2:$AS$231=足元帳!$AS$1)*(足元帳!$BB$2:$BB$231=2)*500)+SUMPRODUCT((足元帳!$K$2:$K$231=B77)*(足元帳!$AS$2:$AS$231=足元帳!$AS$1)*(足元帳!$BB$2:$BB$231=3)*500)+SUMPRODUCT((足元帳!$K$2:$K$231=B77)*(足元帳!$AS$2:$AS$231=足元帳!$AS$1)*(足元帳!$BB$2:$BB$231=4)*1000)+SUMPRODUCT((足元帳!$K$2:$K$231=B77)*(足元帳!$AS$2:$AS$231=足元帳!$AS$1)*(足元帳!$BB$2:$BB$231=5)*1000)+SUMPRODUCT((足元帳!$K$2:$K$231=B77)*(足元帳!$AS$2:$AS$231=足元帳!$AS$1)*(足元帳!$BB$2:$BB$231=6)*300)</f>
        <v>0</v>
      </c>
      <c r="Q77" s="267">
        <f>SUMPRODUCT((足元帳!$K$2:$K$231=B77)*(足元帳!$BQ$2:$BV$231=Q$20))</f>
        <v>0</v>
      </c>
      <c r="R77" s="267">
        <f>SUMPRODUCT((足元帳!$K$2:$K$231=B77)*(足元帳!$BQ$2:$BV$231=R$20))</f>
        <v>0</v>
      </c>
      <c r="S77" s="267">
        <f>SUMPRODUCT((足元帳!$K$2:$K$231=B77)*(足元帳!$BQ$2:$BV$231=S$20))</f>
        <v>0</v>
      </c>
      <c r="T77" s="267">
        <f>SUMPRODUCT((足元帳!$K$2:$K$231=B77)*(足元帳!$BQ$2:$BV$231=T$20))</f>
        <v>0</v>
      </c>
      <c r="U77" s="267">
        <f>SUMPRODUCT((足元帳!$K$2:$K$231=B77)*(足元帳!$BK$2:$BK$231=3000)*3000)+SUMPRODUCT((足元帳!$K$2:$K$231=B77)*(足元帳!$BK$2:$BK$231=4000)*4000)+SUMPRODUCT((足元帳!$K$2:$K$231=B77)*(足元帳!$BK$2:$BK$231=5000)*5000)+SUMPRODUCT((足元帳!$K$2:$K$231=B77)*(足元帳!$BK$2:$BK$231=6000)*6000)</f>
        <v>0</v>
      </c>
      <c r="V77" s="267"/>
      <c r="W77" s="270"/>
      <c r="X77" s="271">
        <f t="shared" si="23"/>
        <v>0</v>
      </c>
      <c r="Y77" s="271">
        <f t="shared" si="24"/>
        <v>0</v>
      </c>
      <c r="Z77" s="272">
        <f>C77*C$11+E77*E$11+G77*G$11+I77*I$11+K77*K$11+M77*M$11+X77+Y77
+IF(管理シート!$BQ$4 &lt;&gt; "ON",0,SUMPRODUCT((足元帳!$K$2:$K$231=B77)*(足元帳!$BB$2:$BB$231=4)*(足元帳!$AZ$2:$AZ$231&gt;=3)*(足元帳!$AP$2:$AP$231&lt;&gt;""))*管理シート!$BP$4)+
IF(管理シート!$BQ$5 &lt;&gt; "ON",0,SUMPRODUCT((足元帳!$K$2:$K$231=B77)*(足元帳!$BB$2:$BB$231=5)*(足元帳!$AZ$2:$AZ$231&gt;=3)*(足元帳!$AP$2:$AP$231&lt;&gt;""))*管理シート!$BP$5)</f>
        <v>0</v>
      </c>
      <c r="AA77" s="271">
        <f t="shared" si="25"/>
        <v>0</v>
      </c>
      <c r="AB77" s="273"/>
      <c r="AC77" s="273"/>
      <c r="AD77" s="273"/>
      <c r="AE77" s="273"/>
      <c r="AF77" s="273"/>
      <c r="AG77" s="273"/>
      <c r="AH77" s="273"/>
      <c r="AI77" s="273"/>
      <c r="AJ77" s="273"/>
      <c r="AK77" s="273"/>
      <c r="AL77" s="273"/>
      <c r="AM77" s="273"/>
      <c r="AN77" s="273"/>
      <c r="AO77" s="273"/>
      <c r="AP77" s="273"/>
      <c r="AQ77" s="273"/>
      <c r="AR77" s="273"/>
      <c r="AS77" s="273"/>
      <c r="AT77" s="273"/>
      <c r="AU77" s="273"/>
      <c r="AV77" s="273"/>
      <c r="AW77" s="273"/>
      <c r="AX77" s="273"/>
      <c r="AY77" s="274">
        <f t="shared" si="26"/>
        <v>0</v>
      </c>
      <c r="AZ77" s="4"/>
      <c r="BA77" s="4"/>
      <c r="BB77" s="6" t="str">
        <f t="shared" si="27"/>
        <v/>
      </c>
      <c r="BW77" s="28"/>
      <c r="BX77" s="28"/>
      <c r="BY77" s="28"/>
    </row>
    <row r="78" spans="1:77">
      <c r="A78" s="47">
        <v>55</v>
      </c>
      <c r="B78" s="275" t="s">
        <v>37</v>
      </c>
      <c r="C78" s="276">
        <v>45</v>
      </c>
      <c r="D78" s="277" t="s">
        <v>62</v>
      </c>
      <c r="E78" s="278">
        <v>60</v>
      </c>
      <c r="F78" s="277" t="s">
        <v>62</v>
      </c>
      <c r="G78" s="279">
        <v>75</v>
      </c>
      <c r="H78" s="277" t="s">
        <v>62</v>
      </c>
      <c r="I78" s="280">
        <v>90</v>
      </c>
      <c r="J78" s="277" t="s">
        <v>62</v>
      </c>
      <c r="K78" s="281">
        <v>120</v>
      </c>
      <c r="L78" s="277" t="s">
        <v>62</v>
      </c>
      <c r="M78" s="281">
        <f>M20</f>
        <v>150</v>
      </c>
      <c r="N78" s="277" t="s">
        <v>63</v>
      </c>
      <c r="O78" s="281" t="str">
        <f>O20</f>
        <v>姫</v>
      </c>
      <c r="P78" s="277" t="s">
        <v>206</v>
      </c>
      <c r="Q78" s="282">
        <f t="shared" ref="Q78:W78" si="28">Q20</f>
        <v>2000</v>
      </c>
      <c r="R78" s="282">
        <f t="shared" si="28"/>
        <v>1000</v>
      </c>
      <c r="S78" s="282" t="str">
        <f t="shared" si="28"/>
        <v>-</v>
      </c>
      <c r="T78" s="282" t="str">
        <f t="shared" si="28"/>
        <v>-</v>
      </c>
      <c r="U78" s="282" t="str">
        <f t="shared" si="28"/>
        <v>-</v>
      </c>
      <c r="V78" s="283" t="str">
        <f t="shared" si="28"/>
        <v>-</v>
      </c>
      <c r="W78" s="283" t="str">
        <f t="shared" si="28"/>
        <v>-</v>
      </c>
      <c r="X78" s="277" t="s">
        <v>62</v>
      </c>
      <c r="Y78" s="284" t="s">
        <v>380</v>
      </c>
      <c r="Z78" s="284" t="s">
        <v>64</v>
      </c>
      <c r="AA78" s="285" t="s">
        <v>41</v>
      </c>
      <c r="AB78" s="286" t="s">
        <v>65</v>
      </c>
      <c r="AC78" s="286" t="s">
        <v>66</v>
      </c>
      <c r="AD78" s="286" t="s">
        <v>67</v>
      </c>
      <c r="AE78" s="286" t="s">
        <v>68</v>
      </c>
      <c r="AF78" s="286" t="s">
        <v>69</v>
      </c>
      <c r="AG78" s="286" t="s">
        <v>70</v>
      </c>
      <c r="AH78" s="286" t="s">
        <v>71</v>
      </c>
      <c r="AI78" s="286" t="s">
        <v>72</v>
      </c>
      <c r="AJ78" s="286" t="s">
        <v>73</v>
      </c>
      <c r="AK78" s="286" t="s">
        <v>74</v>
      </c>
      <c r="AL78" s="286" t="s">
        <v>75</v>
      </c>
      <c r="AM78" s="286" t="s">
        <v>76</v>
      </c>
      <c r="AN78" s="286" t="s">
        <v>77</v>
      </c>
      <c r="AO78" s="286" t="s">
        <v>78</v>
      </c>
      <c r="AP78" s="286" t="s">
        <v>79</v>
      </c>
      <c r="AQ78" s="286" t="s">
        <v>80</v>
      </c>
      <c r="AR78" s="286" t="s">
        <v>81</v>
      </c>
      <c r="AS78" s="286" t="s">
        <v>82</v>
      </c>
      <c r="AT78" s="286" t="s">
        <v>83</v>
      </c>
      <c r="AU78" s="286" t="s">
        <v>84</v>
      </c>
      <c r="AV78" s="37" t="s">
        <v>60</v>
      </c>
      <c r="AW78" s="286" t="s">
        <v>85</v>
      </c>
      <c r="AX78" s="286" t="s">
        <v>86</v>
      </c>
      <c r="AY78" s="287" t="s">
        <v>37</v>
      </c>
      <c r="BW78" s="28"/>
      <c r="BX78" s="28"/>
      <c r="BY78" s="28"/>
    </row>
    <row r="79" spans="1:77" ht="21.75" thickBot="1">
      <c r="A79" s="56"/>
      <c r="B79" s="288"/>
      <c r="C79" s="17">
        <f t="shared" ref="C79:O79" si="29">SUM(C21:C77)</f>
        <v>0</v>
      </c>
      <c r="D79" s="17">
        <f t="shared" si="29"/>
        <v>0</v>
      </c>
      <c r="E79" s="17">
        <f t="shared" si="29"/>
        <v>0</v>
      </c>
      <c r="F79" s="17">
        <f t="shared" si="29"/>
        <v>0</v>
      </c>
      <c r="G79" s="17">
        <f t="shared" si="29"/>
        <v>0</v>
      </c>
      <c r="H79" s="17">
        <f t="shared" si="29"/>
        <v>0</v>
      </c>
      <c r="I79" s="17">
        <f t="shared" si="29"/>
        <v>0</v>
      </c>
      <c r="J79" s="17">
        <f t="shared" si="29"/>
        <v>0</v>
      </c>
      <c r="K79" s="17">
        <f t="shared" si="29"/>
        <v>0</v>
      </c>
      <c r="L79" s="17">
        <f t="shared" si="29"/>
        <v>0</v>
      </c>
      <c r="M79" s="17">
        <f t="shared" si="29"/>
        <v>0</v>
      </c>
      <c r="N79" s="82">
        <f>SUM(N21:N77)</f>
        <v>0</v>
      </c>
      <c r="O79" s="17">
        <f t="shared" si="29"/>
        <v>0</v>
      </c>
      <c r="P79" s="17"/>
      <c r="Q79" s="17">
        <f t="shared" ref="Q79:AX79" si="30">SUM(Q21:Q77)</f>
        <v>0</v>
      </c>
      <c r="R79" s="17">
        <f t="shared" si="30"/>
        <v>0</v>
      </c>
      <c r="S79" s="17">
        <f t="shared" si="30"/>
        <v>0</v>
      </c>
      <c r="T79" s="17">
        <f t="shared" si="30"/>
        <v>0</v>
      </c>
      <c r="U79" s="17">
        <f t="shared" si="30"/>
        <v>0</v>
      </c>
      <c r="V79" s="17">
        <f t="shared" si="30"/>
        <v>0</v>
      </c>
      <c r="W79" s="17">
        <f t="shared" si="30"/>
        <v>0</v>
      </c>
      <c r="X79" s="18">
        <f t="shared" si="30"/>
        <v>0</v>
      </c>
      <c r="Y79" s="18">
        <f t="shared" si="30"/>
        <v>0</v>
      </c>
      <c r="Z79" s="18">
        <f t="shared" si="30"/>
        <v>0</v>
      </c>
      <c r="AA79" s="18">
        <f t="shared" si="30"/>
        <v>0</v>
      </c>
      <c r="AB79" s="18">
        <f t="shared" si="30"/>
        <v>0</v>
      </c>
      <c r="AC79" s="18">
        <f t="shared" si="30"/>
        <v>0</v>
      </c>
      <c r="AD79" s="18">
        <f t="shared" si="30"/>
        <v>0</v>
      </c>
      <c r="AE79" s="18">
        <f t="shared" si="30"/>
        <v>0</v>
      </c>
      <c r="AF79" s="18">
        <f t="shared" si="30"/>
        <v>0</v>
      </c>
      <c r="AG79" s="18">
        <f t="shared" si="30"/>
        <v>0</v>
      </c>
      <c r="AH79" s="18">
        <f t="shared" si="30"/>
        <v>0</v>
      </c>
      <c r="AI79" s="18">
        <f t="shared" si="30"/>
        <v>0</v>
      </c>
      <c r="AJ79" s="18">
        <f t="shared" si="30"/>
        <v>0</v>
      </c>
      <c r="AK79" s="18">
        <f t="shared" si="30"/>
        <v>0</v>
      </c>
      <c r="AL79" s="18">
        <f t="shared" si="30"/>
        <v>0</v>
      </c>
      <c r="AM79" s="18">
        <f t="shared" si="30"/>
        <v>0</v>
      </c>
      <c r="AN79" s="18">
        <f t="shared" si="30"/>
        <v>0</v>
      </c>
      <c r="AO79" s="18">
        <f t="shared" si="30"/>
        <v>0</v>
      </c>
      <c r="AP79" s="18">
        <f t="shared" si="30"/>
        <v>0</v>
      </c>
      <c r="AQ79" s="18">
        <f t="shared" si="30"/>
        <v>0</v>
      </c>
      <c r="AR79" s="18">
        <f t="shared" si="30"/>
        <v>0</v>
      </c>
      <c r="AS79" s="18">
        <f t="shared" si="30"/>
        <v>0</v>
      </c>
      <c r="AT79" s="18">
        <f t="shared" si="30"/>
        <v>0</v>
      </c>
      <c r="AU79" s="18">
        <f t="shared" si="30"/>
        <v>0</v>
      </c>
      <c r="AV79" s="18">
        <f t="shared" si="30"/>
        <v>0</v>
      </c>
      <c r="AW79" s="18">
        <f t="shared" si="30"/>
        <v>0</v>
      </c>
      <c r="AX79" s="18">
        <f t="shared" si="30"/>
        <v>0</v>
      </c>
      <c r="AY79" s="289">
        <f>SUM(AY21:AY77)</f>
        <v>0</v>
      </c>
      <c r="BB79" s="69"/>
      <c r="BW79" s="28"/>
      <c r="BX79" s="28"/>
      <c r="BY79" s="28"/>
    </row>
    <row r="80" spans="1:77">
      <c r="A80" s="68"/>
      <c r="C80" s="1">
        <f>C79*C14</f>
        <v>0</v>
      </c>
      <c r="D80" s="1">
        <f t="shared" ref="D80:V80" si="31">D79*D14</f>
        <v>0</v>
      </c>
      <c r="E80" s="1">
        <f t="shared" si="31"/>
        <v>0</v>
      </c>
      <c r="F80" s="1">
        <f t="shared" si="31"/>
        <v>0</v>
      </c>
      <c r="G80" s="1">
        <f t="shared" si="31"/>
        <v>0</v>
      </c>
      <c r="H80" s="1">
        <f t="shared" si="31"/>
        <v>0</v>
      </c>
      <c r="I80" s="1">
        <f t="shared" si="31"/>
        <v>0</v>
      </c>
      <c r="J80" s="1">
        <f t="shared" si="31"/>
        <v>0</v>
      </c>
      <c r="K80" s="1">
        <f t="shared" si="31"/>
        <v>0</v>
      </c>
      <c r="L80" s="1">
        <f t="shared" si="31"/>
        <v>0</v>
      </c>
      <c r="M80" s="1">
        <f t="shared" si="31"/>
        <v>0</v>
      </c>
      <c r="N80" s="1">
        <f t="shared" si="31"/>
        <v>0</v>
      </c>
      <c r="O80" s="1">
        <f t="shared" si="31"/>
        <v>0</v>
      </c>
      <c r="P80" s="1">
        <f t="shared" si="31"/>
        <v>0</v>
      </c>
      <c r="Q80" s="1">
        <f t="shared" si="31"/>
        <v>0</v>
      </c>
      <c r="R80" s="1">
        <f>R79*R14</f>
        <v>0</v>
      </c>
      <c r="S80" s="1">
        <f>S79*S14</f>
        <v>0</v>
      </c>
      <c r="T80" s="1">
        <f t="shared" si="31"/>
        <v>0</v>
      </c>
      <c r="U80" s="1">
        <f t="shared" si="31"/>
        <v>0</v>
      </c>
      <c r="V80" s="1">
        <f t="shared" si="31"/>
        <v>0</v>
      </c>
      <c r="W80" s="1">
        <f>W79*W14</f>
        <v>0</v>
      </c>
      <c r="AY80" s="1">
        <f>SUM(C80:AX80)</f>
        <v>0</v>
      </c>
      <c r="BB80" s="1">
        <f>SUM(BB21:BB79)</f>
        <v>0</v>
      </c>
      <c r="BW80" s="28"/>
      <c r="BX80" s="28"/>
      <c r="BY80" s="28"/>
    </row>
    <row r="81" spans="75:77">
      <c r="BW81" s="28"/>
      <c r="BX81" s="28"/>
      <c r="BY81" s="28"/>
    </row>
    <row r="82" spans="75:77">
      <c r="BW82" s="28"/>
      <c r="BX82" s="28"/>
      <c r="BY82" s="28"/>
    </row>
    <row r="83" spans="75:77">
      <c r="BW83" s="28"/>
      <c r="BX83" s="28"/>
      <c r="BY83" s="28"/>
    </row>
    <row r="84" spans="75:77">
      <c r="BW84" s="28"/>
      <c r="BX84" s="28"/>
      <c r="BY84" s="28"/>
    </row>
    <row r="85" spans="75:77">
      <c r="BW85" s="28"/>
      <c r="BX85" s="28"/>
      <c r="BY85" s="28"/>
    </row>
    <row r="86" spans="75:77">
      <c r="BW86" s="28"/>
      <c r="BX86" s="28"/>
      <c r="BY86" s="28"/>
    </row>
    <row r="87" spans="75:77">
      <c r="BW87" s="28"/>
      <c r="BX87" s="28"/>
      <c r="BY87" s="28"/>
    </row>
    <row r="88" spans="75:77">
      <c r="BW88" s="28"/>
      <c r="BX88" s="28"/>
      <c r="BY88" s="28"/>
    </row>
    <row r="89" spans="75:77">
      <c r="BW89" s="28"/>
      <c r="BX89" s="28"/>
      <c r="BY89" s="28"/>
    </row>
    <row r="90" spans="75:77">
      <c r="BW90" s="28"/>
      <c r="BX90" s="28"/>
      <c r="BY90" s="28"/>
    </row>
    <row r="91" spans="75:77">
      <c r="BW91" s="28"/>
      <c r="BX91" s="28"/>
      <c r="BY91" s="28"/>
    </row>
    <row r="92" spans="75:77">
      <c r="BW92" s="28"/>
      <c r="BX92" s="28"/>
      <c r="BY92" s="28"/>
    </row>
    <row r="93" spans="75:77">
      <c r="BW93" s="28"/>
      <c r="BX93" s="28"/>
      <c r="BY93" s="28"/>
    </row>
    <row r="94" spans="75:77">
      <c r="BW94" s="28"/>
      <c r="BX94" s="28"/>
      <c r="BY94" s="28"/>
    </row>
    <row r="95" spans="75:77">
      <c r="BW95" s="28"/>
      <c r="BX95" s="28"/>
      <c r="BY95" s="28"/>
    </row>
    <row r="96" spans="75:77">
      <c r="BW96" s="28"/>
      <c r="BX96" s="28"/>
      <c r="BY96" s="28"/>
    </row>
    <row r="97" spans="75:77">
      <c r="BW97" s="28"/>
      <c r="BX97" s="28"/>
      <c r="BY97" s="28"/>
    </row>
    <row r="98" spans="75:77">
      <c r="BW98" s="28"/>
      <c r="BX98" s="28"/>
      <c r="BY98" s="28"/>
    </row>
    <row r="99" spans="75:77">
      <c r="BW99" s="28"/>
      <c r="BX99" s="28"/>
      <c r="BY99" s="28"/>
    </row>
    <row r="100" spans="75:77">
      <c r="BW100" s="28"/>
      <c r="BX100" s="28"/>
      <c r="BY100" s="28"/>
    </row>
    <row r="101" spans="75:77">
      <c r="BW101" s="28"/>
      <c r="BX101" s="28"/>
      <c r="BY101" s="28"/>
    </row>
    <row r="102" spans="75:77">
      <c r="BW102" s="28"/>
      <c r="BX102" s="28"/>
      <c r="BY102" s="28"/>
    </row>
    <row r="103" spans="75:77">
      <c r="BW103" s="28"/>
      <c r="BX103" s="28"/>
      <c r="BY103" s="28"/>
    </row>
    <row r="104" spans="75:77">
      <c r="BW104" s="28"/>
      <c r="BX104" s="28"/>
      <c r="BY104" s="28"/>
    </row>
    <row r="105" spans="75:77">
      <c r="BW105" s="28"/>
      <c r="BX105" s="28"/>
      <c r="BY105" s="28"/>
    </row>
    <row r="106" spans="75:77">
      <c r="BW106" s="28"/>
      <c r="BX106" s="28"/>
      <c r="BY106" s="28"/>
    </row>
    <row r="107" spans="75:77">
      <c r="BW107" s="28"/>
      <c r="BX107" s="28"/>
      <c r="BY107" s="28"/>
    </row>
    <row r="108" spans="75:77">
      <c r="BW108" s="28"/>
      <c r="BX108" s="28"/>
      <c r="BY108" s="28"/>
    </row>
    <row r="109" spans="75:77">
      <c r="BW109" s="28"/>
      <c r="BX109" s="28"/>
      <c r="BY109" s="28"/>
    </row>
    <row r="110" spans="75:77">
      <c r="BW110" s="28"/>
      <c r="BX110" s="28"/>
      <c r="BY110" s="28"/>
    </row>
    <row r="111" spans="75:77">
      <c r="BW111" s="28"/>
      <c r="BX111" s="28"/>
      <c r="BY111" s="28"/>
    </row>
    <row r="112" spans="75:77">
      <c r="BW112" s="28"/>
      <c r="BX112" s="28"/>
      <c r="BY112" s="28"/>
    </row>
    <row r="113" spans="75:77">
      <c r="BW113" s="28"/>
      <c r="BX113" s="28"/>
      <c r="BY113" s="28"/>
    </row>
    <row r="114" spans="75:77">
      <c r="BW114" s="28"/>
      <c r="BX114" s="28"/>
      <c r="BY114" s="28"/>
    </row>
    <row r="115" spans="75:77">
      <c r="BW115" s="28"/>
      <c r="BX115" s="28"/>
      <c r="BY115" s="28"/>
    </row>
    <row r="116" spans="75:77">
      <c r="BW116" s="28"/>
      <c r="BX116" s="28"/>
      <c r="BY116" s="28"/>
    </row>
    <row r="117" spans="75:77">
      <c r="BW117" s="28"/>
      <c r="BX117" s="28"/>
      <c r="BY117" s="28"/>
    </row>
    <row r="118" spans="75:77">
      <c r="BW118" s="28"/>
      <c r="BX118" s="28"/>
      <c r="BY118" s="28"/>
    </row>
    <row r="119" spans="75:77">
      <c r="BW119" s="28"/>
      <c r="BX119" s="28"/>
      <c r="BY119" s="28"/>
    </row>
    <row r="120" spans="75:77">
      <c r="BW120" s="28"/>
      <c r="BX120" s="28"/>
      <c r="BY120" s="28"/>
    </row>
    <row r="121" spans="75:77">
      <c r="BW121" s="28"/>
      <c r="BX121" s="28"/>
      <c r="BY121" s="28"/>
    </row>
    <row r="122" spans="75:77">
      <c r="BW122" s="28"/>
      <c r="BX122" s="28"/>
      <c r="BY122" s="28"/>
    </row>
    <row r="123" spans="75:77">
      <c r="BW123" s="28"/>
      <c r="BX123" s="28"/>
      <c r="BY123" s="28"/>
    </row>
    <row r="124" spans="75:77">
      <c r="BW124" s="28"/>
      <c r="BX124" s="28"/>
      <c r="BY124" s="28"/>
    </row>
    <row r="125" spans="75:77">
      <c r="BW125" s="28"/>
      <c r="BX125" s="28"/>
      <c r="BY125" s="28"/>
    </row>
    <row r="126" spans="75:77">
      <c r="BW126" s="28"/>
      <c r="BX126" s="28"/>
      <c r="BY126" s="28"/>
    </row>
    <row r="127" spans="75:77">
      <c r="BW127" s="28"/>
      <c r="BX127" s="28"/>
      <c r="BY127" s="28"/>
    </row>
    <row r="128" spans="75:77">
      <c r="BW128" s="28"/>
      <c r="BX128" s="28"/>
      <c r="BY128" s="28"/>
    </row>
    <row r="129" spans="75:77">
      <c r="BW129" s="28"/>
      <c r="BX129" s="28"/>
      <c r="BY129" s="28"/>
    </row>
    <row r="130" spans="75:77">
      <c r="BW130" s="28"/>
      <c r="BX130" s="28"/>
      <c r="BY130" s="28"/>
    </row>
    <row r="131" spans="75:77">
      <c r="BW131" s="28"/>
      <c r="BX131" s="28"/>
      <c r="BY131" s="28"/>
    </row>
    <row r="132" spans="75:77">
      <c r="BW132" s="28"/>
      <c r="BX132" s="28"/>
      <c r="BY132" s="28"/>
    </row>
    <row r="133" spans="75:77">
      <c r="BW133" s="28"/>
      <c r="BX133" s="28"/>
      <c r="BY133" s="28"/>
    </row>
    <row r="134" spans="75:77">
      <c r="BW134" s="28"/>
      <c r="BX134" s="28"/>
      <c r="BY134" s="28"/>
    </row>
    <row r="135" spans="75:77">
      <c r="BW135" s="28"/>
      <c r="BX135" s="28"/>
      <c r="BY135" s="28"/>
    </row>
    <row r="136" spans="75:77">
      <c r="BW136" s="28"/>
      <c r="BX136" s="28"/>
      <c r="BY136" s="28"/>
    </row>
    <row r="137" spans="75:77">
      <c r="BW137" s="28"/>
      <c r="BX137" s="28"/>
      <c r="BY137" s="28"/>
    </row>
    <row r="138" spans="75:77">
      <c r="BW138" s="28"/>
      <c r="BX138" s="28"/>
      <c r="BY138" s="28"/>
    </row>
    <row r="139" spans="75:77">
      <c r="BW139" s="28"/>
      <c r="BX139" s="28"/>
      <c r="BY139" s="28"/>
    </row>
    <row r="140" spans="75:77">
      <c r="BW140" s="28"/>
      <c r="BX140" s="28"/>
      <c r="BY140" s="28"/>
    </row>
    <row r="141" spans="75:77">
      <c r="BW141" s="28"/>
      <c r="BX141" s="28"/>
      <c r="BY141" s="28"/>
    </row>
    <row r="142" spans="75:77">
      <c r="BW142" s="28"/>
      <c r="BX142" s="28"/>
      <c r="BY142" s="28"/>
    </row>
    <row r="143" spans="75:77">
      <c r="BW143" s="28"/>
      <c r="BX143" s="28"/>
      <c r="BY143" s="28"/>
    </row>
    <row r="144" spans="75:77">
      <c r="BW144" s="28"/>
      <c r="BX144" s="28"/>
      <c r="BY144" s="28"/>
    </row>
    <row r="145" spans="75:77">
      <c r="BW145" s="28"/>
      <c r="BX145" s="28"/>
      <c r="BY145" s="28"/>
    </row>
    <row r="146" spans="75:77">
      <c r="BW146" s="28"/>
      <c r="BX146" s="28"/>
      <c r="BY146" s="28"/>
    </row>
    <row r="147" spans="75:77">
      <c r="BW147" s="28"/>
      <c r="BX147" s="28"/>
      <c r="BY147" s="28"/>
    </row>
    <row r="148" spans="75:77">
      <c r="BW148" s="28"/>
      <c r="BX148" s="28"/>
      <c r="BY148" s="28"/>
    </row>
    <row r="149" spans="75:77">
      <c r="BW149" s="28"/>
      <c r="BX149" s="28"/>
      <c r="BY149" s="28"/>
    </row>
    <row r="150" spans="75:77">
      <c r="BW150" s="28"/>
      <c r="BX150" s="28"/>
      <c r="BY150" s="28"/>
    </row>
    <row r="151" spans="75:77">
      <c r="BW151" s="28"/>
      <c r="BX151" s="28"/>
      <c r="BY151" s="28"/>
    </row>
    <row r="152" spans="75:77">
      <c r="BW152" s="28"/>
      <c r="BX152" s="28"/>
      <c r="BY152" s="28"/>
    </row>
    <row r="153" spans="75:77">
      <c r="BW153" s="28"/>
      <c r="BX153" s="28"/>
      <c r="BY153" s="28"/>
    </row>
    <row r="154" spans="75:77">
      <c r="BW154" s="28"/>
      <c r="BX154" s="28"/>
      <c r="BY154" s="28"/>
    </row>
    <row r="155" spans="75:77">
      <c r="BW155" s="28"/>
      <c r="BX155" s="28"/>
      <c r="BY155" s="28"/>
    </row>
    <row r="156" spans="75:77">
      <c r="BW156" s="28"/>
      <c r="BX156" s="28"/>
      <c r="BY156" s="28"/>
    </row>
    <row r="157" spans="75:77">
      <c r="BW157" s="28"/>
      <c r="BX157" s="28"/>
      <c r="BY157" s="28"/>
    </row>
    <row r="158" spans="75:77">
      <c r="BW158" s="28"/>
      <c r="BX158" s="28"/>
      <c r="BY158" s="28"/>
    </row>
    <row r="159" spans="75:77">
      <c r="BW159" s="28"/>
      <c r="BX159" s="28"/>
      <c r="BY159" s="28"/>
    </row>
    <row r="160" spans="75:77">
      <c r="BW160" s="28"/>
      <c r="BX160" s="28"/>
      <c r="BY160" s="28"/>
    </row>
    <row r="161" spans="75:77">
      <c r="BW161" s="28"/>
      <c r="BX161" s="28"/>
      <c r="BY161" s="28"/>
    </row>
    <row r="162" spans="75:77">
      <c r="BW162" s="28"/>
      <c r="BX162" s="28"/>
      <c r="BY162" s="28"/>
    </row>
    <row r="163" spans="75:77">
      <c r="BW163" s="28"/>
      <c r="BX163" s="28"/>
      <c r="BY163" s="28"/>
    </row>
    <row r="164" spans="75:77">
      <c r="BW164" s="28"/>
      <c r="BX164" s="28"/>
      <c r="BY164" s="28"/>
    </row>
    <row r="165" spans="75:77">
      <c r="BW165" s="28"/>
      <c r="BX165" s="28"/>
      <c r="BY165" s="28"/>
    </row>
    <row r="166" spans="75:77">
      <c r="BW166" s="28"/>
      <c r="BX166" s="28"/>
      <c r="BY166" s="28"/>
    </row>
    <row r="167" spans="75:77">
      <c r="BW167" s="28"/>
      <c r="BX167" s="28"/>
      <c r="BY167" s="28"/>
    </row>
    <row r="168" spans="75:77">
      <c r="BW168" s="28"/>
      <c r="BX168" s="28"/>
      <c r="BY168" s="28"/>
    </row>
    <row r="169" spans="75:77">
      <c r="BW169" s="28"/>
      <c r="BX169" s="28"/>
      <c r="BY169" s="28"/>
    </row>
    <row r="170" spans="75:77">
      <c r="BW170" s="28"/>
      <c r="BX170" s="28"/>
      <c r="BY170" s="28"/>
    </row>
    <row r="171" spans="75:77">
      <c r="BW171" s="28"/>
      <c r="BX171" s="28"/>
      <c r="BY171" s="28"/>
    </row>
    <row r="172" spans="75:77">
      <c r="BW172" s="28"/>
      <c r="BX172" s="28"/>
      <c r="BY172" s="28"/>
    </row>
    <row r="173" spans="75:77">
      <c r="BW173" s="28"/>
      <c r="BX173" s="28"/>
      <c r="BY173" s="28"/>
    </row>
    <row r="174" spans="75:77">
      <c r="BW174" s="28"/>
      <c r="BX174" s="28"/>
      <c r="BY174" s="28"/>
    </row>
    <row r="175" spans="75:77">
      <c r="BW175" s="28"/>
      <c r="BX175" s="28"/>
      <c r="BY175" s="28"/>
    </row>
    <row r="176" spans="75:77">
      <c r="BW176" s="28"/>
      <c r="BX176" s="28"/>
      <c r="BY176" s="28"/>
    </row>
    <row r="177" spans="75:77">
      <c r="BW177" s="28"/>
      <c r="BX177" s="28"/>
      <c r="BY177" s="28"/>
    </row>
    <row r="178" spans="75:77">
      <c r="BW178" s="28"/>
      <c r="BX178" s="28"/>
      <c r="BY178" s="28"/>
    </row>
    <row r="179" spans="75:77">
      <c r="BW179" s="28"/>
      <c r="BX179" s="28"/>
      <c r="BY179" s="28"/>
    </row>
    <row r="180" spans="75:77">
      <c r="BW180" s="28"/>
      <c r="BX180" s="28"/>
      <c r="BY180" s="28"/>
    </row>
    <row r="181" spans="75:77">
      <c r="BW181" s="28"/>
      <c r="BX181" s="28"/>
      <c r="BY181" s="28"/>
    </row>
    <row r="182" spans="75:77">
      <c r="BW182" s="28"/>
      <c r="BX182" s="28"/>
      <c r="BY182" s="28"/>
    </row>
    <row r="183" spans="75:77">
      <c r="BW183" s="28"/>
      <c r="BX183" s="28"/>
      <c r="BY183" s="28"/>
    </row>
    <row r="184" spans="75:77">
      <c r="BW184" s="28"/>
      <c r="BX184" s="28"/>
      <c r="BY184" s="28"/>
    </row>
    <row r="185" spans="75:77">
      <c r="BW185" s="28"/>
      <c r="BX185" s="28"/>
      <c r="BY185" s="28"/>
    </row>
    <row r="186" spans="75:77">
      <c r="BW186" s="28"/>
      <c r="BX186" s="28"/>
      <c r="BY186" s="28"/>
    </row>
    <row r="187" spans="75:77">
      <c r="BW187" s="28"/>
      <c r="BX187" s="28"/>
      <c r="BY187" s="28"/>
    </row>
    <row r="188" spans="75:77">
      <c r="BW188" s="28"/>
      <c r="BX188" s="28"/>
      <c r="BY188" s="28"/>
    </row>
    <row r="189" spans="75:77">
      <c r="BW189" s="28"/>
      <c r="BX189" s="28"/>
      <c r="BY189" s="28"/>
    </row>
    <row r="190" spans="75:77">
      <c r="BW190" s="28"/>
      <c r="BX190" s="28"/>
      <c r="BY190" s="28"/>
    </row>
    <row r="191" spans="75:77">
      <c r="BW191" s="28"/>
      <c r="BX191" s="28"/>
      <c r="BY191" s="28"/>
    </row>
    <row r="192" spans="75:77">
      <c r="BW192" s="28"/>
      <c r="BX192" s="28"/>
      <c r="BY192" s="28"/>
    </row>
    <row r="193" spans="75:77">
      <c r="BW193" s="28"/>
      <c r="BX193" s="28"/>
      <c r="BY193" s="28"/>
    </row>
    <row r="194" spans="75:77">
      <c r="BW194" s="28"/>
      <c r="BX194" s="28"/>
      <c r="BY194" s="28"/>
    </row>
    <row r="195" spans="75:77">
      <c r="BW195" s="28"/>
      <c r="BX195" s="28"/>
      <c r="BY195" s="28"/>
    </row>
    <row r="196" spans="75:77">
      <c r="BW196" s="28"/>
      <c r="BX196" s="28"/>
      <c r="BY196" s="28"/>
    </row>
    <row r="197" spans="75:77">
      <c r="BW197" s="28"/>
      <c r="BX197" s="28"/>
      <c r="BY197" s="28"/>
    </row>
    <row r="198" spans="75:77">
      <c r="BW198" s="28"/>
      <c r="BX198" s="28"/>
      <c r="BY198" s="28"/>
    </row>
    <row r="199" spans="75:77">
      <c r="BW199" s="28"/>
      <c r="BX199" s="28"/>
      <c r="BY199" s="28"/>
    </row>
    <row r="200" spans="75:77">
      <c r="BW200" s="28"/>
      <c r="BX200" s="28"/>
      <c r="BY200" s="28"/>
    </row>
    <row r="201" spans="75:77">
      <c r="BW201" s="28"/>
      <c r="BX201" s="28"/>
      <c r="BY201" s="28"/>
    </row>
    <row r="202" spans="75:77">
      <c r="BW202" s="28"/>
      <c r="BX202" s="28"/>
      <c r="BY202" s="28"/>
    </row>
  </sheetData>
  <sortState ref="B21:BB75">
    <sortCondition ref="BA21:BA75"/>
  </sortState>
  <mergeCells count="147">
    <mergeCell ref="W1:AY1"/>
    <mergeCell ref="A2:B2"/>
    <mergeCell ref="C2:E2"/>
    <mergeCell ref="F2:G2"/>
    <mergeCell ref="H2:I2"/>
    <mergeCell ref="J2:K2"/>
    <mergeCell ref="C1:R1"/>
    <mergeCell ref="S1:V1"/>
    <mergeCell ref="Y2:Z2"/>
    <mergeCell ref="W2:X2"/>
    <mergeCell ref="AA2:AY2"/>
    <mergeCell ref="S2:V2"/>
    <mergeCell ref="L2:R2"/>
    <mergeCell ref="W6:X6"/>
    <mergeCell ref="W7:X7"/>
    <mergeCell ref="A8:B8"/>
    <mergeCell ref="A3:B3"/>
    <mergeCell ref="C3:E3"/>
    <mergeCell ref="F3:G3"/>
    <mergeCell ref="H3:I3"/>
    <mergeCell ref="J3:K3"/>
    <mergeCell ref="A5:B5"/>
    <mergeCell ref="C5:E5"/>
    <mergeCell ref="F5:G5"/>
    <mergeCell ref="H5:I5"/>
    <mergeCell ref="J5:K5"/>
    <mergeCell ref="S3:V3"/>
    <mergeCell ref="S4:V4"/>
    <mergeCell ref="S5:V5"/>
    <mergeCell ref="S6:V6"/>
    <mergeCell ref="L6:R6"/>
    <mergeCell ref="L3:R3"/>
    <mergeCell ref="L5:R5"/>
    <mergeCell ref="L4:R4"/>
    <mergeCell ref="L7:R7"/>
    <mergeCell ref="W3:X3"/>
    <mergeCell ref="BH44:BI44"/>
    <mergeCell ref="C8:E8"/>
    <mergeCell ref="F8:G8"/>
    <mergeCell ref="H8:I8"/>
    <mergeCell ref="J8:K8"/>
    <mergeCell ref="BC33:BC34"/>
    <mergeCell ref="A4:B4"/>
    <mergeCell ref="C4:E4"/>
    <mergeCell ref="F4:G4"/>
    <mergeCell ref="H4:I4"/>
    <mergeCell ref="J4:K4"/>
    <mergeCell ref="A7:B7"/>
    <mergeCell ref="C7:E7"/>
    <mergeCell ref="F7:G7"/>
    <mergeCell ref="H7:I7"/>
    <mergeCell ref="J7:K7"/>
    <mergeCell ref="A6:B6"/>
    <mergeCell ref="C6:E6"/>
    <mergeCell ref="F6:G6"/>
    <mergeCell ref="H6:I6"/>
    <mergeCell ref="S7:V7"/>
    <mergeCell ref="W4:X4"/>
    <mergeCell ref="W5:X5"/>
    <mergeCell ref="W8:X8"/>
    <mergeCell ref="BG64:BI64"/>
    <mergeCell ref="BJ64:BK64"/>
    <mergeCell ref="BJ63:BK63"/>
    <mergeCell ref="BJ39:BK39"/>
    <mergeCell ref="BD41:BI41"/>
    <mergeCell ref="BD42:BI42"/>
    <mergeCell ref="BD49:BI49"/>
    <mergeCell ref="J6:K6"/>
    <mergeCell ref="C9:S9"/>
    <mergeCell ref="T9:AY9"/>
    <mergeCell ref="BC30:BC31"/>
    <mergeCell ref="BD35:BE35"/>
    <mergeCell ref="BF35:BG35"/>
    <mergeCell ref="L8:R8"/>
    <mergeCell ref="S8:V8"/>
    <mergeCell ref="BD43:BI43"/>
    <mergeCell ref="BD45:BI45"/>
    <mergeCell ref="BD46:BI46"/>
    <mergeCell ref="BD47:BI47"/>
    <mergeCell ref="BD48:BI48"/>
    <mergeCell ref="BD39:BE39"/>
    <mergeCell ref="BF39:BI39"/>
    <mergeCell ref="BD44:BE44"/>
    <mergeCell ref="BF44:BG44"/>
    <mergeCell ref="BE68:BF68"/>
    <mergeCell ref="BE69:BF69"/>
    <mergeCell ref="BE70:BF70"/>
    <mergeCell ref="BJ70:BK70"/>
    <mergeCell ref="BH70:BI70"/>
    <mergeCell ref="BH69:BI69"/>
    <mergeCell ref="BJ69:BK69"/>
    <mergeCell ref="BD50:BI50"/>
    <mergeCell ref="BD51:BI51"/>
    <mergeCell ref="BD52:BI52"/>
    <mergeCell ref="BD53:BI53"/>
    <mergeCell ref="BD54:BI54"/>
    <mergeCell ref="BJ62:BK62"/>
    <mergeCell ref="BD65:BE65"/>
    <mergeCell ref="BD60:BE60"/>
    <mergeCell ref="BG60:BI60"/>
    <mergeCell ref="BJ60:BK60"/>
    <mergeCell ref="BD61:BE61"/>
    <mergeCell ref="BG61:BI61"/>
    <mergeCell ref="BJ61:BK61"/>
    <mergeCell ref="BD63:BE63"/>
    <mergeCell ref="BD64:BE64"/>
    <mergeCell ref="BD62:BE62"/>
    <mergeCell ref="BG62:BI62"/>
    <mergeCell ref="BE75:BF75"/>
    <mergeCell ref="BE73:BF73"/>
    <mergeCell ref="BH73:BI73"/>
    <mergeCell ref="BJ73:BK73"/>
    <mergeCell ref="BE74:BF74"/>
    <mergeCell ref="BE71:BF71"/>
    <mergeCell ref="BH71:BI71"/>
    <mergeCell ref="BJ71:BK71"/>
    <mergeCell ref="BE72:BF72"/>
    <mergeCell ref="BH72:BI72"/>
    <mergeCell ref="BJ72:BK72"/>
    <mergeCell ref="BH75:BI75"/>
    <mergeCell ref="BJ75:BK75"/>
    <mergeCell ref="BH74:BI74"/>
    <mergeCell ref="BJ74:BK74"/>
    <mergeCell ref="BG65:BI65"/>
    <mergeCell ref="BJ65:BK65"/>
    <mergeCell ref="BG66:BI66"/>
    <mergeCell ref="BJ66:BK66"/>
    <mergeCell ref="AA3:AY3"/>
    <mergeCell ref="Y8:Z8"/>
    <mergeCell ref="Y5:Z5"/>
    <mergeCell ref="Y4:Z4"/>
    <mergeCell ref="Y3:Z3"/>
    <mergeCell ref="AA7:AY7"/>
    <mergeCell ref="AA8:AY8"/>
    <mergeCell ref="AA6:AY6"/>
    <mergeCell ref="AA5:AY5"/>
    <mergeCell ref="AA4:AY4"/>
    <mergeCell ref="Y6:Z6"/>
    <mergeCell ref="Y7:Z7"/>
    <mergeCell ref="BD55:BI55"/>
    <mergeCell ref="BD56:BI56"/>
    <mergeCell ref="BD57:BI57"/>
    <mergeCell ref="BD59:BE59"/>
    <mergeCell ref="BG59:BI59"/>
    <mergeCell ref="BD66:BE66"/>
    <mergeCell ref="BJ59:BK59"/>
    <mergeCell ref="BG63:BI63"/>
  </mergeCells>
  <phoneticPr fontId="4"/>
  <conditionalFormatting sqref="A21:A78 B21:AY77">
    <cfRule type="expression" dxfId="43" priority="14">
      <formula>MOD(ROW(),2)=1</formula>
    </cfRule>
  </conditionalFormatting>
  <conditionalFormatting sqref="BP43:BP46 BX37 BT37:BV37 BX39 BX41 BV39 BT40:BU40 BV41 BT42:BU42 BP35:BP41 BK21:BK34">
    <cfRule type="cellIs" dxfId="42" priority="12" stopIfTrue="1" operator="equal">
      <formula>0</formula>
    </cfRule>
  </conditionalFormatting>
  <conditionalFormatting sqref="B21:AY77">
    <cfRule type="expression" dxfId="41" priority="9">
      <formula>$AZ21="z"</formula>
    </cfRule>
    <cfRule type="expression" dxfId="40" priority="13">
      <formula>$AZ21="a"</formula>
    </cfRule>
  </conditionalFormatting>
  <conditionalFormatting sqref="A21:AY78">
    <cfRule type="expression" dxfId="39" priority="8">
      <formula>MOD(ROW(),2)=1</formula>
    </cfRule>
  </conditionalFormatting>
  <conditionalFormatting sqref="BP43:BP46 BX37 BT37:BV37 BX39 BX41 BV39 BT40:BU40 BV41 BT42:BU42 BP35:BP41 BK21:BK34">
    <cfRule type="cellIs" dxfId="38" priority="7" stopIfTrue="1" operator="equal">
      <formula>0</formula>
    </cfRule>
  </conditionalFormatting>
  <conditionalFormatting sqref="B21:AY100">
    <cfRule type="expression" dxfId="37" priority="5">
      <formula>$AZ21="z"</formula>
    </cfRule>
    <cfRule type="expression" dxfId="36" priority="6">
      <formula>$AZ21="a"</formula>
    </cfRule>
  </conditionalFormatting>
  <conditionalFormatting sqref="A21:A78 B21:AY77">
    <cfRule type="expression" dxfId="35" priority="4">
      <formula>MOD(ROW(),2)=1</formula>
    </cfRule>
  </conditionalFormatting>
  <conditionalFormatting sqref="BP43:BP46 BX37 BT37:BV37 BX39 BX41 BV39 BT40:BU40 BV41 BT42:BU42 BP35:BP41 BK21:BK34">
    <cfRule type="cellIs" dxfId="34" priority="3" stopIfTrue="1" operator="equal">
      <formula>0</formula>
    </cfRule>
  </conditionalFormatting>
  <conditionalFormatting sqref="B21:AY77">
    <cfRule type="expression" dxfId="33" priority="1">
      <formula>$AZ21="z"</formula>
    </cfRule>
    <cfRule type="expression" dxfId="32" priority="2">
      <formula>$AZ21="a"</formula>
    </cfRule>
  </conditionalFormatting>
  <dataValidations count="3">
    <dataValidation imeMode="off" allowBlank="1" showInputMessage="1" showErrorMessage="1" sqref="AZ21:BB77"/>
    <dataValidation type="custom" allowBlank="1" showInputMessage="1" showErrorMessage="1" sqref="C21:C77">
      <formula1>$AZ$69&lt;&gt;"a"</formula1>
    </dataValidation>
    <dataValidation type="custom" allowBlank="1" showInputMessage="1" showErrorMessage="1" sqref="B21:B77 D21:W77">
      <formula1>$AZ$70&lt;&gt;"a"</formula1>
    </dataValidation>
  </dataValidations>
  <pageMargins left="0.19685039370078741" right="0.31496062992125984" top="0.74803149606299213" bottom="0.74803149606299213" header="0.31496062992125984" footer="0.31496062992125984"/>
  <pageSetup paperSize="9" scale="3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CS240"/>
  <sheetViews>
    <sheetView showGridLines="0" tabSelected="1" zoomScale="85" zoomScaleNormal="85" workbookViewId="0">
      <pane xSplit="1" ySplit="1" topLeftCell="B2" activePane="bottomRight" state="frozen"/>
      <selection activeCell="U12" sqref="U12:W12"/>
      <selection pane="topRight" activeCell="U12" sqref="U12:W12"/>
      <selection pane="bottomLeft" activeCell="U12" sqref="U12:W12"/>
      <selection pane="bottomRight" activeCell="E2" sqref="E2"/>
    </sheetView>
  </sheetViews>
  <sheetFormatPr defaultColWidth="9" defaultRowHeight="14.25"/>
  <cols>
    <col min="1" max="1" width="3.75" style="94" customWidth="1"/>
    <col min="2" max="2" width="3.5" style="110" customWidth="1"/>
    <col min="3" max="3" width="3.375" style="111" customWidth="1"/>
    <col min="4" max="5" width="3.125" style="110" customWidth="1"/>
    <col min="6" max="9" width="3.75" style="110" customWidth="1"/>
    <col min="10" max="10" width="6.625" style="112" customWidth="1"/>
    <col min="11" max="11" width="7.875" style="85" customWidth="1"/>
    <col min="12" max="16" width="3.75" style="109" customWidth="1"/>
    <col min="17" max="18" width="3.75" style="109" hidden="1" customWidth="1"/>
    <col min="19" max="20" width="3.75" style="96" hidden="1" customWidth="1"/>
    <col min="21" max="26" width="4.5" style="109" customWidth="1"/>
    <col min="27" max="27" width="4.375" style="327" customWidth="1"/>
    <col min="28" max="28" width="4.5" style="327" customWidth="1"/>
    <col min="29" max="29" width="3.875" style="327" customWidth="1"/>
    <col min="30" max="30" width="4.125" style="327" customWidth="1"/>
    <col min="31" max="31" width="4.375" style="327" customWidth="1"/>
    <col min="32" max="32" width="4.5" style="327" customWidth="1"/>
    <col min="33" max="34" width="4.125" style="327" customWidth="1"/>
    <col min="35" max="35" width="5" style="327" customWidth="1"/>
    <col min="36" max="36" width="7" style="327" hidden="1" customWidth="1"/>
    <col min="37" max="37" width="3.5" style="327" hidden="1" customWidth="1"/>
    <col min="38" max="38" width="7.75" style="327" customWidth="1"/>
    <col min="39" max="39" width="7.5" style="327" customWidth="1"/>
    <col min="40" max="41" width="8.75" style="109" hidden="1" customWidth="1"/>
    <col min="42" max="42" width="9.875" style="109" customWidth="1"/>
    <col min="43" max="44" width="10.625" style="109" hidden="1" customWidth="1"/>
    <col min="45" max="45" width="8.125" style="109" customWidth="1"/>
    <col min="46" max="46" width="10.625" style="109" customWidth="1"/>
    <col min="47" max="47" width="9.375" style="109" customWidth="1"/>
    <col min="48" max="48" width="8.125" style="109" customWidth="1"/>
    <col min="49" max="49" width="11.875" style="325" customWidth="1"/>
    <col min="50" max="50" width="11.875" style="326" customWidth="1"/>
    <col min="51" max="51" width="3.75" style="97" customWidth="1"/>
    <col min="52" max="52" width="4.5" style="97" customWidth="1"/>
    <col min="53" max="53" width="7.5" style="97" customWidth="1"/>
    <col min="54" max="54" width="6" style="97" customWidth="1"/>
    <col min="55" max="55" width="3.625" style="97" customWidth="1"/>
    <col min="56" max="56" width="5.625" style="97" customWidth="1"/>
    <col min="57" max="61" width="5.625" style="96" customWidth="1"/>
    <col min="62" max="81" width="9" style="96" customWidth="1"/>
    <col min="82" max="16384" width="9" style="96"/>
  </cols>
  <sheetData>
    <row r="1" spans="2:97" ht="24.75" customHeight="1">
      <c r="B1" s="95" t="s">
        <v>20</v>
      </c>
      <c r="C1" s="86" t="s">
        <v>461</v>
      </c>
      <c r="D1" s="552" t="s">
        <v>7</v>
      </c>
      <c r="E1" s="553"/>
      <c r="F1" s="553"/>
      <c r="G1" s="553"/>
      <c r="H1" s="553"/>
      <c r="I1" s="554"/>
      <c r="J1" s="425" t="s">
        <v>460</v>
      </c>
      <c r="K1" s="86" t="s">
        <v>1</v>
      </c>
      <c r="L1" s="557" t="str">
        <f>"コース　　レジ金"&amp;精算表!BJ75</f>
        <v>コース　　レジ金200000</v>
      </c>
      <c r="M1" s="558"/>
      <c r="N1" s="558"/>
      <c r="O1" s="558"/>
      <c r="P1" s="558"/>
      <c r="Q1" s="558"/>
      <c r="R1" s="559"/>
      <c r="S1" s="555"/>
      <c r="T1" s="556"/>
      <c r="U1" s="560" t="s">
        <v>250</v>
      </c>
      <c r="V1" s="561"/>
      <c r="W1" s="561"/>
      <c r="X1" s="562" t="str">
        <f>"レジ金"&amp;精算表!BD52</f>
        <v>レジ金200000</v>
      </c>
      <c r="Y1" s="562"/>
      <c r="Z1" s="563"/>
      <c r="AA1" s="426" t="str">
        <f t="shared" ref="AA1:AI1" ca="1" si="0">INDIRECT("管理シート!CB"&amp;COLUMN(D1))</f>
        <v>入無</v>
      </c>
      <c r="AB1" s="426" t="str">
        <f t="shared" ca="1" si="0"/>
        <v>新人割</v>
      </c>
      <c r="AC1" s="426" t="str">
        <f t="shared" ca="1" si="0"/>
        <v>午前割</v>
      </c>
      <c r="AD1" s="426" t="str">
        <f t="shared" ca="1" si="0"/>
        <v>知割</v>
      </c>
      <c r="AE1" s="426" t="str">
        <f t="shared" ca="1" si="0"/>
        <v>超早朝割</v>
      </c>
      <c r="AF1" s="426" t="str">
        <f t="shared" ca="1" si="0"/>
        <v>早朝割</v>
      </c>
      <c r="AG1" s="426" t="str">
        <f t="shared" ca="1" si="0"/>
        <v>2輪入無</v>
      </c>
      <c r="AH1" s="426" t="str">
        <f t="shared" ca="1" si="0"/>
        <v>還元チケット</v>
      </c>
      <c r="AI1" s="426" t="str">
        <f t="shared" ca="1" si="0"/>
        <v>協力店優待券</v>
      </c>
      <c r="AJ1" s="427" t="str">
        <f>管理シート!CB24</f>
        <v>特殊割引</v>
      </c>
      <c r="AK1" s="87"/>
      <c r="AL1" s="428" t="s">
        <v>28</v>
      </c>
      <c r="AM1" s="429" t="s">
        <v>29</v>
      </c>
      <c r="AN1" s="86" t="s">
        <v>21</v>
      </c>
      <c r="AO1" s="86" t="s">
        <v>21</v>
      </c>
      <c r="AP1" s="231" t="s">
        <v>202</v>
      </c>
      <c r="AQ1" s="144" t="s">
        <v>203</v>
      </c>
      <c r="AR1" s="144" t="s">
        <v>204</v>
      </c>
      <c r="AS1" s="292" t="s">
        <v>208</v>
      </c>
      <c r="AT1" s="88" t="s">
        <v>151</v>
      </c>
      <c r="AU1" s="88" t="s">
        <v>283</v>
      </c>
      <c r="AV1" s="88" t="s">
        <v>285</v>
      </c>
      <c r="AW1" s="322" t="s">
        <v>392</v>
      </c>
      <c r="AX1" s="322" t="s">
        <v>393</v>
      </c>
      <c r="AY1" s="97" t="s">
        <v>11</v>
      </c>
      <c r="AZ1" s="97" t="s">
        <v>7</v>
      </c>
      <c r="BA1" s="97" t="s">
        <v>12</v>
      </c>
      <c r="BB1" s="97" t="s">
        <v>8</v>
      </c>
      <c r="BC1" s="97" t="s">
        <v>138</v>
      </c>
      <c r="BD1" s="97" t="s">
        <v>22</v>
      </c>
      <c r="BE1" s="97" t="s">
        <v>23</v>
      </c>
      <c r="BF1" s="97" t="s">
        <v>23</v>
      </c>
      <c r="BG1" s="97" t="s">
        <v>24</v>
      </c>
      <c r="BH1" s="97" t="s">
        <v>25</v>
      </c>
      <c r="BI1" s="97" t="s">
        <v>26</v>
      </c>
      <c r="BJ1" s="96" t="s">
        <v>2</v>
      </c>
      <c r="BK1" s="96" t="s">
        <v>30</v>
      </c>
      <c r="BP1" s="97" t="s">
        <v>27</v>
      </c>
      <c r="BQ1" s="97" t="s">
        <v>171</v>
      </c>
      <c r="BR1" s="97" t="s">
        <v>23</v>
      </c>
      <c r="BS1" s="97" t="s">
        <v>23</v>
      </c>
      <c r="BT1" s="97" t="s">
        <v>24</v>
      </c>
      <c r="BU1" s="97" t="s">
        <v>25</v>
      </c>
      <c r="BV1" s="97" t="s">
        <v>26</v>
      </c>
      <c r="BY1" s="367" t="s">
        <v>414</v>
      </c>
      <c r="BZ1" s="367"/>
      <c r="CC1" s="367"/>
      <c r="CD1" s="367" t="s">
        <v>452</v>
      </c>
      <c r="CE1" s="424" t="s">
        <v>435</v>
      </c>
      <c r="CF1" s="367" t="str">
        <f>管理シート!CM3</f>
        <v>スタッフ名</v>
      </c>
    </row>
    <row r="2" spans="2:97" ht="15" customHeight="1">
      <c r="B2" s="98"/>
      <c r="C2" s="108">
        <v>1</v>
      </c>
      <c r="D2" s="99" t="s">
        <v>446</v>
      </c>
      <c r="E2" s="100" t="s">
        <v>447</v>
      </c>
      <c r="F2" s="101" t="s">
        <v>14</v>
      </c>
      <c r="G2" s="102" t="s">
        <v>5</v>
      </c>
      <c r="H2" s="102" t="s">
        <v>13</v>
      </c>
      <c r="I2" s="103" t="s">
        <v>0</v>
      </c>
      <c r="J2" s="104"/>
      <c r="K2" s="83"/>
      <c r="L2" s="105">
        <v>45</v>
      </c>
      <c r="M2" s="89">
        <v>60</v>
      </c>
      <c r="N2" s="89">
        <v>75</v>
      </c>
      <c r="O2" s="89">
        <v>90</v>
      </c>
      <c r="P2" s="89">
        <v>120</v>
      </c>
      <c r="Q2" s="89">
        <v>150</v>
      </c>
      <c r="R2" s="187" t="s">
        <v>218</v>
      </c>
      <c r="S2" s="106" t="s">
        <v>9</v>
      </c>
      <c r="T2" s="107" t="s">
        <v>10</v>
      </c>
      <c r="U2" s="90"/>
      <c r="V2" s="91"/>
      <c r="W2" s="91"/>
      <c r="X2" s="91"/>
      <c r="Y2" s="91"/>
      <c r="Z2" s="92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3"/>
      <c r="AL2" s="91"/>
      <c r="AM2" s="409"/>
      <c r="AN2" s="83"/>
      <c r="AO2" s="84"/>
      <c r="AP2" s="145"/>
      <c r="AQ2" s="83"/>
      <c r="AR2" s="83"/>
      <c r="AS2" s="145"/>
      <c r="AT2" s="83"/>
      <c r="AU2" s="83"/>
      <c r="AV2" s="83"/>
      <c r="AW2" s="323"/>
      <c r="AX2" s="323"/>
      <c r="BK2" s="188" t="str">
        <f>AJ1</f>
        <v>特殊割引</v>
      </c>
      <c r="BY2" s="367" t="s">
        <v>462</v>
      </c>
      <c r="BZ2" s="367" t="s">
        <v>463</v>
      </c>
      <c r="CC2" s="368">
        <v>0.61231481481481487</v>
      </c>
      <c r="CD2" s="367" t="s">
        <v>474</v>
      </c>
      <c r="CE2" s="424" t="s">
        <v>475</v>
      </c>
      <c r="CF2" s="367" t="s">
        <v>477</v>
      </c>
    </row>
    <row r="3" spans="2:97" ht="15" customHeight="1">
      <c r="B3" s="98"/>
      <c r="C3" s="108">
        <v>2</v>
      </c>
      <c r="D3" s="99" t="s">
        <v>446</v>
      </c>
      <c r="E3" s="100" t="s">
        <v>447</v>
      </c>
      <c r="F3" s="101" t="s">
        <v>14</v>
      </c>
      <c r="G3" s="102" t="s">
        <v>5</v>
      </c>
      <c r="H3" s="102" t="s">
        <v>13</v>
      </c>
      <c r="I3" s="103" t="s">
        <v>0</v>
      </c>
      <c r="J3" s="104"/>
      <c r="K3" s="83"/>
      <c r="L3" s="105">
        <v>45</v>
      </c>
      <c r="M3" s="89">
        <v>60</v>
      </c>
      <c r="N3" s="89">
        <v>75</v>
      </c>
      <c r="O3" s="89">
        <v>90</v>
      </c>
      <c r="P3" s="89">
        <v>120</v>
      </c>
      <c r="Q3" s="89">
        <v>150</v>
      </c>
      <c r="R3" s="187" t="s">
        <v>218</v>
      </c>
      <c r="S3" s="106" t="s">
        <v>9</v>
      </c>
      <c r="T3" s="107" t="s">
        <v>10</v>
      </c>
      <c r="U3" s="90"/>
      <c r="V3" s="91"/>
      <c r="W3" s="91"/>
      <c r="X3" s="91"/>
      <c r="Y3" s="91"/>
      <c r="Z3" s="92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3"/>
      <c r="AL3" s="91"/>
      <c r="AM3" s="409"/>
      <c r="AN3" s="83"/>
      <c r="AO3" s="84"/>
      <c r="AP3" s="145"/>
      <c r="AQ3" s="83"/>
      <c r="AR3" s="83"/>
      <c r="AS3" s="145"/>
      <c r="AT3" s="83"/>
      <c r="AU3" s="83"/>
      <c r="AV3" s="83"/>
      <c r="AW3" s="323"/>
      <c r="AX3" s="323"/>
      <c r="BK3" s="188">
        <f t="shared" ref="BK3:BK11" si="1">AJ3</f>
        <v>0</v>
      </c>
      <c r="BY3" s="367" t="s">
        <v>464</v>
      </c>
      <c r="BZ3" s="367" t="s">
        <v>463</v>
      </c>
      <c r="CC3" s="368">
        <v>0.61281249999999998</v>
      </c>
      <c r="CD3" s="367"/>
      <c r="CE3" s="424" t="s">
        <v>476</v>
      </c>
      <c r="CF3" s="367" t="s">
        <v>478</v>
      </c>
    </row>
    <row r="4" spans="2:97" ht="15" customHeight="1">
      <c r="B4" s="98"/>
      <c r="C4" s="108">
        <v>3</v>
      </c>
      <c r="D4" s="99" t="s">
        <v>446</v>
      </c>
      <c r="E4" s="100" t="s">
        <v>447</v>
      </c>
      <c r="F4" s="101" t="s">
        <v>14</v>
      </c>
      <c r="G4" s="102" t="s">
        <v>5</v>
      </c>
      <c r="H4" s="102" t="s">
        <v>13</v>
      </c>
      <c r="I4" s="103" t="s">
        <v>0</v>
      </c>
      <c r="J4" s="104"/>
      <c r="K4" s="83"/>
      <c r="L4" s="105">
        <v>45</v>
      </c>
      <c r="M4" s="89">
        <v>60</v>
      </c>
      <c r="N4" s="89">
        <v>75</v>
      </c>
      <c r="O4" s="89">
        <v>90</v>
      </c>
      <c r="P4" s="89">
        <v>120</v>
      </c>
      <c r="Q4" s="89">
        <v>150</v>
      </c>
      <c r="R4" s="187" t="s">
        <v>218</v>
      </c>
      <c r="S4" s="106" t="s">
        <v>9</v>
      </c>
      <c r="T4" s="107" t="s">
        <v>10</v>
      </c>
      <c r="U4" s="90"/>
      <c r="V4" s="91"/>
      <c r="W4" s="91"/>
      <c r="X4" s="91"/>
      <c r="Y4" s="91"/>
      <c r="Z4" s="92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3"/>
      <c r="AL4" s="91"/>
      <c r="AM4" s="409"/>
      <c r="AN4" s="83"/>
      <c r="AO4" s="84"/>
      <c r="AP4" s="145"/>
      <c r="AQ4" s="83"/>
      <c r="AR4" s="83"/>
      <c r="AS4" s="145"/>
      <c r="AT4" s="83"/>
      <c r="AU4" s="83"/>
      <c r="AV4" s="83"/>
      <c r="AW4" s="323"/>
      <c r="AX4" s="323"/>
      <c r="BK4" s="188">
        <f t="shared" si="1"/>
        <v>0</v>
      </c>
      <c r="BY4" s="367" t="s">
        <v>465</v>
      </c>
      <c r="BZ4" s="367" t="s">
        <v>463</v>
      </c>
      <c r="CC4" s="368">
        <v>0.61296296296296293</v>
      </c>
      <c r="CD4" s="367"/>
      <c r="CE4" s="424"/>
      <c r="CF4" s="367" t="s">
        <v>479</v>
      </c>
    </row>
    <row r="5" spans="2:97" ht="15" customHeight="1">
      <c r="B5" s="98"/>
      <c r="C5" s="108">
        <v>4</v>
      </c>
      <c r="D5" s="99" t="s">
        <v>446</v>
      </c>
      <c r="E5" s="100" t="s">
        <v>447</v>
      </c>
      <c r="F5" s="101" t="s">
        <v>14</v>
      </c>
      <c r="G5" s="102" t="s">
        <v>5</v>
      </c>
      <c r="H5" s="102" t="s">
        <v>13</v>
      </c>
      <c r="I5" s="103" t="s">
        <v>0</v>
      </c>
      <c r="J5" s="104"/>
      <c r="K5" s="83"/>
      <c r="L5" s="105">
        <v>45</v>
      </c>
      <c r="M5" s="89">
        <v>60</v>
      </c>
      <c r="N5" s="89">
        <v>75</v>
      </c>
      <c r="O5" s="89">
        <v>90</v>
      </c>
      <c r="P5" s="89">
        <v>120</v>
      </c>
      <c r="Q5" s="89">
        <v>150</v>
      </c>
      <c r="R5" s="187" t="s">
        <v>218</v>
      </c>
      <c r="S5" s="106" t="s">
        <v>9</v>
      </c>
      <c r="T5" s="107" t="s">
        <v>10</v>
      </c>
      <c r="U5" s="90"/>
      <c r="V5" s="91"/>
      <c r="W5" s="91"/>
      <c r="X5" s="91"/>
      <c r="Y5" s="91"/>
      <c r="Z5" s="92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3"/>
      <c r="AL5" s="91"/>
      <c r="AM5" s="409"/>
      <c r="AN5" s="83"/>
      <c r="AO5" s="84"/>
      <c r="AP5" s="145"/>
      <c r="AQ5" s="83"/>
      <c r="AR5" s="83"/>
      <c r="AS5" s="145"/>
      <c r="AT5" s="83"/>
      <c r="AU5" s="83"/>
      <c r="AV5" s="83"/>
      <c r="AW5" s="323"/>
      <c r="AX5" s="323"/>
      <c r="BK5" s="188">
        <f t="shared" si="1"/>
        <v>0</v>
      </c>
      <c r="BY5" s="367" t="s">
        <v>466</v>
      </c>
      <c r="BZ5" s="367" t="s">
        <v>467</v>
      </c>
      <c r="CC5" s="368">
        <v>0.61318287037037034</v>
      </c>
      <c r="CD5" s="367"/>
      <c r="CE5" s="424"/>
      <c r="CF5" s="367" t="s">
        <v>480</v>
      </c>
    </row>
    <row r="6" spans="2:97" ht="15" customHeight="1">
      <c r="B6" s="98"/>
      <c r="C6" s="108">
        <v>5</v>
      </c>
      <c r="D6" s="99" t="s">
        <v>446</v>
      </c>
      <c r="E6" s="100" t="s">
        <v>447</v>
      </c>
      <c r="F6" s="101" t="s">
        <v>14</v>
      </c>
      <c r="G6" s="102" t="s">
        <v>5</v>
      </c>
      <c r="H6" s="102" t="s">
        <v>13</v>
      </c>
      <c r="I6" s="103" t="s">
        <v>0</v>
      </c>
      <c r="J6" s="104"/>
      <c r="K6" s="83"/>
      <c r="L6" s="105">
        <v>45</v>
      </c>
      <c r="M6" s="89">
        <v>60</v>
      </c>
      <c r="N6" s="89">
        <v>75</v>
      </c>
      <c r="O6" s="89">
        <v>90</v>
      </c>
      <c r="P6" s="89">
        <v>120</v>
      </c>
      <c r="Q6" s="89">
        <v>150</v>
      </c>
      <c r="R6" s="187" t="s">
        <v>218</v>
      </c>
      <c r="S6" s="106" t="s">
        <v>9</v>
      </c>
      <c r="T6" s="107" t="s">
        <v>10</v>
      </c>
      <c r="U6" s="90"/>
      <c r="V6" s="91"/>
      <c r="W6" s="91"/>
      <c r="X6" s="91"/>
      <c r="Y6" s="91"/>
      <c r="Z6" s="92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3"/>
      <c r="AL6" s="91"/>
      <c r="AM6" s="409"/>
      <c r="AN6" s="83"/>
      <c r="AO6" s="84"/>
      <c r="AP6" s="145"/>
      <c r="AQ6" s="83"/>
      <c r="AR6" s="83"/>
      <c r="AS6" s="145"/>
      <c r="AT6" s="83"/>
      <c r="AU6" s="83"/>
      <c r="AV6" s="83"/>
      <c r="AW6" s="323"/>
      <c r="AX6" s="323"/>
      <c r="BK6" s="188">
        <f t="shared" si="1"/>
        <v>0</v>
      </c>
      <c r="BY6" s="367" t="s">
        <v>468</v>
      </c>
      <c r="BZ6" s="367" t="s">
        <v>467</v>
      </c>
      <c r="CC6" s="368">
        <v>0.66498842592592589</v>
      </c>
      <c r="CD6" s="367"/>
      <c r="CE6" s="424"/>
      <c r="CF6" s="367" t="s">
        <v>481</v>
      </c>
    </row>
    <row r="7" spans="2:97" ht="15" customHeight="1">
      <c r="B7" s="98"/>
      <c r="C7" s="108">
        <v>6</v>
      </c>
      <c r="D7" s="99" t="s">
        <v>446</v>
      </c>
      <c r="E7" s="100" t="s">
        <v>447</v>
      </c>
      <c r="F7" s="101" t="s">
        <v>14</v>
      </c>
      <c r="G7" s="102" t="s">
        <v>5</v>
      </c>
      <c r="H7" s="102" t="s">
        <v>13</v>
      </c>
      <c r="I7" s="103" t="s">
        <v>0</v>
      </c>
      <c r="J7" s="104"/>
      <c r="K7" s="83"/>
      <c r="L7" s="105">
        <v>45</v>
      </c>
      <c r="M7" s="89">
        <v>60</v>
      </c>
      <c r="N7" s="89">
        <v>75</v>
      </c>
      <c r="O7" s="89">
        <v>90</v>
      </c>
      <c r="P7" s="89">
        <v>120</v>
      </c>
      <c r="Q7" s="89">
        <v>150</v>
      </c>
      <c r="R7" s="187" t="s">
        <v>218</v>
      </c>
      <c r="S7" s="106" t="s">
        <v>9</v>
      </c>
      <c r="T7" s="107" t="s">
        <v>10</v>
      </c>
      <c r="U7" s="90"/>
      <c r="V7" s="91"/>
      <c r="W7" s="91"/>
      <c r="X7" s="91"/>
      <c r="Y7" s="91"/>
      <c r="Z7" s="92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3"/>
      <c r="AL7" s="91"/>
      <c r="AM7" s="409"/>
      <c r="AN7" s="83"/>
      <c r="AO7" s="84"/>
      <c r="AP7" s="145"/>
      <c r="AQ7" s="83"/>
      <c r="AR7" s="83"/>
      <c r="AS7" s="145"/>
      <c r="AT7" s="83"/>
      <c r="AU7" s="83"/>
      <c r="AV7" s="83"/>
      <c r="AW7" s="323"/>
      <c r="AX7" s="323"/>
      <c r="BK7" s="188">
        <f t="shared" si="1"/>
        <v>0</v>
      </c>
      <c r="BY7" s="367" t="s">
        <v>469</v>
      </c>
      <c r="BZ7" s="367" t="s">
        <v>467</v>
      </c>
      <c r="CC7" s="368"/>
      <c r="CD7" s="367"/>
      <c r="CE7" s="424"/>
      <c r="CF7" s="367" t="s">
        <v>482</v>
      </c>
    </row>
    <row r="8" spans="2:97" ht="15" customHeight="1">
      <c r="B8" s="98"/>
      <c r="C8" s="108">
        <v>7</v>
      </c>
      <c r="D8" s="99" t="s">
        <v>446</v>
      </c>
      <c r="E8" s="100" t="s">
        <v>447</v>
      </c>
      <c r="F8" s="101" t="s">
        <v>14</v>
      </c>
      <c r="G8" s="102" t="s">
        <v>5</v>
      </c>
      <c r="H8" s="102" t="s">
        <v>13</v>
      </c>
      <c r="I8" s="103" t="s">
        <v>0</v>
      </c>
      <c r="J8" s="104"/>
      <c r="K8" s="83"/>
      <c r="L8" s="105">
        <v>45</v>
      </c>
      <c r="M8" s="89">
        <v>60</v>
      </c>
      <c r="N8" s="89">
        <v>75</v>
      </c>
      <c r="O8" s="89">
        <v>90</v>
      </c>
      <c r="P8" s="89">
        <v>120</v>
      </c>
      <c r="Q8" s="89">
        <v>150</v>
      </c>
      <c r="R8" s="187" t="s">
        <v>218</v>
      </c>
      <c r="S8" s="106" t="s">
        <v>9</v>
      </c>
      <c r="T8" s="107" t="s">
        <v>10</v>
      </c>
      <c r="U8" s="90"/>
      <c r="V8" s="91"/>
      <c r="W8" s="91"/>
      <c r="X8" s="91"/>
      <c r="Y8" s="91"/>
      <c r="Z8" s="92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3"/>
      <c r="AL8" s="91"/>
      <c r="AM8" s="409"/>
      <c r="AN8" s="83"/>
      <c r="AO8" s="84"/>
      <c r="AP8" s="145"/>
      <c r="AQ8" s="83"/>
      <c r="AR8" s="83"/>
      <c r="AS8" s="145"/>
      <c r="AT8" s="83"/>
      <c r="AU8" s="83"/>
      <c r="AV8" s="83"/>
      <c r="AW8" s="323"/>
      <c r="AX8" s="323"/>
      <c r="BK8" s="188">
        <f t="shared" si="1"/>
        <v>0</v>
      </c>
      <c r="BY8" s="367" t="s">
        <v>470</v>
      </c>
      <c r="BZ8" s="367" t="s">
        <v>463</v>
      </c>
      <c r="CC8" s="368"/>
      <c r="CD8" s="367"/>
      <c r="CE8" s="424"/>
      <c r="CF8" s="367" t="s">
        <v>483</v>
      </c>
    </row>
    <row r="9" spans="2:97" ht="15" customHeight="1">
      <c r="B9" s="98"/>
      <c r="C9" s="108">
        <v>8</v>
      </c>
      <c r="D9" s="99" t="s">
        <v>446</v>
      </c>
      <c r="E9" s="100" t="s">
        <v>447</v>
      </c>
      <c r="F9" s="101" t="s">
        <v>14</v>
      </c>
      <c r="G9" s="102" t="s">
        <v>5</v>
      </c>
      <c r="H9" s="102" t="s">
        <v>13</v>
      </c>
      <c r="I9" s="103" t="s">
        <v>0</v>
      </c>
      <c r="J9" s="104"/>
      <c r="K9" s="83"/>
      <c r="L9" s="105">
        <v>45</v>
      </c>
      <c r="M9" s="89">
        <v>60</v>
      </c>
      <c r="N9" s="89">
        <v>75</v>
      </c>
      <c r="O9" s="89">
        <v>90</v>
      </c>
      <c r="P9" s="89">
        <v>120</v>
      </c>
      <c r="Q9" s="89">
        <v>150</v>
      </c>
      <c r="R9" s="187" t="s">
        <v>218</v>
      </c>
      <c r="S9" s="106" t="s">
        <v>9</v>
      </c>
      <c r="T9" s="107" t="s">
        <v>10</v>
      </c>
      <c r="U9" s="90"/>
      <c r="V9" s="91"/>
      <c r="W9" s="91"/>
      <c r="X9" s="91"/>
      <c r="Y9" s="91"/>
      <c r="Z9" s="92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3"/>
      <c r="AL9" s="91"/>
      <c r="AM9" s="409"/>
      <c r="AN9" s="83"/>
      <c r="AO9" s="84"/>
      <c r="AP9" s="145"/>
      <c r="AQ9" s="83"/>
      <c r="AR9" s="83"/>
      <c r="AS9" s="145"/>
      <c r="AT9" s="83"/>
      <c r="AU9" s="83"/>
      <c r="AV9" s="83"/>
      <c r="AW9" s="323"/>
      <c r="AX9" s="323"/>
      <c r="BK9" s="188">
        <f t="shared" si="1"/>
        <v>0</v>
      </c>
      <c r="BY9" s="367" t="s">
        <v>471</v>
      </c>
      <c r="BZ9" s="367" t="s">
        <v>467</v>
      </c>
      <c r="CC9" s="368"/>
      <c r="CD9" s="367"/>
      <c r="CE9" s="424"/>
      <c r="CF9" s="367" t="s">
        <v>484</v>
      </c>
    </row>
    <row r="10" spans="2:97" ht="15" customHeight="1">
      <c r="B10" s="98"/>
      <c r="C10" s="108">
        <v>9</v>
      </c>
      <c r="D10" s="99" t="s">
        <v>446</v>
      </c>
      <c r="E10" s="100" t="s">
        <v>447</v>
      </c>
      <c r="F10" s="101" t="s">
        <v>14</v>
      </c>
      <c r="G10" s="102" t="s">
        <v>5</v>
      </c>
      <c r="H10" s="102" t="s">
        <v>13</v>
      </c>
      <c r="I10" s="103" t="s">
        <v>0</v>
      </c>
      <c r="J10" s="104"/>
      <c r="K10" s="83"/>
      <c r="L10" s="105">
        <v>45</v>
      </c>
      <c r="M10" s="89">
        <v>60</v>
      </c>
      <c r="N10" s="89">
        <v>75</v>
      </c>
      <c r="O10" s="89">
        <v>90</v>
      </c>
      <c r="P10" s="89">
        <v>120</v>
      </c>
      <c r="Q10" s="89">
        <v>150</v>
      </c>
      <c r="R10" s="187" t="s">
        <v>218</v>
      </c>
      <c r="S10" s="106" t="s">
        <v>9</v>
      </c>
      <c r="T10" s="107" t="s">
        <v>10</v>
      </c>
      <c r="U10" s="90"/>
      <c r="V10" s="91"/>
      <c r="W10" s="91"/>
      <c r="X10" s="91"/>
      <c r="Y10" s="91"/>
      <c r="Z10" s="92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3"/>
      <c r="AL10" s="91"/>
      <c r="AM10" s="409"/>
      <c r="AN10" s="83"/>
      <c r="AO10" s="84"/>
      <c r="AP10" s="145"/>
      <c r="AQ10" s="83"/>
      <c r="AR10" s="83"/>
      <c r="AS10" s="145"/>
      <c r="AT10" s="83"/>
      <c r="AU10" s="83"/>
      <c r="AV10" s="83"/>
      <c r="AW10" s="323"/>
      <c r="AX10" s="323"/>
      <c r="BK10" s="188">
        <f t="shared" si="1"/>
        <v>0</v>
      </c>
      <c r="BY10" s="367" t="s">
        <v>472</v>
      </c>
      <c r="BZ10" s="367" t="s">
        <v>467</v>
      </c>
      <c r="CC10" s="368"/>
      <c r="CD10" s="367"/>
      <c r="CE10" s="424"/>
      <c r="CF10" s="367" t="s">
        <v>485</v>
      </c>
    </row>
    <row r="11" spans="2:97" ht="15" customHeight="1">
      <c r="B11" s="98"/>
      <c r="C11" s="108">
        <v>10</v>
      </c>
      <c r="D11" s="99" t="s">
        <v>446</v>
      </c>
      <c r="E11" s="100" t="s">
        <v>447</v>
      </c>
      <c r="F11" s="101" t="s">
        <v>14</v>
      </c>
      <c r="G11" s="102" t="s">
        <v>5</v>
      </c>
      <c r="H11" s="102" t="s">
        <v>13</v>
      </c>
      <c r="I11" s="103" t="s">
        <v>0</v>
      </c>
      <c r="J11" s="104"/>
      <c r="K11" s="83"/>
      <c r="L11" s="105">
        <v>45</v>
      </c>
      <c r="M11" s="89">
        <v>60</v>
      </c>
      <c r="N11" s="89">
        <v>75</v>
      </c>
      <c r="O11" s="89">
        <v>90</v>
      </c>
      <c r="P11" s="89">
        <v>120</v>
      </c>
      <c r="Q11" s="89">
        <v>150</v>
      </c>
      <c r="R11" s="187" t="s">
        <v>218</v>
      </c>
      <c r="S11" s="106" t="s">
        <v>9</v>
      </c>
      <c r="T11" s="107" t="s">
        <v>10</v>
      </c>
      <c r="U11" s="90"/>
      <c r="V11" s="91"/>
      <c r="W11" s="91"/>
      <c r="X11" s="91"/>
      <c r="Y11" s="91"/>
      <c r="Z11" s="92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3"/>
      <c r="AL11" s="91"/>
      <c r="AM11" s="409"/>
      <c r="AN11" s="83"/>
      <c r="AO11" s="84"/>
      <c r="AP11" s="145"/>
      <c r="AQ11" s="83"/>
      <c r="AR11" s="83"/>
      <c r="AS11" s="145"/>
      <c r="AT11" s="83"/>
      <c r="AU11" s="83"/>
      <c r="AV11" s="83"/>
      <c r="AW11" s="323"/>
      <c r="AX11" s="323"/>
      <c r="BK11" s="188">
        <f t="shared" si="1"/>
        <v>0</v>
      </c>
      <c r="BY11" s="367"/>
      <c r="BZ11" s="367"/>
      <c r="CC11" s="368"/>
      <c r="CD11" s="219"/>
      <c r="CF11" s="367"/>
      <c r="CS11" s="219"/>
    </row>
    <row r="12" spans="2:97" ht="15" customHeight="1">
      <c r="B12" s="98"/>
      <c r="C12" s="108">
        <v>11</v>
      </c>
      <c r="D12" s="99" t="s">
        <v>446</v>
      </c>
      <c r="E12" s="100" t="s">
        <v>447</v>
      </c>
      <c r="F12" s="101" t="s">
        <v>14</v>
      </c>
      <c r="G12" s="102" t="s">
        <v>5</v>
      </c>
      <c r="H12" s="102" t="s">
        <v>13</v>
      </c>
      <c r="I12" s="103" t="s">
        <v>0</v>
      </c>
      <c r="J12" s="104"/>
      <c r="K12" s="83"/>
      <c r="L12" s="105">
        <v>45</v>
      </c>
      <c r="M12" s="89">
        <v>60</v>
      </c>
      <c r="N12" s="89">
        <v>75</v>
      </c>
      <c r="O12" s="89">
        <v>90</v>
      </c>
      <c r="P12" s="89">
        <v>120</v>
      </c>
      <c r="Q12" s="89">
        <v>150</v>
      </c>
      <c r="R12" s="187" t="s">
        <v>218</v>
      </c>
      <c r="S12" s="106" t="s">
        <v>9</v>
      </c>
      <c r="T12" s="107" t="s">
        <v>10</v>
      </c>
      <c r="U12" s="90"/>
      <c r="V12" s="91"/>
      <c r="W12" s="91"/>
      <c r="X12" s="91"/>
      <c r="Y12" s="91"/>
      <c r="Z12" s="92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3"/>
      <c r="AL12" s="91"/>
      <c r="AM12" s="409"/>
      <c r="AN12" s="83"/>
      <c r="AO12" s="84"/>
      <c r="AP12" s="145"/>
      <c r="AQ12" s="83"/>
      <c r="AR12" s="83"/>
      <c r="AS12" s="145"/>
      <c r="AT12" s="83"/>
      <c r="AU12" s="83"/>
      <c r="AV12" s="83"/>
      <c r="AW12" s="323"/>
      <c r="AX12" s="323"/>
      <c r="BK12" s="188">
        <f>AJ11</f>
        <v>0</v>
      </c>
      <c r="BY12" s="367"/>
      <c r="BZ12" s="367"/>
      <c r="CC12" s="368"/>
      <c r="CF12" s="367"/>
      <c r="CS12" s="219"/>
    </row>
    <row r="13" spans="2:97" ht="15" customHeight="1">
      <c r="B13" s="98"/>
      <c r="C13" s="108">
        <v>12</v>
      </c>
      <c r="D13" s="99" t="s">
        <v>446</v>
      </c>
      <c r="E13" s="100" t="s">
        <v>447</v>
      </c>
      <c r="F13" s="101" t="s">
        <v>14</v>
      </c>
      <c r="G13" s="102" t="s">
        <v>5</v>
      </c>
      <c r="H13" s="102" t="s">
        <v>13</v>
      </c>
      <c r="I13" s="103" t="s">
        <v>0</v>
      </c>
      <c r="J13" s="104"/>
      <c r="K13" s="83"/>
      <c r="L13" s="105">
        <v>45</v>
      </c>
      <c r="M13" s="89">
        <v>60</v>
      </c>
      <c r="N13" s="89">
        <v>75</v>
      </c>
      <c r="O13" s="89">
        <v>90</v>
      </c>
      <c r="P13" s="89">
        <v>120</v>
      </c>
      <c r="Q13" s="89">
        <v>150</v>
      </c>
      <c r="R13" s="187" t="s">
        <v>218</v>
      </c>
      <c r="S13" s="106" t="s">
        <v>9</v>
      </c>
      <c r="T13" s="107" t="s">
        <v>10</v>
      </c>
      <c r="U13" s="90"/>
      <c r="V13" s="91"/>
      <c r="W13" s="91"/>
      <c r="X13" s="91"/>
      <c r="Y13" s="91"/>
      <c r="Z13" s="92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3"/>
      <c r="AL13" s="91"/>
      <c r="AM13" s="409"/>
      <c r="AN13" s="83"/>
      <c r="AO13" s="84"/>
      <c r="AP13" s="145"/>
      <c r="AQ13" s="83"/>
      <c r="AR13" s="83"/>
      <c r="AS13" s="145"/>
      <c r="AT13" s="83"/>
      <c r="AU13" s="83"/>
      <c r="AV13" s="83"/>
      <c r="AW13" s="323"/>
      <c r="AX13" s="323"/>
      <c r="BK13" s="188">
        <f t="shared" ref="BK13:BK18" si="2">AJ13</f>
        <v>0</v>
      </c>
      <c r="BY13" s="367"/>
      <c r="BZ13" s="367"/>
      <c r="CC13" s="368"/>
      <c r="CF13" s="367"/>
    </row>
    <row r="14" spans="2:97" ht="15" customHeight="1">
      <c r="B14" s="98"/>
      <c r="C14" s="108">
        <v>13</v>
      </c>
      <c r="D14" s="99" t="s">
        <v>446</v>
      </c>
      <c r="E14" s="100" t="s">
        <v>447</v>
      </c>
      <c r="F14" s="101" t="s">
        <v>14</v>
      </c>
      <c r="G14" s="102" t="s">
        <v>5</v>
      </c>
      <c r="H14" s="102" t="s">
        <v>13</v>
      </c>
      <c r="I14" s="103" t="s">
        <v>0</v>
      </c>
      <c r="J14" s="104"/>
      <c r="K14" s="83"/>
      <c r="L14" s="105">
        <v>45</v>
      </c>
      <c r="M14" s="89">
        <v>60</v>
      </c>
      <c r="N14" s="89">
        <v>75</v>
      </c>
      <c r="O14" s="89">
        <v>90</v>
      </c>
      <c r="P14" s="89">
        <v>120</v>
      </c>
      <c r="Q14" s="89">
        <v>150</v>
      </c>
      <c r="R14" s="187" t="s">
        <v>218</v>
      </c>
      <c r="S14" s="106" t="s">
        <v>9</v>
      </c>
      <c r="T14" s="107" t="s">
        <v>10</v>
      </c>
      <c r="U14" s="90"/>
      <c r="V14" s="91"/>
      <c r="W14" s="91"/>
      <c r="X14" s="91"/>
      <c r="Y14" s="91"/>
      <c r="Z14" s="92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3"/>
      <c r="AL14" s="91"/>
      <c r="AM14" s="409"/>
      <c r="AN14" s="83"/>
      <c r="AO14" s="84"/>
      <c r="AP14" s="145"/>
      <c r="AQ14" s="83"/>
      <c r="AR14" s="83"/>
      <c r="AS14" s="145"/>
      <c r="AT14" s="83"/>
      <c r="AU14" s="83"/>
      <c r="AV14" s="83"/>
      <c r="AW14" s="323"/>
      <c r="AX14" s="323"/>
      <c r="BK14" s="188">
        <f t="shared" si="2"/>
        <v>0</v>
      </c>
      <c r="BY14" s="367"/>
      <c r="BZ14" s="367"/>
      <c r="CC14" s="368"/>
      <c r="CF14" s="367"/>
    </row>
    <row r="15" spans="2:97" ht="15" customHeight="1">
      <c r="B15" s="98"/>
      <c r="C15" s="108">
        <v>14</v>
      </c>
      <c r="D15" s="99" t="s">
        <v>446</v>
      </c>
      <c r="E15" s="100" t="s">
        <v>447</v>
      </c>
      <c r="F15" s="101" t="s">
        <v>14</v>
      </c>
      <c r="G15" s="102" t="s">
        <v>5</v>
      </c>
      <c r="H15" s="102" t="s">
        <v>13</v>
      </c>
      <c r="I15" s="103" t="s">
        <v>0</v>
      </c>
      <c r="J15" s="104"/>
      <c r="K15" s="83"/>
      <c r="L15" s="105">
        <v>45</v>
      </c>
      <c r="M15" s="89">
        <v>60</v>
      </c>
      <c r="N15" s="89">
        <v>75</v>
      </c>
      <c r="O15" s="89">
        <v>90</v>
      </c>
      <c r="P15" s="89">
        <v>120</v>
      </c>
      <c r="Q15" s="89">
        <v>150</v>
      </c>
      <c r="R15" s="187" t="s">
        <v>218</v>
      </c>
      <c r="S15" s="106" t="s">
        <v>9</v>
      </c>
      <c r="T15" s="107" t="s">
        <v>10</v>
      </c>
      <c r="U15" s="90"/>
      <c r="V15" s="91"/>
      <c r="W15" s="91"/>
      <c r="X15" s="91"/>
      <c r="Y15" s="91"/>
      <c r="Z15" s="92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3"/>
      <c r="AL15" s="91"/>
      <c r="AM15" s="409"/>
      <c r="AN15" s="83"/>
      <c r="AO15" s="84"/>
      <c r="AP15" s="145"/>
      <c r="AQ15" s="83"/>
      <c r="AR15" s="83"/>
      <c r="AS15" s="145"/>
      <c r="AT15" s="83"/>
      <c r="AU15" s="83"/>
      <c r="AV15" s="83"/>
      <c r="AW15" s="323"/>
      <c r="AX15" s="323"/>
      <c r="BK15" s="188">
        <f t="shared" si="2"/>
        <v>0</v>
      </c>
      <c r="BY15" s="367"/>
      <c r="BZ15" s="367"/>
      <c r="CC15" s="368"/>
      <c r="CF15" s="367"/>
    </row>
    <row r="16" spans="2:97" ht="15" customHeight="1">
      <c r="B16" s="98"/>
      <c r="C16" s="108">
        <v>15</v>
      </c>
      <c r="D16" s="99" t="s">
        <v>446</v>
      </c>
      <c r="E16" s="100" t="s">
        <v>447</v>
      </c>
      <c r="F16" s="101" t="s">
        <v>14</v>
      </c>
      <c r="G16" s="102" t="s">
        <v>5</v>
      </c>
      <c r="H16" s="102" t="s">
        <v>13</v>
      </c>
      <c r="I16" s="103" t="s">
        <v>0</v>
      </c>
      <c r="J16" s="104"/>
      <c r="K16" s="83"/>
      <c r="L16" s="105">
        <v>45</v>
      </c>
      <c r="M16" s="89">
        <v>60</v>
      </c>
      <c r="N16" s="89">
        <v>75</v>
      </c>
      <c r="O16" s="89">
        <v>90</v>
      </c>
      <c r="P16" s="89">
        <v>120</v>
      </c>
      <c r="Q16" s="89">
        <v>150</v>
      </c>
      <c r="R16" s="187" t="s">
        <v>218</v>
      </c>
      <c r="S16" s="106" t="s">
        <v>9</v>
      </c>
      <c r="T16" s="107" t="s">
        <v>10</v>
      </c>
      <c r="U16" s="90"/>
      <c r="V16" s="91"/>
      <c r="W16" s="91"/>
      <c r="X16" s="91"/>
      <c r="Y16" s="91"/>
      <c r="Z16" s="92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3"/>
      <c r="AL16" s="91"/>
      <c r="AM16" s="409"/>
      <c r="AN16" s="83"/>
      <c r="AO16" s="84"/>
      <c r="AP16" s="145"/>
      <c r="AQ16" s="83"/>
      <c r="AR16" s="83"/>
      <c r="AS16" s="145"/>
      <c r="AT16" s="83"/>
      <c r="AU16" s="83"/>
      <c r="AV16" s="83"/>
      <c r="AW16" s="323"/>
      <c r="AX16" s="323"/>
      <c r="BK16" s="188">
        <f t="shared" si="2"/>
        <v>0</v>
      </c>
      <c r="BY16" s="367"/>
      <c r="BZ16" s="367"/>
      <c r="CC16" s="368"/>
      <c r="CF16" s="367"/>
    </row>
    <row r="17" spans="2:84" ht="15" customHeight="1">
      <c r="B17" s="98"/>
      <c r="C17" s="108">
        <v>16</v>
      </c>
      <c r="D17" s="99" t="s">
        <v>446</v>
      </c>
      <c r="E17" s="100" t="s">
        <v>447</v>
      </c>
      <c r="F17" s="101" t="s">
        <v>14</v>
      </c>
      <c r="G17" s="102" t="s">
        <v>5</v>
      </c>
      <c r="H17" s="102" t="s">
        <v>13</v>
      </c>
      <c r="I17" s="103" t="s">
        <v>0</v>
      </c>
      <c r="J17" s="104"/>
      <c r="K17" s="83"/>
      <c r="L17" s="105">
        <v>45</v>
      </c>
      <c r="M17" s="89">
        <v>60</v>
      </c>
      <c r="N17" s="89">
        <v>75</v>
      </c>
      <c r="O17" s="89">
        <v>90</v>
      </c>
      <c r="P17" s="89">
        <v>120</v>
      </c>
      <c r="Q17" s="89">
        <v>150</v>
      </c>
      <c r="R17" s="187" t="s">
        <v>218</v>
      </c>
      <c r="S17" s="106" t="s">
        <v>9</v>
      </c>
      <c r="T17" s="107" t="s">
        <v>10</v>
      </c>
      <c r="U17" s="90"/>
      <c r="V17" s="91"/>
      <c r="W17" s="91"/>
      <c r="X17" s="91"/>
      <c r="Y17" s="91"/>
      <c r="Z17" s="92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3"/>
      <c r="AL17" s="91"/>
      <c r="AM17" s="409"/>
      <c r="AN17" s="83"/>
      <c r="AO17" s="84"/>
      <c r="AP17" s="145"/>
      <c r="AQ17" s="83"/>
      <c r="AR17" s="83"/>
      <c r="AS17" s="145"/>
      <c r="AT17" s="83"/>
      <c r="AU17" s="83"/>
      <c r="AV17" s="83"/>
      <c r="AW17" s="323"/>
      <c r="AX17" s="323"/>
      <c r="BK17" s="188">
        <f t="shared" si="2"/>
        <v>0</v>
      </c>
      <c r="BY17" s="367"/>
      <c r="BZ17" s="367"/>
      <c r="CC17" s="368"/>
      <c r="CF17" s="367"/>
    </row>
    <row r="18" spans="2:84" ht="15" customHeight="1">
      <c r="B18" s="98"/>
      <c r="C18" s="108">
        <v>17</v>
      </c>
      <c r="D18" s="99" t="s">
        <v>446</v>
      </c>
      <c r="E18" s="100" t="s">
        <v>447</v>
      </c>
      <c r="F18" s="101" t="s">
        <v>14</v>
      </c>
      <c r="G18" s="102" t="s">
        <v>5</v>
      </c>
      <c r="H18" s="102" t="s">
        <v>13</v>
      </c>
      <c r="I18" s="103" t="s">
        <v>0</v>
      </c>
      <c r="J18" s="104"/>
      <c r="K18" s="83"/>
      <c r="L18" s="105">
        <v>45</v>
      </c>
      <c r="M18" s="89">
        <v>60</v>
      </c>
      <c r="N18" s="89">
        <v>75</v>
      </c>
      <c r="O18" s="89">
        <v>90</v>
      </c>
      <c r="P18" s="89">
        <v>120</v>
      </c>
      <c r="Q18" s="89">
        <v>150</v>
      </c>
      <c r="R18" s="187" t="s">
        <v>218</v>
      </c>
      <c r="S18" s="106" t="s">
        <v>9</v>
      </c>
      <c r="T18" s="107" t="s">
        <v>10</v>
      </c>
      <c r="U18" s="90"/>
      <c r="V18" s="91"/>
      <c r="W18" s="91"/>
      <c r="X18" s="91"/>
      <c r="Y18" s="91"/>
      <c r="Z18" s="92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3"/>
      <c r="AL18" s="91"/>
      <c r="AM18" s="409"/>
      <c r="AN18" s="83"/>
      <c r="AO18" s="84"/>
      <c r="AP18" s="145"/>
      <c r="AQ18" s="83"/>
      <c r="AR18" s="83"/>
      <c r="AS18" s="145"/>
      <c r="AT18" s="83"/>
      <c r="AU18" s="83"/>
      <c r="AV18" s="83"/>
      <c r="AW18" s="323"/>
      <c r="AX18" s="323"/>
      <c r="BK18" s="188">
        <f t="shared" si="2"/>
        <v>0</v>
      </c>
      <c r="BY18" s="367"/>
      <c r="BZ18" s="367"/>
      <c r="CC18" s="368"/>
      <c r="CF18" s="367"/>
    </row>
    <row r="19" spans="2:84" ht="15" customHeight="1">
      <c r="B19" s="98"/>
      <c r="C19" s="108">
        <v>18</v>
      </c>
      <c r="D19" s="99" t="s">
        <v>446</v>
      </c>
      <c r="E19" s="100" t="s">
        <v>447</v>
      </c>
      <c r="F19" s="101" t="s">
        <v>14</v>
      </c>
      <c r="G19" s="102" t="s">
        <v>5</v>
      </c>
      <c r="H19" s="102" t="s">
        <v>13</v>
      </c>
      <c r="I19" s="103" t="s">
        <v>0</v>
      </c>
      <c r="J19" s="104"/>
      <c r="K19" s="83"/>
      <c r="L19" s="105">
        <v>45</v>
      </c>
      <c r="M19" s="89">
        <v>60</v>
      </c>
      <c r="N19" s="89">
        <v>75</v>
      </c>
      <c r="O19" s="89">
        <v>90</v>
      </c>
      <c r="P19" s="89">
        <v>120</v>
      </c>
      <c r="Q19" s="89">
        <v>150</v>
      </c>
      <c r="R19" s="187" t="s">
        <v>218</v>
      </c>
      <c r="S19" s="106" t="s">
        <v>9</v>
      </c>
      <c r="T19" s="107" t="s">
        <v>10</v>
      </c>
      <c r="U19" s="90"/>
      <c r="V19" s="91"/>
      <c r="W19" s="91"/>
      <c r="X19" s="91"/>
      <c r="Y19" s="91"/>
      <c r="Z19" s="92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3"/>
      <c r="AL19" s="91"/>
      <c r="AM19" s="409"/>
      <c r="AN19" s="83"/>
      <c r="AO19" s="84"/>
      <c r="AP19" s="145"/>
      <c r="AQ19" s="83"/>
      <c r="AR19" s="83"/>
      <c r="AS19" s="145"/>
      <c r="AT19" s="83"/>
      <c r="AU19" s="83"/>
      <c r="AV19" s="83"/>
      <c r="AW19" s="323"/>
      <c r="AX19" s="323"/>
      <c r="BK19" s="188">
        <f>AJ9</f>
        <v>0</v>
      </c>
      <c r="BY19" s="367"/>
      <c r="BZ19" s="367"/>
      <c r="CC19" s="367"/>
      <c r="CF19" s="367"/>
    </row>
    <row r="20" spans="2:84" ht="15" customHeight="1">
      <c r="B20" s="98"/>
      <c r="C20" s="108">
        <v>19</v>
      </c>
      <c r="D20" s="99" t="s">
        <v>446</v>
      </c>
      <c r="E20" s="100" t="s">
        <v>447</v>
      </c>
      <c r="F20" s="101" t="s">
        <v>14</v>
      </c>
      <c r="G20" s="102" t="s">
        <v>5</v>
      </c>
      <c r="H20" s="102" t="s">
        <v>13</v>
      </c>
      <c r="I20" s="103" t="s">
        <v>0</v>
      </c>
      <c r="J20" s="104"/>
      <c r="K20" s="83"/>
      <c r="L20" s="105">
        <v>45</v>
      </c>
      <c r="M20" s="89">
        <v>60</v>
      </c>
      <c r="N20" s="89">
        <v>75</v>
      </c>
      <c r="O20" s="89">
        <v>90</v>
      </c>
      <c r="P20" s="89">
        <v>120</v>
      </c>
      <c r="Q20" s="89">
        <v>150</v>
      </c>
      <c r="R20" s="187" t="s">
        <v>218</v>
      </c>
      <c r="S20" s="106" t="s">
        <v>9</v>
      </c>
      <c r="T20" s="107" t="s">
        <v>10</v>
      </c>
      <c r="U20" s="90"/>
      <c r="V20" s="91"/>
      <c r="W20" s="91"/>
      <c r="X20" s="91"/>
      <c r="Y20" s="91"/>
      <c r="Z20" s="92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3"/>
      <c r="AL20" s="91"/>
      <c r="AM20" s="409"/>
      <c r="AN20" s="83"/>
      <c r="AO20" s="84"/>
      <c r="AP20" s="145"/>
      <c r="AQ20" s="83"/>
      <c r="AR20" s="83"/>
      <c r="AS20" s="145"/>
      <c r="AT20" s="83"/>
      <c r="AU20" s="83"/>
      <c r="AV20" s="83"/>
      <c r="AW20" s="323"/>
      <c r="AX20" s="323"/>
      <c r="BK20" s="188">
        <f>AJ10</f>
        <v>0</v>
      </c>
      <c r="BY20" s="367"/>
      <c r="BZ20" s="367"/>
      <c r="CC20" s="367"/>
      <c r="CF20" s="367"/>
    </row>
    <row r="21" spans="2:84" ht="15" customHeight="1">
      <c r="B21" s="98"/>
      <c r="C21" s="108">
        <v>20</v>
      </c>
      <c r="D21" s="99" t="s">
        <v>446</v>
      </c>
      <c r="E21" s="100" t="s">
        <v>447</v>
      </c>
      <c r="F21" s="101" t="s">
        <v>14</v>
      </c>
      <c r="G21" s="102" t="s">
        <v>5</v>
      </c>
      <c r="H21" s="102" t="s">
        <v>13</v>
      </c>
      <c r="I21" s="103" t="s">
        <v>0</v>
      </c>
      <c r="J21" s="104"/>
      <c r="K21" s="83"/>
      <c r="L21" s="105">
        <v>45</v>
      </c>
      <c r="M21" s="89">
        <v>60</v>
      </c>
      <c r="N21" s="89">
        <v>75</v>
      </c>
      <c r="O21" s="89">
        <v>90</v>
      </c>
      <c r="P21" s="89">
        <v>120</v>
      </c>
      <c r="Q21" s="89">
        <v>150</v>
      </c>
      <c r="R21" s="187" t="s">
        <v>218</v>
      </c>
      <c r="S21" s="106" t="s">
        <v>9</v>
      </c>
      <c r="T21" s="107" t="s">
        <v>10</v>
      </c>
      <c r="U21" s="90"/>
      <c r="V21" s="91"/>
      <c r="W21" s="91"/>
      <c r="X21" s="91"/>
      <c r="Y21" s="91"/>
      <c r="Z21" s="92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3"/>
      <c r="AL21" s="91"/>
      <c r="AM21" s="409"/>
      <c r="AN21" s="83"/>
      <c r="AO21" s="84"/>
      <c r="AP21" s="145"/>
      <c r="AQ21" s="83"/>
      <c r="AR21" s="83"/>
      <c r="AS21" s="145"/>
      <c r="AT21" s="83"/>
      <c r="AU21" s="83"/>
      <c r="AV21" s="83"/>
      <c r="AW21" s="323"/>
      <c r="AX21" s="323"/>
      <c r="BK21" s="188">
        <f>AJ11</f>
        <v>0</v>
      </c>
      <c r="BY21" s="367"/>
      <c r="BZ21" s="367"/>
      <c r="CC21" s="368"/>
      <c r="CF21" s="367"/>
    </row>
    <row r="22" spans="2:84" ht="15" customHeight="1">
      <c r="B22" s="98"/>
      <c r="C22" s="108">
        <v>21</v>
      </c>
      <c r="D22" s="99" t="s">
        <v>446</v>
      </c>
      <c r="E22" s="100" t="s">
        <v>447</v>
      </c>
      <c r="F22" s="101" t="s">
        <v>14</v>
      </c>
      <c r="G22" s="102" t="s">
        <v>5</v>
      </c>
      <c r="H22" s="102" t="s">
        <v>13</v>
      </c>
      <c r="I22" s="103" t="s">
        <v>0</v>
      </c>
      <c r="J22" s="104"/>
      <c r="K22" s="83"/>
      <c r="L22" s="105">
        <v>45</v>
      </c>
      <c r="M22" s="89">
        <v>60</v>
      </c>
      <c r="N22" s="89">
        <v>75</v>
      </c>
      <c r="O22" s="89">
        <v>90</v>
      </c>
      <c r="P22" s="89">
        <v>120</v>
      </c>
      <c r="Q22" s="89">
        <v>150</v>
      </c>
      <c r="R22" s="187" t="s">
        <v>218</v>
      </c>
      <c r="S22" s="106" t="s">
        <v>9</v>
      </c>
      <c r="T22" s="107" t="s">
        <v>10</v>
      </c>
      <c r="U22" s="90"/>
      <c r="V22" s="91"/>
      <c r="W22" s="91"/>
      <c r="X22" s="91"/>
      <c r="Y22" s="91"/>
      <c r="Z22" s="92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3"/>
      <c r="AL22" s="91"/>
      <c r="AM22" s="409"/>
      <c r="AN22" s="83"/>
      <c r="AO22" s="84"/>
      <c r="AP22" s="145"/>
      <c r="AQ22" s="83"/>
      <c r="AR22" s="83"/>
      <c r="AS22" s="145"/>
      <c r="AT22" s="83"/>
      <c r="AU22" s="83"/>
      <c r="AV22" s="83"/>
      <c r="AW22" s="323"/>
      <c r="AX22" s="323"/>
      <c r="BK22" s="188">
        <f>AJ11</f>
        <v>0</v>
      </c>
      <c r="BY22" s="367" t="s">
        <v>473</v>
      </c>
      <c r="BZ22" s="367" t="s">
        <v>467</v>
      </c>
      <c r="CC22" s="367"/>
      <c r="CF22" s="367"/>
    </row>
    <row r="23" spans="2:84" ht="15" customHeight="1">
      <c r="B23" s="98"/>
      <c r="C23" s="108">
        <v>22</v>
      </c>
      <c r="D23" s="99" t="s">
        <v>446</v>
      </c>
      <c r="E23" s="100" t="s">
        <v>447</v>
      </c>
      <c r="F23" s="101" t="s">
        <v>14</v>
      </c>
      <c r="G23" s="102" t="s">
        <v>5</v>
      </c>
      <c r="H23" s="102" t="s">
        <v>13</v>
      </c>
      <c r="I23" s="103" t="s">
        <v>0</v>
      </c>
      <c r="J23" s="104"/>
      <c r="K23" s="83"/>
      <c r="L23" s="105">
        <v>45</v>
      </c>
      <c r="M23" s="89">
        <v>60</v>
      </c>
      <c r="N23" s="89">
        <v>75</v>
      </c>
      <c r="O23" s="89">
        <v>90</v>
      </c>
      <c r="P23" s="89">
        <v>120</v>
      </c>
      <c r="Q23" s="89">
        <v>150</v>
      </c>
      <c r="R23" s="187" t="s">
        <v>218</v>
      </c>
      <c r="S23" s="106" t="s">
        <v>9</v>
      </c>
      <c r="T23" s="107" t="s">
        <v>10</v>
      </c>
      <c r="U23" s="90"/>
      <c r="V23" s="91"/>
      <c r="W23" s="91"/>
      <c r="X23" s="91"/>
      <c r="Y23" s="91"/>
      <c r="Z23" s="92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3"/>
      <c r="AL23" s="91"/>
      <c r="AM23" s="409"/>
      <c r="AN23" s="83"/>
      <c r="AO23" s="84"/>
      <c r="AP23" s="145"/>
      <c r="AQ23" s="83"/>
      <c r="AR23" s="83"/>
      <c r="AS23" s="145"/>
      <c r="AT23" s="83"/>
      <c r="AU23" s="83"/>
      <c r="AV23" s="83"/>
      <c r="AW23" s="323"/>
      <c r="AX23" s="323"/>
      <c r="BK23" s="188">
        <f t="shared" ref="BK23:BK28" si="3">AJ13</f>
        <v>0</v>
      </c>
      <c r="CC23" s="368"/>
    </row>
    <row r="24" spans="2:84" ht="15" customHeight="1">
      <c r="B24" s="98"/>
      <c r="C24" s="108">
        <v>23</v>
      </c>
      <c r="D24" s="99" t="s">
        <v>446</v>
      </c>
      <c r="E24" s="100" t="s">
        <v>447</v>
      </c>
      <c r="F24" s="101" t="s">
        <v>14</v>
      </c>
      <c r="G24" s="102" t="s">
        <v>5</v>
      </c>
      <c r="H24" s="102" t="s">
        <v>13</v>
      </c>
      <c r="I24" s="103" t="s">
        <v>0</v>
      </c>
      <c r="J24" s="104"/>
      <c r="K24" s="83"/>
      <c r="L24" s="105">
        <v>45</v>
      </c>
      <c r="M24" s="89">
        <v>60</v>
      </c>
      <c r="N24" s="89">
        <v>75</v>
      </c>
      <c r="O24" s="89">
        <v>90</v>
      </c>
      <c r="P24" s="89">
        <v>120</v>
      </c>
      <c r="Q24" s="89">
        <v>150</v>
      </c>
      <c r="R24" s="187" t="s">
        <v>218</v>
      </c>
      <c r="S24" s="106" t="s">
        <v>9</v>
      </c>
      <c r="T24" s="107" t="s">
        <v>10</v>
      </c>
      <c r="U24" s="90"/>
      <c r="V24" s="91"/>
      <c r="W24" s="91"/>
      <c r="X24" s="91"/>
      <c r="Y24" s="91"/>
      <c r="Z24" s="92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3"/>
      <c r="AL24" s="91"/>
      <c r="AM24" s="409"/>
      <c r="AN24" s="83"/>
      <c r="AO24" s="84"/>
      <c r="AP24" s="145"/>
      <c r="AQ24" s="83"/>
      <c r="AR24" s="83"/>
      <c r="AS24" s="145"/>
      <c r="AT24" s="83"/>
      <c r="AU24" s="83"/>
      <c r="AV24" s="83"/>
      <c r="AW24" s="323"/>
      <c r="AX24" s="323"/>
      <c r="BK24" s="188">
        <f t="shared" si="3"/>
        <v>0</v>
      </c>
      <c r="CC24" s="368"/>
    </row>
    <row r="25" spans="2:84" ht="15" customHeight="1">
      <c r="B25" s="98"/>
      <c r="C25" s="108">
        <v>24</v>
      </c>
      <c r="D25" s="99" t="s">
        <v>446</v>
      </c>
      <c r="E25" s="100" t="s">
        <v>447</v>
      </c>
      <c r="F25" s="101" t="s">
        <v>14</v>
      </c>
      <c r="G25" s="102" t="s">
        <v>5</v>
      </c>
      <c r="H25" s="102" t="s">
        <v>13</v>
      </c>
      <c r="I25" s="103" t="s">
        <v>0</v>
      </c>
      <c r="J25" s="104"/>
      <c r="K25" s="83"/>
      <c r="L25" s="105">
        <v>45</v>
      </c>
      <c r="M25" s="89">
        <v>60</v>
      </c>
      <c r="N25" s="89">
        <v>75</v>
      </c>
      <c r="O25" s="89">
        <v>90</v>
      </c>
      <c r="P25" s="89">
        <v>120</v>
      </c>
      <c r="Q25" s="89">
        <v>150</v>
      </c>
      <c r="R25" s="187" t="s">
        <v>218</v>
      </c>
      <c r="S25" s="106" t="s">
        <v>9</v>
      </c>
      <c r="T25" s="107" t="s">
        <v>10</v>
      </c>
      <c r="U25" s="90"/>
      <c r="V25" s="91"/>
      <c r="W25" s="91"/>
      <c r="X25" s="91"/>
      <c r="Y25" s="91"/>
      <c r="Z25" s="92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3"/>
      <c r="AL25" s="91"/>
      <c r="AM25" s="409"/>
      <c r="AN25" s="83"/>
      <c r="AO25" s="84"/>
      <c r="AP25" s="145"/>
      <c r="AQ25" s="83"/>
      <c r="AR25" s="83"/>
      <c r="AS25" s="145"/>
      <c r="AT25" s="83"/>
      <c r="AU25" s="83"/>
      <c r="AV25" s="83"/>
      <c r="AW25" s="323"/>
      <c r="AX25" s="323"/>
      <c r="BK25" s="188">
        <f t="shared" si="3"/>
        <v>0</v>
      </c>
      <c r="CC25" s="368"/>
      <c r="CD25" s="219"/>
    </row>
    <row r="26" spans="2:84" ht="15" customHeight="1">
      <c r="B26" s="98"/>
      <c r="C26" s="108">
        <v>25</v>
      </c>
      <c r="D26" s="99" t="s">
        <v>446</v>
      </c>
      <c r="E26" s="100" t="s">
        <v>447</v>
      </c>
      <c r="F26" s="101" t="s">
        <v>14</v>
      </c>
      <c r="G26" s="102" t="s">
        <v>5</v>
      </c>
      <c r="H26" s="102" t="s">
        <v>13</v>
      </c>
      <c r="I26" s="103" t="s">
        <v>0</v>
      </c>
      <c r="J26" s="104"/>
      <c r="K26" s="83"/>
      <c r="L26" s="105">
        <v>45</v>
      </c>
      <c r="M26" s="89">
        <v>60</v>
      </c>
      <c r="N26" s="89">
        <v>75</v>
      </c>
      <c r="O26" s="89">
        <v>90</v>
      </c>
      <c r="P26" s="89">
        <v>120</v>
      </c>
      <c r="Q26" s="89">
        <v>150</v>
      </c>
      <c r="R26" s="187" t="s">
        <v>218</v>
      </c>
      <c r="S26" s="106" t="s">
        <v>9</v>
      </c>
      <c r="T26" s="107" t="s">
        <v>10</v>
      </c>
      <c r="U26" s="90"/>
      <c r="V26" s="91"/>
      <c r="W26" s="91"/>
      <c r="X26" s="91"/>
      <c r="Y26" s="91"/>
      <c r="Z26" s="92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3"/>
      <c r="AL26" s="91"/>
      <c r="AM26" s="409"/>
      <c r="AN26" s="83"/>
      <c r="AO26" s="84"/>
      <c r="AP26" s="145"/>
      <c r="AQ26" s="83"/>
      <c r="AR26" s="83"/>
      <c r="AS26" s="145"/>
      <c r="AT26" s="83"/>
      <c r="AU26" s="83"/>
      <c r="AV26" s="83"/>
      <c r="AW26" s="323"/>
      <c r="AX26" s="323"/>
      <c r="BK26" s="188">
        <f t="shared" si="3"/>
        <v>0</v>
      </c>
      <c r="CC26" s="368"/>
      <c r="CD26" s="219"/>
    </row>
    <row r="27" spans="2:84" ht="15" customHeight="1">
      <c r="B27" s="98"/>
      <c r="C27" s="108">
        <v>26</v>
      </c>
      <c r="D27" s="99" t="s">
        <v>446</v>
      </c>
      <c r="E27" s="100" t="s">
        <v>447</v>
      </c>
      <c r="F27" s="101" t="s">
        <v>14</v>
      </c>
      <c r="G27" s="102" t="s">
        <v>5</v>
      </c>
      <c r="H27" s="102" t="s">
        <v>13</v>
      </c>
      <c r="I27" s="103" t="s">
        <v>0</v>
      </c>
      <c r="J27" s="104"/>
      <c r="K27" s="83"/>
      <c r="L27" s="105">
        <v>45</v>
      </c>
      <c r="M27" s="89">
        <v>60</v>
      </c>
      <c r="N27" s="89">
        <v>75</v>
      </c>
      <c r="O27" s="89">
        <v>90</v>
      </c>
      <c r="P27" s="89">
        <v>120</v>
      </c>
      <c r="Q27" s="89">
        <v>150</v>
      </c>
      <c r="R27" s="187" t="s">
        <v>218</v>
      </c>
      <c r="S27" s="106" t="s">
        <v>9</v>
      </c>
      <c r="T27" s="107" t="s">
        <v>10</v>
      </c>
      <c r="U27" s="90"/>
      <c r="V27" s="91"/>
      <c r="W27" s="91"/>
      <c r="X27" s="91"/>
      <c r="Y27" s="91"/>
      <c r="Z27" s="92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3"/>
      <c r="AL27" s="91"/>
      <c r="AM27" s="409"/>
      <c r="AN27" s="83"/>
      <c r="AO27" s="84"/>
      <c r="AP27" s="145"/>
      <c r="AQ27" s="83"/>
      <c r="AR27" s="83"/>
      <c r="AS27" s="145"/>
      <c r="AT27" s="83"/>
      <c r="AU27" s="83"/>
      <c r="AV27" s="83"/>
      <c r="AW27" s="323"/>
      <c r="AX27" s="323"/>
      <c r="BK27" s="188">
        <f t="shared" si="3"/>
        <v>0</v>
      </c>
      <c r="CC27" s="368"/>
    </row>
    <row r="28" spans="2:84" ht="15" customHeight="1">
      <c r="B28" s="98"/>
      <c r="C28" s="108">
        <v>27</v>
      </c>
      <c r="D28" s="99" t="s">
        <v>446</v>
      </c>
      <c r="E28" s="100" t="s">
        <v>447</v>
      </c>
      <c r="F28" s="101" t="s">
        <v>14</v>
      </c>
      <c r="G28" s="102" t="s">
        <v>5</v>
      </c>
      <c r="H28" s="102" t="s">
        <v>13</v>
      </c>
      <c r="I28" s="103" t="s">
        <v>0</v>
      </c>
      <c r="J28" s="104"/>
      <c r="K28" s="83"/>
      <c r="L28" s="105">
        <v>45</v>
      </c>
      <c r="M28" s="89">
        <v>60</v>
      </c>
      <c r="N28" s="89">
        <v>75</v>
      </c>
      <c r="O28" s="89">
        <v>90</v>
      </c>
      <c r="P28" s="89">
        <v>120</v>
      </c>
      <c r="Q28" s="89">
        <v>150</v>
      </c>
      <c r="R28" s="187" t="s">
        <v>218</v>
      </c>
      <c r="S28" s="106" t="s">
        <v>9</v>
      </c>
      <c r="T28" s="107" t="s">
        <v>10</v>
      </c>
      <c r="U28" s="90"/>
      <c r="V28" s="91"/>
      <c r="W28" s="91"/>
      <c r="X28" s="91"/>
      <c r="Y28" s="91"/>
      <c r="Z28" s="92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3"/>
      <c r="AL28" s="91"/>
      <c r="AM28" s="409"/>
      <c r="AN28" s="83"/>
      <c r="AO28" s="84"/>
      <c r="AP28" s="145"/>
      <c r="AQ28" s="83"/>
      <c r="AR28" s="83"/>
      <c r="AS28" s="145"/>
      <c r="AT28" s="83"/>
      <c r="AU28" s="83"/>
      <c r="AV28" s="83"/>
      <c r="AW28" s="323"/>
      <c r="AX28" s="323"/>
      <c r="BK28" s="188">
        <f t="shared" si="3"/>
        <v>0</v>
      </c>
      <c r="CC28" s="368"/>
    </row>
    <row r="29" spans="2:84" ht="15" customHeight="1">
      <c r="B29" s="98"/>
      <c r="C29" s="108">
        <v>28</v>
      </c>
      <c r="D29" s="99" t="s">
        <v>446</v>
      </c>
      <c r="E29" s="100" t="s">
        <v>447</v>
      </c>
      <c r="F29" s="101" t="s">
        <v>14</v>
      </c>
      <c r="G29" s="102" t="s">
        <v>5</v>
      </c>
      <c r="H29" s="102" t="s">
        <v>13</v>
      </c>
      <c r="I29" s="103" t="s">
        <v>0</v>
      </c>
      <c r="J29" s="104"/>
      <c r="K29" s="83"/>
      <c r="L29" s="105">
        <v>45</v>
      </c>
      <c r="M29" s="89">
        <v>60</v>
      </c>
      <c r="N29" s="89">
        <v>75</v>
      </c>
      <c r="O29" s="89">
        <v>90</v>
      </c>
      <c r="P29" s="89">
        <v>120</v>
      </c>
      <c r="Q29" s="89">
        <v>150</v>
      </c>
      <c r="R29" s="187" t="s">
        <v>218</v>
      </c>
      <c r="S29" s="106" t="s">
        <v>9</v>
      </c>
      <c r="T29" s="107" t="s">
        <v>10</v>
      </c>
      <c r="U29" s="90"/>
      <c r="V29" s="91"/>
      <c r="W29" s="91"/>
      <c r="X29" s="91"/>
      <c r="Y29" s="91"/>
      <c r="Z29" s="92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3"/>
      <c r="AL29" s="91"/>
      <c r="AM29" s="409"/>
      <c r="AN29" s="83"/>
      <c r="AO29" s="84"/>
      <c r="AP29" s="145"/>
      <c r="AQ29" s="83"/>
      <c r="AR29" s="83"/>
      <c r="AS29" s="145"/>
      <c r="AT29" s="83"/>
      <c r="AU29" s="83"/>
      <c r="AV29" s="83"/>
      <c r="AW29" s="323"/>
      <c r="AX29" s="323"/>
      <c r="BK29" s="188">
        <f t="shared" ref="BK29:BK31" si="4">AJ29</f>
        <v>0</v>
      </c>
      <c r="CC29" s="368"/>
    </row>
    <row r="30" spans="2:84" ht="15" customHeight="1">
      <c r="B30" s="98"/>
      <c r="C30" s="108">
        <v>29</v>
      </c>
      <c r="D30" s="99" t="s">
        <v>446</v>
      </c>
      <c r="E30" s="100" t="s">
        <v>447</v>
      </c>
      <c r="F30" s="101" t="s">
        <v>14</v>
      </c>
      <c r="G30" s="102" t="s">
        <v>5</v>
      </c>
      <c r="H30" s="102" t="s">
        <v>13</v>
      </c>
      <c r="I30" s="103" t="s">
        <v>0</v>
      </c>
      <c r="J30" s="104"/>
      <c r="K30" s="83"/>
      <c r="L30" s="105">
        <v>45</v>
      </c>
      <c r="M30" s="89">
        <v>60</v>
      </c>
      <c r="N30" s="89">
        <v>75</v>
      </c>
      <c r="O30" s="89">
        <v>90</v>
      </c>
      <c r="P30" s="89">
        <v>120</v>
      </c>
      <c r="Q30" s="89">
        <v>150</v>
      </c>
      <c r="R30" s="187" t="s">
        <v>218</v>
      </c>
      <c r="S30" s="106" t="s">
        <v>9</v>
      </c>
      <c r="T30" s="107" t="s">
        <v>10</v>
      </c>
      <c r="U30" s="90"/>
      <c r="V30" s="91"/>
      <c r="W30" s="91"/>
      <c r="X30" s="91"/>
      <c r="Y30" s="91"/>
      <c r="Z30" s="92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3"/>
      <c r="AL30" s="91"/>
      <c r="AM30" s="409"/>
      <c r="AN30" s="83"/>
      <c r="AO30" s="84"/>
      <c r="AP30" s="145"/>
      <c r="AQ30" s="83"/>
      <c r="AR30" s="83"/>
      <c r="AS30" s="145"/>
      <c r="AT30" s="83"/>
      <c r="AU30" s="83"/>
      <c r="AV30" s="83"/>
      <c r="AW30" s="323"/>
      <c r="AX30" s="323"/>
      <c r="BK30" s="188">
        <f t="shared" si="4"/>
        <v>0</v>
      </c>
      <c r="CC30" s="367"/>
    </row>
    <row r="31" spans="2:84" ht="15" customHeight="1">
      <c r="B31" s="98"/>
      <c r="C31" s="108">
        <v>30</v>
      </c>
      <c r="D31" s="99" t="s">
        <v>446</v>
      </c>
      <c r="E31" s="100" t="s">
        <v>447</v>
      </c>
      <c r="F31" s="101" t="s">
        <v>14</v>
      </c>
      <c r="G31" s="102" t="s">
        <v>5</v>
      </c>
      <c r="H31" s="102" t="s">
        <v>13</v>
      </c>
      <c r="I31" s="103" t="s">
        <v>0</v>
      </c>
      <c r="J31" s="104"/>
      <c r="K31" s="83"/>
      <c r="L31" s="105">
        <v>45</v>
      </c>
      <c r="M31" s="89">
        <v>60</v>
      </c>
      <c r="N31" s="89">
        <v>75</v>
      </c>
      <c r="O31" s="89">
        <v>90</v>
      </c>
      <c r="P31" s="89">
        <v>120</v>
      </c>
      <c r="Q31" s="89">
        <v>150</v>
      </c>
      <c r="R31" s="187" t="s">
        <v>218</v>
      </c>
      <c r="S31" s="106" t="s">
        <v>9</v>
      </c>
      <c r="T31" s="107" t="s">
        <v>10</v>
      </c>
      <c r="U31" s="90"/>
      <c r="V31" s="91"/>
      <c r="W31" s="91"/>
      <c r="X31" s="91"/>
      <c r="Y31" s="91"/>
      <c r="Z31" s="92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3"/>
      <c r="AL31" s="91"/>
      <c r="AM31" s="409"/>
      <c r="AN31" s="83"/>
      <c r="AO31" s="84"/>
      <c r="AP31" s="145"/>
      <c r="AQ31" s="83"/>
      <c r="AR31" s="83"/>
      <c r="AS31" s="145"/>
      <c r="AT31" s="83"/>
      <c r="AU31" s="83"/>
      <c r="AV31" s="83"/>
      <c r="AW31" s="323"/>
      <c r="AX31" s="323"/>
      <c r="BK31" s="188">
        <f t="shared" si="4"/>
        <v>0</v>
      </c>
      <c r="CC31" s="367"/>
    </row>
    <row r="32" spans="2:84" ht="15" customHeight="1">
      <c r="B32" s="98"/>
      <c r="C32" s="108">
        <v>31</v>
      </c>
      <c r="D32" s="99" t="s">
        <v>446</v>
      </c>
      <c r="E32" s="100" t="s">
        <v>447</v>
      </c>
      <c r="F32" s="101" t="s">
        <v>14</v>
      </c>
      <c r="G32" s="102" t="s">
        <v>5</v>
      </c>
      <c r="H32" s="102" t="s">
        <v>13</v>
      </c>
      <c r="I32" s="103" t="s">
        <v>0</v>
      </c>
      <c r="J32" s="104"/>
      <c r="K32" s="83"/>
      <c r="L32" s="105">
        <v>45</v>
      </c>
      <c r="M32" s="89">
        <v>60</v>
      </c>
      <c r="N32" s="89">
        <v>75</v>
      </c>
      <c r="O32" s="89">
        <v>90</v>
      </c>
      <c r="P32" s="89">
        <v>120</v>
      </c>
      <c r="Q32" s="89">
        <v>150</v>
      </c>
      <c r="R32" s="187" t="s">
        <v>218</v>
      </c>
      <c r="S32" s="106" t="s">
        <v>9</v>
      </c>
      <c r="T32" s="107" t="s">
        <v>10</v>
      </c>
      <c r="U32" s="90"/>
      <c r="V32" s="91"/>
      <c r="W32" s="91"/>
      <c r="X32" s="91"/>
      <c r="Y32" s="91"/>
      <c r="Z32" s="92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3"/>
      <c r="AL32" s="91"/>
      <c r="AM32" s="409"/>
      <c r="AN32" s="83"/>
      <c r="AO32" s="84"/>
      <c r="AP32" s="145"/>
      <c r="AQ32" s="83"/>
      <c r="AR32" s="83"/>
      <c r="AS32" s="145"/>
      <c r="AT32" s="83"/>
      <c r="AU32" s="83"/>
      <c r="AV32" s="83"/>
      <c r="AW32" s="323"/>
      <c r="AX32" s="323"/>
      <c r="BK32" s="188">
        <f>AJ31</f>
        <v>0</v>
      </c>
      <c r="CC32" s="367"/>
    </row>
    <row r="33" spans="2:81" ht="15" customHeight="1">
      <c r="B33" s="98"/>
      <c r="C33" s="108">
        <v>32</v>
      </c>
      <c r="D33" s="99" t="s">
        <v>446</v>
      </c>
      <c r="E33" s="100" t="s">
        <v>447</v>
      </c>
      <c r="F33" s="101" t="s">
        <v>14</v>
      </c>
      <c r="G33" s="102" t="s">
        <v>5</v>
      </c>
      <c r="H33" s="102" t="s">
        <v>13</v>
      </c>
      <c r="I33" s="103" t="s">
        <v>0</v>
      </c>
      <c r="J33" s="104"/>
      <c r="K33" s="83"/>
      <c r="L33" s="105">
        <v>45</v>
      </c>
      <c r="M33" s="89">
        <v>60</v>
      </c>
      <c r="N33" s="89">
        <v>75</v>
      </c>
      <c r="O33" s="89">
        <v>90</v>
      </c>
      <c r="P33" s="89">
        <v>120</v>
      </c>
      <c r="Q33" s="89">
        <v>150</v>
      </c>
      <c r="R33" s="187" t="s">
        <v>218</v>
      </c>
      <c r="S33" s="106" t="s">
        <v>9</v>
      </c>
      <c r="T33" s="107" t="s">
        <v>10</v>
      </c>
      <c r="U33" s="90"/>
      <c r="V33" s="91"/>
      <c r="W33" s="91"/>
      <c r="X33" s="91"/>
      <c r="Y33" s="91"/>
      <c r="Z33" s="92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3"/>
      <c r="AL33" s="91"/>
      <c r="AM33" s="409"/>
      <c r="AN33" s="83"/>
      <c r="AO33" s="84"/>
      <c r="AP33" s="145"/>
      <c r="AQ33" s="83"/>
      <c r="AR33" s="83"/>
      <c r="AS33" s="145"/>
      <c r="AT33" s="83"/>
      <c r="AU33" s="83"/>
      <c r="AV33" s="83"/>
      <c r="AW33" s="323"/>
      <c r="AX33" s="323"/>
      <c r="BK33" s="188">
        <f t="shared" ref="BK33:BK41" si="5">AJ33</f>
        <v>0</v>
      </c>
      <c r="CC33" s="367"/>
    </row>
    <row r="34" spans="2:81" ht="15" customHeight="1">
      <c r="B34" s="98"/>
      <c r="C34" s="108">
        <v>33</v>
      </c>
      <c r="D34" s="99" t="s">
        <v>446</v>
      </c>
      <c r="E34" s="100" t="s">
        <v>447</v>
      </c>
      <c r="F34" s="101" t="s">
        <v>14</v>
      </c>
      <c r="G34" s="102" t="s">
        <v>5</v>
      </c>
      <c r="H34" s="102" t="s">
        <v>13</v>
      </c>
      <c r="I34" s="103" t="s">
        <v>0</v>
      </c>
      <c r="J34" s="104"/>
      <c r="K34" s="83"/>
      <c r="L34" s="105">
        <v>45</v>
      </c>
      <c r="M34" s="89">
        <v>60</v>
      </c>
      <c r="N34" s="89">
        <v>75</v>
      </c>
      <c r="O34" s="89">
        <v>90</v>
      </c>
      <c r="P34" s="89">
        <v>120</v>
      </c>
      <c r="Q34" s="89">
        <v>150</v>
      </c>
      <c r="R34" s="187" t="s">
        <v>218</v>
      </c>
      <c r="S34" s="106" t="s">
        <v>9</v>
      </c>
      <c r="T34" s="107" t="s">
        <v>10</v>
      </c>
      <c r="U34" s="90"/>
      <c r="V34" s="91"/>
      <c r="W34" s="91"/>
      <c r="X34" s="91"/>
      <c r="Y34" s="91"/>
      <c r="Z34" s="92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3"/>
      <c r="AL34" s="91"/>
      <c r="AM34" s="409"/>
      <c r="AN34" s="83"/>
      <c r="AO34" s="84"/>
      <c r="AP34" s="145"/>
      <c r="AQ34" s="83"/>
      <c r="AR34" s="83"/>
      <c r="AS34" s="145"/>
      <c r="AT34" s="83"/>
      <c r="AU34" s="83"/>
      <c r="AV34" s="83"/>
      <c r="AW34" s="323"/>
      <c r="AX34" s="323"/>
      <c r="BK34" s="188">
        <f t="shared" si="5"/>
        <v>0</v>
      </c>
      <c r="CC34" s="367"/>
    </row>
    <row r="35" spans="2:81" ht="15" customHeight="1">
      <c r="B35" s="98"/>
      <c r="C35" s="108">
        <v>34</v>
      </c>
      <c r="D35" s="99" t="s">
        <v>446</v>
      </c>
      <c r="E35" s="100" t="s">
        <v>447</v>
      </c>
      <c r="F35" s="101" t="s">
        <v>14</v>
      </c>
      <c r="G35" s="102" t="s">
        <v>5</v>
      </c>
      <c r="H35" s="102" t="s">
        <v>13</v>
      </c>
      <c r="I35" s="103" t="s">
        <v>0</v>
      </c>
      <c r="J35" s="104"/>
      <c r="K35" s="83"/>
      <c r="L35" s="105">
        <v>45</v>
      </c>
      <c r="M35" s="89">
        <v>60</v>
      </c>
      <c r="N35" s="89">
        <v>75</v>
      </c>
      <c r="O35" s="89">
        <v>90</v>
      </c>
      <c r="P35" s="89">
        <v>120</v>
      </c>
      <c r="Q35" s="89">
        <v>150</v>
      </c>
      <c r="R35" s="187" t="s">
        <v>218</v>
      </c>
      <c r="S35" s="106" t="s">
        <v>9</v>
      </c>
      <c r="T35" s="107" t="s">
        <v>10</v>
      </c>
      <c r="U35" s="90"/>
      <c r="V35" s="91"/>
      <c r="W35" s="91"/>
      <c r="X35" s="91"/>
      <c r="Y35" s="91"/>
      <c r="Z35" s="92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3"/>
      <c r="AL35" s="91"/>
      <c r="AM35" s="409"/>
      <c r="AN35" s="83"/>
      <c r="AO35" s="84"/>
      <c r="AP35" s="145"/>
      <c r="AQ35" s="83"/>
      <c r="AR35" s="83"/>
      <c r="AS35" s="145"/>
      <c r="AT35" s="83"/>
      <c r="AU35" s="83"/>
      <c r="AV35" s="83"/>
      <c r="AW35" s="323"/>
      <c r="AX35" s="323"/>
      <c r="BK35" s="188">
        <f t="shared" si="5"/>
        <v>0</v>
      </c>
      <c r="CC35" s="367"/>
    </row>
    <row r="36" spans="2:81" ht="15" customHeight="1">
      <c r="B36" s="98"/>
      <c r="C36" s="108">
        <v>35</v>
      </c>
      <c r="D36" s="99" t="s">
        <v>446</v>
      </c>
      <c r="E36" s="100" t="s">
        <v>447</v>
      </c>
      <c r="F36" s="101" t="s">
        <v>14</v>
      </c>
      <c r="G36" s="102" t="s">
        <v>5</v>
      </c>
      <c r="H36" s="102" t="s">
        <v>13</v>
      </c>
      <c r="I36" s="103" t="s">
        <v>0</v>
      </c>
      <c r="J36" s="104"/>
      <c r="K36" s="83"/>
      <c r="L36" s="105">
        <v>45</v>
      </c>
      <c r="M36" s="89">
        <v>60</v>
      </c>
      <c r="N36" s="89">
        <v>75</v>
      </c>
      <c r="O36" s="89">
        <v>90</v>
      </c>
      <c r="P36" s="89">
        <v>120</v>
      </c>
      <c r="Q36" s="89">
        <v>150</v>
      </c>
      <c r="R36" s="187" t="s">
        <v>218</v>
      </c>
      <c r="S36" s="106" t="s">
        <v>9</v>
      </c>
      <c r="T36" s="107" t="s">
        <v>10</v>
      </c>
      <c r="U36" s="90"/>
      <c r="V36" s="91"/>
      <c r="W36" s="91"/>
      <c r="X36" s="91"/>
      <c r="Y36" s="91"/>
      <c r="Z36" s="92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3"/>
      <c r="AL36" s="91"/>
      <c r="AM36" s="409"/>
      <c r="AN36" s="83"/>
      <c r="AO36" s="84"/>
      <c r="AP36" s="145"/>
      <c r="AQ36" s="83"/>
      <c r="AR36" s="83"/>
      <c r="AS36" s="145"/>
      <c r="AT36" s="83"/>
      <c r="AU36" s="83"/>
      <c r="AV36" s="83"/>
      <c r="AW36" s="323"/>
      <c r="AX36" s="323"/>
      <c r="BK36" s="188">
        <f t="shared" si="5"/>
        <v>0</v>
      </c>
      <c r="CC36" s="367"/>
    </row>
    <row r="37" spans="2:81" ht="15" customHeight="1">
      <c r="B37" s="98"/>
      <c r="C37" s="108">
        <v>36</v>
      </c>
      <c r="D37" s="99" t="s">
        <v>446</v>
      </c>
      <c r="E37" s="100" t="s">
        <v>447</v>
      </c>
      <c r="F37" s="101" t="s">
        <v>14</v>
      </c>
      <c r="G37" s="102" t="s">
        <v>5</v>
      </c>
      <c r="H37" s="102" t="s">
        <v>13</v>
      </c>
      <c r="I37" s="103" t="s">
        <v>0</v>
      </c>
      <c r="J37" s="104"/>
      <c r="K37" s="83"/>
      <c r="L37" s="105">
        <v>45</v>
      </c>
      <c r="M37" s="89">
        <v>60</v>
      </c>
      <c r="N37" s="89">
        <v>75</v>
      </c>
      <c r="O37" s="89">
        <v>90</v>
      </c>
      <c r="P37" s="89">
        <v>120</v>
      </c>
      <c r="Q37" s="89">
        <v>150</v>
      </c>
      <c r="R37" s="187" t="s">
        <v>218</v>
      </c>
      <c r="S37" s="106" t="s">
        <v>9</v>
      </c>
      <c r="T37" s="107" t="s">
        <v>10</v>
      </c>
      <c r="U37" s="90"/>
      <c r="V37" s="91"/>
      <c r="W37" s="91"/>
      <c r="X37" s="91"/>
      <c r="Y37" s="91"/>
      <c r="Z37" s="92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3"/>
      <c r="AL37" s="91"/>
      <c r="AM37" s="409"/>
      <c r="AN37" s="83"/>
      <c r="AO37" s="84"/>
      <c r="AP37" s="145"/>
      <c r="AQ37" s="83"/>
      <c r="AR37" s="83"/>
      <c r="AS37" s="145"/>
      <c r="AT37" s="83"/>
      <c r="AU37" s="83"/>
      <c r="AV37" s="83"/>
      <c r="AW37" s="323"/>
      <c r="AX37" s="323"/>
      <c r="BK37" s="188">
        <f t="shared" si="5"/>
        <v>0</v>
      </c>
      <c r="CC37" s="367"/>
    </row>
    <row r="38" spans="2:81" ht="15" customHeight="1">
      <c r="B38" s="98"/>
      <c r="C38" s="108">
        <v>37</v>
      </c>
      <c r="D38" s="99" t="s">
        <v>446</v>
      </c>
      <c r="E38" s="100" t="s">
        <v>447</v>
      </c>
      <c r="F38" s="101" t="s">
        <v>14</v>
      </c>
      <c r="G38" s="102" t="s">
        <v>5</v>
      </c>
      <c r="H38" s="102" t="s">
        <v>13</v>
      </c>
      <c r="I38" s="103" t="s">
        <v>0</v>
      </c>
      <c r="J38" s="104"/>
      <c r="K38" s="83"/>
      <c r="L38" s="105">
        <v>45</v>
      </c>
      <c r="M38" s="89">
        <v>60</v>
      </c>
      <c r="N38" s="89">
        <v>75</v>
      </c>
      <c r="O38" s="89">
        <v>90</v>
      </c>
      <c r="P38" s="89">
        <v>120</v>
      </c>
      <c r="Q38" s="89">
        <v>150</v>
      </c>
      <c r="R38" s="187" t="s">
        <v>218</v>
      </c>
      <c r="S38" s="106" t="s">
        <v>9</v>
      </c>
      <c r="T38" s="107" t="s">
        <v>10</v>
      </c>
      <c r="U38" s="90"/>
      <c r="V38" s="91"/>
      <c r="W38" s="91"/>
      <c r="X38" s="91"/>
      <c r="Y38" s="91"/>
      <c r="Z38" s="92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3"/>
      <c r="AL38" s="91"/>
      <c r="AM38" s="409"/>
      <c r="AN38" s="83"/>
      <c r="AO38" s="84"/>
      <c r="AP38" s="145"/>
      <c r="AQ38" s="83"/>
      <c r="AR38" s="83"/>
      <c r="AS38" s="145"/>
      <c r="AT38" s="83"/>
      <c r="AU38" s="83"/>
      <c r="AV38" s="83"/>
      <c r="AW38" s="323"/>
      <c r="AX38" s="323"/>
      <c r="BK38" s="188">
        <f t="shared" si="5"/>
        <v>0</v>
      </c>
      <c r="CC38" s="368"/>
    </row>
    <row r="39" spans="2:81" ht="15" customHeight="1">
      <c r="B39" s="98"/>
      <c r="C39" s="108">
        <v>38</v>
      </c>
      <c r="D39" s="99" t="s">
        <v>446</v>
      </c>
      <c r="E39" s="100" t="s">
        <v>447</v>
      </c>
      <c r="F39" s="101" t="s">
        <v>14</v>
      </c>
      <c r="G39" s="102" t="s">
        <v>5</v>
      </c>
      <c r="H39" s="102" t="s">
        <v>13</v>
      </c>
      <c r="I39" s="103" t="s">
        <v>0</v>
      </c>
      <c r="J39" s="104"/>
      <c r="K39" s="83"/>
      <c r="L39" s="105">
        <v>45</v>
      </c>
      <c r="M39" s="89">
        <v>60</v>
      </c>
      <c r="N39" s="89">
        <v>75</v>
      </c>
      <c r="O39" s="89">
        <v>90</v>
      </c>
      <c r="P39" s="89">
        <v>120</v>
      </c>
      <c r="Q39" s="89">
        <v>150</v>
      </c>
      <c r="R39" s="187" t="s">
        <v>218</v>
      </c>
      <c r="S39" s="106" t="s">
        <v>9</v>
      </c>
      <c r="T39" s="107" t="s">
        <v>10</v>
      </c>
      <c r="U39" s="90"/>
      <c r="V39" s="91"/>
      <c r="W39" s="91"/>
      <c r="X39" s="91"/>
      <c r="Y39" s="91"/>
      <c r="Z39" s="92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3"/>
      <c r="AL39" s="91"/>
      <c r="AM39" s="409"/>
      <c r="AN39" s="83"/>
      <c r="AO39" s="84"/>
      <c r="AP39" s="145"/>
      <c r="AQ39" s="83"/>
      <c r="AR39" s="83"/>
      <c r="AS39" s="145"/>
      <c r="AT39" s="83"/>
      <c r="AU39" s="83"/>
      <c r="AV39" s="83"/>
      <c r="AW39" s="323"/>
      <c r="AX39" s="323"/>
      <c r="BK39" s="188">
        <f t="shared" si="5"/>
        <v>0</v>
      </c>
      <c r="CC39" s="367"/>
    </row>
    <row r="40" spans="2:81" ht="15" customHeight="1">
      <c r="B40" s="98"/>
      <c r="C40" s="108">
        <v>39</v>
      </c>
      <c r="D40" s="99" t="s">
        <v>446</v>
      </c>
      <c r="E40" s="100" t="s">
        <v>447</v>
      </c>
      <c r="F40" s="101" t="s">
        <v>14</v>
      </c>
      <c r="G40" s="102" t="s">
        <v>5</v>
      </c>
      <c r="H40" s="102" t="s">
        <v>13</v>
      </c>
      <c r="I40" s="103" t="s">
        <v>0</v>
      </c>
      <c r="J40" s="104"/>
      <c r="K40" s="83"/>
      <c r="L40" s="105">
        <v>45</v>
      </c>
      <c r="M40" s="89">
        <v>60</v>
      </c>
      <c r="N40" s="89">
        <v>75</v>
      </c>
      <c r="O40" s="89">
        <v>90</v>
      </c>
      <c r="P40" s="89">
        <v>120</v>
      </c>
      <c r="Q40" s="89">
        <v>150</v>
      </c>
      <c r="R40" s="187" t="s">
        <v>218</v>
      </c>
      <c r="S40" s="106" t="s">
        <v>9</v>
      </c>
      <c r="T40" s="107" t="s">
        <v>10</v>
      </c>
      <c r="U40" s="90"/>
      <c r="V40" s="91"/>
      <c r="W40" s="91"/>
      <c r="X40" s="91"/>
      <c r="Y40" s="91"/>
      <c r="Z40" s="92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3"/>
      <c r="AL40" s="91"/>
      <c r="AM40" s="409"/>
      <c r="AN40" s="83"/>
      <c r="AO40" s="84"/>
      <c r="AP40" s="145"/>
      <c r="AQ40" s="83"/>
      <c r="AR40" s="83"/>
      <c r="AS40" s="145"/>
      <c r="AT40" s="83"/>
      <c r="AU40" s="83"/>
      <c r="AV40" s="83"/>
      <c r="AW40" s="323"/>
      <c r="AX40" s="323"/>
      <c r="BK40" s="188">
        <f t="shared" si="5"/>
        <v>0</v>
      </c>
      <c r="CC40" s="367"/>
    </row>
    <row r="41" spans="2:81" ht="15" customHeight="1">
      <c r="B41" s="98"/>
      <c r="C41" s="108">
        <v>40</v>
      </c>
      <c r="D41" s="99" t="s">
        <v>446</v>
      </c>
      <c r="E41" s="100" t="s">
        <v>447</v>
      </c>
      <c r="F41" s="101" t="s">
        <v>14</v>
      </c>
      <c r="G41" s="102" t="s">
        <v>5</v>
      </c>
      <c r="H41" s="102" t="s">
        <v>13</v>
      </c>
      <c r="I41" s="103" t="s">
        <v>0</v>
      </c>
      <c r="J41" s="104"/>
      <c r="K41" s="83"/>
      <c r="L41" s="105">
        <v>45</v>
      </c>
      <c r="M41" s="89">
        <v>60</v>
      </c>
      <c r="N41" s="89">
        <v>75</v>
      </c>
      <c r="O41" s="89">
        <v>90</v>
      </c>
      <c r="P41" s="89">
        <v>120</v>
      </c>
      <c r="Q41" s="89">
        <v>150</v>
      </c>
      <c r="R41" s="187" t="s">
        <v>218</v>
      </c>
      <c r="S41" s="106" t="s">
        <v>9</v>
      </c>
      <c r="T41" s="107" t="s">
        <v>10</v>
      </c>
      <c r="U41" s="90"/>
      <c r="V41" s="91"/>
      <c r="W41" s="91"/>
      <c r="X41" s="91"/>
      <c r="Y41" s="91"/>
      <c r="Z41" s="92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3"/>
      <c r="AL41" s="91"/>
      <c r="AM41" s="409"/>
      <c r="AN41" s="83"/>
      <c r="AO41" s="84"/>
      <c r="AP41" s="145"/>
      <c r="AQ41" s="83"/>
      <c r="AR41" s="83"/>
      <c r="AS41" s="145"/>
      <c r="AT41" s="83"/>
      <c r="AU41" s="83"/>
      <c r="AV41" s="83"/>
      <c r="AW41" s="323"/>
      <c r="AX41" s="323"/>
      <c r="BK41" s="188">
        <f t="shared" si="5"/>
        <v>0</v>
      </c>
      <c r="CC41" s="367"/>
    </row>
    <row r="42" spans="2:81" ht="15" customHeight="1">
      <c r="B42" s="98"/>
      <c r="C42" s="108">
        <v>41</v>
      </c>
      <c r="D42" s="99" t="s">
        <v>446</v>
      </c>
      <c r="E42" s="100" t="s">
        <v>447</v>
      </c>
      <c r="F42" s="101" t="s">
        <v>14</v>
      </c>
      <c r="G42" s="102" t="s">
        <v>5</v>
      </c>
      <c r="H42" s="102" t="s">
        <v>13</v>
      </c>
      <c r="I42" s="103" t="s">
        <v>0</v>
      </c>
      <c r="J42" s="104"/>
      <c r="K42" s="83"/>
      <c r="L42" s="105">
        <v>45</v>
      </c>
      <c r="M42" s="89">
        <v>60</v>
      </c>
      <c r="N42" s="89">
        <v>75</v>
      </c>
      <c r="O42" s="89">
        <v>90</v>
      </c>
      <c r="P42" s="89">
        <v>120</v>
      </c>
      <c r="Q42" s="89">
        <v>150</v>
      </c>
      <c r="R42" s="187" t="s">
        <v>218</v>
      </c>
      <c r="S42" s="106" t="s">
        <v>9</v>
      </c>
      <c r="T42" s="107" t="s">
        <v>10</v>
      </c>
      <c r="U42" s="90"/>
      <c r="V42" s="91"/>
      <c r="W42" s="91"/>
      <c r="X42" s="91"/>
      <c r="Y42" s="91"/>
      <c r="Z42" s="92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3"/>
      <c r="AL42" s="91"/>
      <c r="AM42" s="409"/>
      <c r="AN42" s="83"/>
      <c r="AO42" s="84"/>
      <c r="AP42" s="145"/>
      <c r="AQ42" s="83"/>
      <c r="AR42" s="83"/>
      <c r="AS42" s="145"/>
      <c r="AT42" s="83"/>
      <c r="AU42" s="83"/>
      <c r="AV42" s="83"/>
      <c r="AW42" s="323"/>
      <c r="AX42" s="323"/>
      <c r="BK42" s="188">
        <f>AJ41</f>
        <v>0</v>
      </c>
      <c r="CC42" s="367"/>
    </row>
    <row r="43" spans="2:81" ht="15" customHeight="1">
      <c r="B43" s="98"/>
      <c r="C43" s="108">
        <v>42</v>
      </c>
      <c r="D43" s="99" t="s">
        <v>446</v>
      </c>
      <c r="E43" s="100" t="s">
        <v>447</v>
      </c>
      <c r="F43" s="101" t="s">
        <v>14</v>
      </c>
      <c r="G43" s="102" t="s">
        <v>5</v>
      </c>
      <c r="H43" s="102" t="s">
        <v>13</v>
      </c>
      <c r="I43" s="103" t="s">
        <v>0</v>
      </c>
      <c r="J43" s="104"/>
      <c r="K43" s="83"/>
      <c r="L43" s="105">
        <v>45</v>
      </c>
      <c r="M43" s="89">
        <v>60</v>
      </c>
      <c r="N43" s="89">
        <v>75</v>
      </c>
      <c r="O43" s="89">
        <v>90</v>
      </c>
      <c r="P43" s="89">
        <v>120</v>
      </c>
      <c r="Q43" s="89">
        <v>150</v>
      </c>
      <c r="R43" s="187" t="s">
        <v>218</v>
      </c>
      <c r="S43" s="106" t="s">
        <v>9</v>
      </c>
      <c r="T43" s="107" t="s">
        <v>10</v>
      </c>
      <c r="U43" s="90"/>
      <c r="V43" s="91"/>
      <c r="W43" s="91"/>
      <c r="X43" s="91"/>
      <c r="Y43" s="91"/>
      <c r="Z43" s="92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3"/>
      <c r="AL43" s="91"/>
      <c r="AM43" s="409"/>
      <c r="AN43" s="83"/>
      <c r="AO43" s="84"/>
      <c r="AP43" s="145"/>
      <c r="AQ43" s="83"/>
      <c r="AR43" s="83"/>
      <c r="AS43" s="145"/>
      <c r="AT43" s="83"/>
      <c r="AU43" s="83"/>
      <c r="AV43" s="83"/>
      <c r="AW43" s="323"/>
      <c r="AX43" s="323"/>
      <c r="BK43" s="188">
        <f t="shared" ref="BK43:BK51" si="6">AJ43</f>
        <v>0</v>
      </c>
      <c r="CC43" s="367"/>
    </row>
    <row r="44" spans="2:81" ht="15" customHeight="1">
      <c r="B44" s="98"/>
      <c r="C44" s="108">
        <v>43</v>
      </c>
      <c r="D44" s="99" t="s">
        <v>446</v>
      </c>
      <c r="E44" s="100" t="s">
        <v>447</v>
      </c>
      <c r="F44" s="101" t="s">
        <v>14</v>
      </c>
      <c r="G44" s="102" t="s">
        <v>5</v>
      </c>
      <c r="H44" s="102" t="s">
        <v>13</v>
      </c>
      <c r="I44" s="103" t="s">
        <v>0</v>
      </c>
      <c r="J44" s="104"/>
      <c r="K44" s="83"/>
      <c r="L44" s="105">
        <v>45</v>
      </c>
      <c r="M44" s="89">
        <v>60</v>
      </c>
      <c r="N44" s="89">
        <v>75</v>
      </c>
      <c r="O44" s="89">
        <v>90</v>
      </c>
      <c r="P44" s="89">
        <v>120</v>
      </c>
      <c r="Q44" s="89">
        <v>150</v>
      </c>
      <c r="R44" s="187" t="s">
        <v>218</v>
      </c>
      <c r="S44" s="106" t="s">
        <v>9</v>
      </c>
      <c r="T44" s="107" t="s">
        <v>10</v>
      </c>
      <c r="U44" s="90"/>
      <c r="V44" s="91"/>
      <c r="W44" s="91"/>
      <c r="X44" s="91"/>
      <c r="Y44" s="91"/>
      <c r="Z44" s="92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3"/>
      <c r="AL44" s="91"/>
      <c r="AM44" s="409"/>
      <c r="AN44" s="83"/>
      <c r="AO44" s="84"/>
      <c r="AP44" s="145"/>
      <c r="AQ44" s="83"/>
      <c r="AR44" s="83"/>
      <c r="AS44" s="145"/>
      <c r="AT44" s="83"/>
      <c r="AU44" s="83"/>
      <c r="AV44" s="83"/>
      <c r="AW44" s="323"/>
      <c r="AX44" s="323"/>
      <c r="BK44" s="188">
        <f t="shared" si="6"/>
        <v>0</v>
      </c>
      <c r="CC44" s="367"/>
    </row>
    <row r="45" spans="2:81" ht="15" customHeight="1">
      <c r="B45" s="98"/>
      <c r="C45" s="108">
        <v>44</v>
      </c>
      <c r="D45" s="99" t="s">
        <v>446</v>
      </c>
      <c r="E45" s="100" t="s">
        <v>447</v>
      </c>
      <c r="F45" s="101" t="s">
        <v>14</v>
      </c>
      <c r="G45" s="102" t="s">
        <v>5</v>
      </c>
      <c r="H45" s="102" t="s">
        <v>13</v>
      </c>
      <c r="I45" s="103" t="s">
        <v>0</v>
      </c>
      <c r="J45" s="104"/>
      <c r="K45" s="83"/>
      <c r="L45" s="105">
        <v>45</v>
      </c>
      <c r="M45" s="89">
        <v>60</v>
      </c>
      <c r="N45" s="89">
        <v>75</v>
      </c>
      <c r="O45" s="89">
        <v>90</v>
      </c>
      <c r="P45" s="89">
        <v>120</v>
      </c>
      <c r="Q45" s="89">
        <v>150</v>
      </c>
      <c r="R45" s="187" t="s">
        <v>218</v>
      </c>
      <c r="S45" s="106" t="s">
        <v>9</v>
      </c>
      <c r="T45" s="107" t="s">
        <v>10</v>
      </c>
      <c r="U45" s="90"/>
      <c r="V45" s="91"/>
      <c r="W45" s="91"/>
      <c r="X45" s="91"/>
      <c r="Y45" s="91"/>
      <c r="Z45" s="92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3"/>
      <c r="AL45" s="91"/>
      <c r="AM45" s="409"/>
      <c r="AN45" s="83"/>
      <c r="AO45" s="84"/>
      <c r="AP45" s="145"/>
      <c r="AQ45" s="83"/>
      <c r="AR45" s="83"/>
      <c r="AS45" s="145"/>
      <c r="AT45" s="83"/>
      <c r="AU45" s="83"/>
      <c r="AV45" s="83"/>
      <c r="AW45" s="323"/>
      <c r="AX45" s="323"/>
      <c r="BK45" s="188">
        <f t="shared" si="6"/>
        <v>0</v>
      </c>
      <c r="CC45" s="367"/>
    </row>
    <row r="46" spans="2:81" ht="15" customHeight="1">
      <c r="B46" s="98"/>
      <c r="C46" s="108">
        <v>45</v>
      </c>
      <c r="D46" s="99" t="s">
        <v>446</v>
      </c>
      <c r="E46" s="100" t="s">
        <v>447</v>
      </c>
      <c r="F46" s="101" t="s">
        <v>14</v>
      </c>
      <c r="G46" s="102" t="s">
        <v>5</v>
      </c>
      <c r="H46" s="102" t="s">
        <v>13</v>
      </c>
      <c r="I46" s="103" t="s">
        <v>0</v>
      </c>
      <c r="J46" s="104"/>
      <c r="K46" s="83"/>
      <c r="L46" s="105">
        <v>45</v>
      </c>
      <c r="M46" s="89">
        <v>60</v>
      </c>
      <c r="N46" s="89">
        <v>75</v>
      </c>
      <c r="O46" s="89">
        <v>90</v>
      </c>
      <c r="P46" s="89">
        <v>120</v>
      </c>
      <c r="Q46" s="89">
        <v>150</v>
      </c>
      <c r="R46" s="187" t="s">
        <v>218</v>
      </c>
      <c r="S46" s="106" t="s">
        <v>9</v>
      </c>
      <c r="T46" s="107" t="s">
        <v>10</v>
      </c>
      <c r="U46" s="90"/>
      <c r="V46" s="91"/>
      <c r="W46" s="91"/>
      <c r="X46" s="91"/>
      <c r="Y46" s="91"/>
      <c r="Z46" s="92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3"/>
      <c r="AL46" s="91"/>
      <c r="AM46" s="409"/>
      <c r="AN46" s="83"/>
      <c r="AO46" s="84"/>
      <c r="AP46" s="145"/>
      <c r="AQ46" s="83"/>
      <c r="AR46" s="83"/>
      <c r="AS46" s="145"/>
      <c r="AT46" s="83"/>
      <c r="AU46" s="83"/>
      <c r="AV46" s="83"/>
      <c r="AW46" s="323"/>
      <c r="AX46" s="323"/>
      <c r="BK46" s="188">
        <f t="shared" si="6"/>
        <v>0</v>
      </c>
      <c r="CC46" s="368"/>
    </row>
    <row r="47" spans="2:81" ht="15" customHeight="1">
      <c r="B47" s="98"/>
      <c r="C47" s="108">
        <v>46</v>
      </c>
      <c r="D47" s="99" t="s">
        <v>446</v>
      </c>
      <c r="E47" s="100" t="s">
        <v>447</v>
      </c>
      <c r="F47" s="101" t="s">
        <v>14</v>
      </c>
      <c r="G47" s="102" t="s">
        <v>5</v>
      </c>
      <c r="H47" s="102" t="s">
        <v>13</v>
      </c>
      <c r="I47" s="103" t="s">
        <v>0</v>
      </c>
      <c r="J47" s="104"/>
      <c r="K47" s="83"/>
      <c r="L47" s="105">
        <v>45</v>
      </c>
      <c r="M47" s="89">
        <v>60</v>
      </c>
      <c r="N47" s="89">
        <v>75</v>
      </c>
      <c r="O47" s="89">
        <v>90</v>
      </c>
      <c r="P47" s="89">
        <v>120</v>
      </c>
      <c r="Q47" s="89">
        <v>150</v>
      </c>
      <c r="R47" s="187" t="s">
        <v>218</v>
      </c>
      <c r="S47" s="106" t="s">
        <v>9</v>
      </c>
      <c r="T47" s="107" t="s">
        <v>10</v>
      </c>
      <c r="U47" s="90"/>
      <c r="V47" s="91"/>
      <c r="W47" s="91"/>
      <c r="X47" s="91"/>
      <c r="Y47" s="91"/>
      <c r="Z47" s="92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3"/>
      <c r="AL47" s="91"/>
      <c r="AM47" s="409"/>
      <c r="AN47" s="83"/>
      <c r="AO47" s="84"/>
      <c r="AP47" s="145"/>
      <c r="AQ47" s="83"/>
      <c r="AR47" s="83"/>
      <c r="AS47" s="145"/>
      <c r="AT47" s="83"/>
      <c r="AU47" s="83"/>
      <c r="AV47" s="83"/>
      <c r="AW47" s="323"/>
      <c r="AX47" s="323"/>
      <c r="BK47" s="188">
        <f t="shared" si="6"/>
        <v>0</v>
      </c>
      <c r="CC47" s="367"/>
    </row>
    <row r="48" spans="2:81" ht="15" customHeight="1">
      <c r="B48" s="98"/>
      <c r="C48" s="108">
        <v>47</v>
      </c>
      <c r="D48" s="99" t="s">
        <v>446</v>
      </c>
      <c r="E48" s="100" t="s">
        <v>447</v>
      </c>
      <c r="F48" s="101" t="s">
        <v>14</v>
      </c>
      <c r="G48" s="102" t="s">
        <v>5</v>
      </c>
      <c r="H48" s="102" t="s">
        <v>13</v>
      </c>
      <c r="I48" s="103" t="s">
        <v>0</v>
      </c>
      <c r="J48" s="104"/>
      <c r="K48" s="83"/>
      <c r="L48" s="105">
        <v>45</v>
      </c>
      <c r="M48" s="89">
        <v>60</v>
      </c>
      <c r="N48" s="89">
        <v>75</v>
      </c>
      <c r="O48" s="89">
        <v>90</v>
      </c>
      <c r="P48" s="89">
        <v>120</v>
      </c>
      <c r="Q48" s="89">
        <v>150</v>
      </c>
      <c r="R48" s="187" t="s">
        <v>218</v>
      </c>
      <c r="S48" s="106" t="s">
        <v>9</v>
      </c>
      <c r="T48" s="107" t="s">
        <v>10</v>
      </c>
      <c r="U48" s="90"/>
      <c r="V48" s="91"/>
      <c r="W48" s="91"/>
      <c r="X48" s="91"/>
      <c r="Y48" s="91"/>
      <c r="Z48" s="92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3"/>
      <c r="AL48" s="91"/>
      <c r="AM48" s="409"/>
      <c r="AN48" s="83"/>
      <c r="AO48" s="84"/>
      <c r="AP48" s="145"/>
      <c r="AQ48" s="83"/>
      <c r="AR48" s="83"/>
      <c r="AS48" s="145"/>
      <c r="AT48" s="83"/>
      <c r="AU48" s="83"/>
      <c r="AV48" s="83"/>
      <c r="AW48" s="323"/>
      <c r="AX48" s="323"/>
      <c r="BK48" s="188">
        <f t="shared" si="6"/>
        <v>0</v>
      </c>
      <c r="CC48" s="367"/>
    </row>
    <row r="49" spans="2:81" ht="15" customHeight="1">
      <c r="B49" s="98"/>
      <c r="C49" s="108">
        <v>48</v>
      </c>
      <c r="D49" s="99" t="s">
        <v>446</v>
      </c>
      <c r="E49" s="100" t="s">
        <v>447</v>
      </c>
      <c r="F49" s="101" t="s">
        <v>14</v>
      </c>
      <c r="G49" s="102" t="s">
        <v>5</v>
      </c>
      <c r="H49" s="102" t="s">
        <v>13</v>
      </c>
      <c r="I49" s="103" t="s">
        <v>0</v>
      </c>
      <c r="J49" s="104"/>
      <c r="K49" s="83"/>
      <c r="L49" s="105">
        <v>45</v>
      </c>
      <c r="M49" s="89">
        <v>60</v>
      </c>
      <c r="N49" s="89">
        <v>75</v>
      </c>
      <c r="O49" s="89">
        <v>90</v>
      </c>
      <c r="P49" s="89">
        <v>120</v>
      </c>
      <c r="Q49" s="89">
        <v>150</v>
      </c>
      <c r="R49" s="187" t="s">
        <v>218</v>
      </c>
      <c r="S49" s="106" t="s">
        <v>9</v>
      </c>
      <c r="T49" s="107" t="s">
        <v>10</v>
      </c>
      <c r="U49" s="90"/>
      <c r="V49" s="91"/>
      <c r="W49" s="91"/>
      <c r="X49" s="91"/>
      <c r="Y49" s="91"/>
      <c r="Z49" s="92"/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93"/>
      <c r="AL49" s="91"/>
      <c r="AM49" s="409"/>
      <c r="AN49" s="83"/>
      <c r="AO49" s="84"/>
      <c r="AP49" s="145"/>
      <c r="AQ49" s="83"/>
      <c r="AR49" s="83"/>
      <c r="AS49" s="145"/>
      <c r="AT49" s="83"/>
      <c r="AU49" s="83"/>
      <c r="AV49" s="83"/>
      <c r="AW49" s="323"/>
      <c r="AX49" s="323"/>
      <c r="BK49" s="188">
        <f t="shared" si="6"/>
        <v>0</v>
      </c>
      <c r="CC49" s="367"/>
    </row>
    <row r="50" spans="2:81" ht="15" customHeight="1">
      <c r="B50" s="98"/>
      <c r="C50" s="108">
        <v>49</v>
      </c>
      <c r="D50" s="99" t="s">
        <v>446</v>
      </c>
      <c r="E50" s="100" t="s">
        <v>447</v>
      </c>
      <c r="F50" s="101" t="s">
        <v>14</v>
      </c>
      <c r="G50" s="102" t="s">
        <v>5</v>
      </c>
      <c r="H50" s="102" t="s">
        <v>13</v>
      </c>
      <c r="I50" s="103" t="s">
        <v>0</v>
      </c>
      <c r="J50" s="104"/>
      <c r="K50" s="83"/>
      <c r="L50" s="105">
        <v>45</v>
      </c>
      <c r="M50" s="89">
        <v>60</v>
      </c>
      <c r="N50" s="89">
        <v>75</v>
      </c>
      <c r="O50" s="89">
        <v>90</v>
      </c>
      <c r="P50" s="89">
        <v>120</v>
      </c>
      <c r="Q50" s="89">
        <v>150</v>
      </c>
      <c r="R50" s="187" t="s">
        <v>218</v>
      </c>
      <c r="S50" s="106" t="s">
        <v>9</v>
      </c>
      <c r="T50" s="107" t="s">
        <v>10</v>
      </c>
      <c r="U50" s="90"/>
      <c r="V50" s="91"/>
      <c r="W50" s="91"/>
      <c r="X50" s="91"/>
      <c r="Y50" s="91"/>
      <c r="Z50" s="92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3"/>
      <c r="AL50" s="91"/>
      <c r="AM50" s="409"/>
      <c r="AN50" s="83"/>
      <c r="AO50" s="84"/>
      <c r="AP50" s="145"/>
      <c r="AQ50" s="83"/>
      <c r="AR50" s="83"/>
      <c r="AS50" s="145"/>
      <c r="AT50" s="83"/>
      <c r="AU50" s="83"/>
      <c r="AV50" s="83"/>
      <c r="AW50" s="323"/>
      <c r="AX50" s="323"/>
      <c r="BK50" s="188">
        <f t="shared" si="6"/>
        <v>0</v>
      </c>
      <c r="CC50" s="367"/>
    </row>
    <row r="51" spans="2:81" ht="15" customHeight="1">
      <c r="B51" s="98"/>
      <c r="C51" s="108">
        <v>50</v>
      </c>
      <c r="D51" s="99" t="s">
        <v>446</v>
      </c>
      <c r="E51" s="100" t="s">
        <v>447</v>
      </c>
      <c r="F51" s="101" t="s">
        <v>14</v>
      </c>
      <c r="G51" s="102" t="s">
        <v>5</v>
      </c>
      <c r="H51" s="102" t="s">
        <v>13</v>
      </c>
      <c r="I51" s="103" t="s">
        <v>0</v>
      </c>
      <c r="J51" s="104"/>
      <c r="K51" s="83"/>
      <c r="L51" s="105">
        <v>45</v>
      </c>
      <c r="M51" s="89">
        <v>60</v>
      </c>
      <c r="N51" s="89">
        <v>75</v>
      </c>
      <c r="O51" s="89">
        <v>90</v>
      </c>
      <c r="P51" s="89">
        <v>120</v>
      </c>
      <c r="Q51" s="89">
        <v>150</v>
      </c>
      <c r="R51" s="187" t="s">
        <v>218</v>
      </c>
      <c r="S51" s="106" t="s">
        <v>9</v>
      </c>
      <c r="T51" s="107" t="s">
        <v>10</v>
      </c>
      <c r="U51" s="90"/>
      <c r="V51" s="91"/>
      <c r="W51" s="91"/>
      <c r="X51" s="91"/>
      <c r="Y51" s="91"/>
      <c r="Z51" s="92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3"/>
      <c r="AL51" s="91"/>
      <c r="AM51" s="409"/>
      <c r="AN51" s="83"/>
      <c r="AO51" s="84"/>
      <c r="AP51" s="145"/>
      <c r="AQ51" s="83"/>
      <c r="AR51" s="83"/>
      <c r="AS51" s="145"/>
      <c r="AT51" s="83"/>
      <c r="AU51" s="83"/>
      <c r="AV51" s="83"/>
      <c r="AW51" s="323"/>
      <c r="AX51" s="323"/>
      <c r="BK51" s="188">
        <f t="shared" si="6"/>
        <v>0</v>
      </c>
      <c r="CC51" s="367"/>
    </row>
    <row r="52" spans="2:81" ht="15" customHeight="1">
      <c r="B52" s="98"/>
      <c r="C52" s="108">
        <v>51</v>
      </c>
      <c r="D52" s="99" t="s">
        <v>446</v>
      </c>
      <c r="E52" s="100" t="s">
        <v>447</v>
      </c>
      <c r="F52" s="101" t="s">
        <v>14</v>
      </c>
      <c r="G52" s="102" t="s">
        <v>5</v>
      </c>
      <c r="H52" s="102" t="s">
        <v>13</v>
      </c>
      <c r="I52" s="103" t="s">
        <v>0</v>
      </c>
      <c r="J52" s="104"/>
      <c r="K52" s="83"/>
      <c r="L52" s="105">
        <v>45</v>
      </c>
      <c r="M52" s="89">
        <v>60</v>
      </c>
      <c r="N52" s="89">
        <v>75</v>
      </c>
      <c r="O52" s="89">
        <v>90</v>
      </c>
      <c r="P52" s="89">
        <v>120</v>
      </c>
      <c r="Q52" s="89">
        <v>150</v>
      </c>
      <c r="R52" s="187" t="s">
        <v>218</v>
      </c>
      <c r="S52" s="106" t="s">
        <v>9</v>
      </c>
      <c r="T52" s="107" t="s">
        <v>10</v>
      </c>
      <c r="U52" s="90"/>
      <c r="V52" s="91"/>
      <c r="W52" s="91"/>
      <c r="X52" s="91"/>
      <c r="Y52" s="91"/>
      <c r="Z52" s="92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3"/>
      <c r="AL52" s="91"/>
      <c r="AM52" s="409"/>
      <c r="AN52" s="83"/>
      <c r="AO52" s="84"/>
      <c r="AP52" s="145"/>
      <c r="AQ52" s="83"/>
      <c r="AR52" s="83"/>
      <c r="AS52" s="145"/>
      <c r="AT52" s="83"/>
      <c r="AU52" s="83"/>
      <c r="AV52" s="83"/>
      <c r="AW52" s="323"/>
      <c r="AX52" s="323"/>
      <c r="BK52" s="188">
        <f>AJ51</f>
        <v>0</v>
      </c>
      <c r="CC52" s="367"/>
    </row>
    <row r="53" spans="2:81" ht="15" customHeight="1">
      <c r="B53" s="98"/>
      <c r="C53" s="108">
        <v>52</v>
      </c>
      <c r="D53" s="99" t="s">
        <v>446</v>
      </c>
      <c r="E53" s="100" t="s">
        <v>447</v>
      </c>
      <c r="F53" s="101" t="s">
        <v>14</v>
      </c>
      <c r="G53" s="102" t="s">
        <v>5</v>
      </c>
      <c r="H53" s="102" t="s">
        <v>13</v>
      </c>
      <c r="I53" s="103" t="s">
        <v>0</v>
      </c>
      <c r="J53" s="104"/>
      <c r="K53" s="83"/>
      <c r="L53" s="105">
        <v>45</v>
      </c>
      <c r="M53" s="89">
        <v>60</v>
      </c>
      <c r="N53" s="89">
        <v>75</v>
      </c>
      <c r="O53" s="89">
        <v>90</v>
      </c>
      <c r="P53" s="89">
        <v>120</v>
      </c>
      <c r="Q53" s="89">
        <v>150</v>
      </c>
      <c r="R53" s="187" t="s">
        <v>218</v>
      </c>
      <c r="S53" s="106" t="s">
        <v>9</v>
      </c>
      <c r="T53" s="107" t="s">
        <v>10</v>
      </c>
      <c r="U53" s="90"/>
      <c r="V53" s="91"/>
      <c r="W53" s="91"/>
      <c r="X53" s="91"/>
      <c r="Y53" s="91"/>
      <c r="Z53" s="92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3"/>
      <c r="AL53" s="91"/>
      <c r="AM53" s="409"/>
      <c r="AN53" s="83"/>
      <c r="AO53" s="84"/>
      <c r="AP53" s="145"/>
      <c r="AQ53" s="83"/>
      <c r="AR53" s="83"/>
      <c r="AS53" s="145"/>
      <c r="AT53" s="83"/>
      <c r="AU53" s="83"/>
      <c r="AV53" s="83"/>
      <c r="AW53" s="323"/>
      <c r="AX53" s="323"/>
      <c r="BK53" s="188">
        <f t="shared" ref="BK53:BK61" si="7">AJ53</f>
        <v>0</v>
      </c>
      <c r="CC53" s="367"/>
    </row>
    <row r="54" spans="2:81" ht="15" customHeight="1">
      <c r="B54" s="98"/>
      <c r="C54" s="108">
        <v>53</v>
      </c>
      <c r="D54" s="99" t="s">
        <v>446</v>
      </c>
      <c r="E54" s="100" t="s">
        <v>447</v>
      </c>
      <c r="F54" s="101" t="s">
        <v>14</v>
      </c>
      <c r="G54" s="102" t="s">
        <v>5</v>
      </c>
      <c r="H54" s="102" t="s">
        <v>13</v>
      </c>
      <c r="I54" s="103" t="s">
        <v>0</v>
      </c>
      <c r="J54" s="104"/>
      <c r="K54" s="83"/>
      <c r="L54" s="105">
        <v>45</v>
      </c>
      <c r="M54" s="89">
        <v>60</v>
      </c>
      <c r="N54" s="89">
        <v>75</v>
      </c>
      <c r="O54" s="89">
        <v>90</v>
      </c>
      <c r="P54" s="89">
        <v>120</v>
      </c>
      <c r="Q54" s="89">
        <v>150</v>
      </c>
      <c r="R54" s="187" t="s">
        <v>218</v>
      </c>
      <c r="S54" s="106" t="s">
        <v>9</v>
      </c>
      <c r="T54" s="107" t="s">
        <v>10</v>
      </c>
      <c r="U54" s="90"/>
      <c r="V54" s="91"/>
      <c r="W54" s="91"/>
      <c r="X54" s="91"/>
      <c r="Y54" s="91"/>
      <c r="Z54" s="92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3"/>
      <c r="AL54" s="91"/>
      <c r="AM54" s="409"/>
      <c r="AN54" s="83"/>
      <c r="AO54" s="84"/>
      <c r="AP54" s="145"/>
      <c r="AQ54" s="83"/>
      <c r="AR54" s="83"/>
      <c r="AS54" s="145"/>
      <c r="AT54" s="83"/>
      <c r="AU54" s="83"/>
      <c r="AV54" s="83"/>
      <c r="AW54" s="323"/>
      <c r="AX54" s="323"/>
      <c r="BK54" s="188">
        <f t="shared" si="7"/>
        <v>0</v>
      </c>
      <c r="CC54" s="367"/>
    </row>
    <row r="55" spans="2:81" ht="15" customHeight="1">
      <c r="B55" s="98"/>
      <c r="C55" s="108">
        <v>54</v>
      </c>
      <c r="D55" s="99" t="s">
        <v>446</v>
      </c>
      <c r="E55" s="100" t="s">
        <v>447</v>
      </c>
      <c r="F55" s="101" t="s">
        <v>14</v>
      </c>
      <c r="G55" s="102" t="s">
        <v>5</v>
      </c>
      <c r="H55" s="102" t="s">
        <v>13</v>
      </c>
      <c r="I55" s="103" t="s">
        <v>0</v>
      </c>
      <c r="J55" s="104"/>
      <c r="K55" s="83"/>
      <c r="L55" s="105">
        <v>45</v>
      </c>
      <c r="M55" s="89">
        <v>60</v>
      </c>
      <c r="N55" s="89">
        <v>75</v>
      </c>
      <c r="O55" s="89">
        <v>90</v>
      </c>
      <c r="P55" s="89">
        <v>120</v>
      </c>
      <c r="Q55" s="89">
        <v>150</v>
      </c>
      <c r="R55" s="187" t="s">
        <v>218</v>
      </c>
      <c r="S55" s="106" t="s">
        <v>9</v>
      </c>
      <c r="T55" s="107" t="s">
        <v>10</v>
      </c>
      <c r="U55" s="90"/>
      <c r="V55" s="91"/>
      <c r="W55" s="91"/>
      <c r="X55" s="91"/>
      <c r="Y55" s="91"/>
      <c r="Z55" s="92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3"/>
      <c r="AL55" s="91"/>
      <c r="AM55" s="409"/>
      <c r="AN55" s="83"/>
      <c r="AO55" s="84"/>
      <c r="AP55" s="145"/>
      <c r="AQ55" s="83"/>
      <c r="AR55" s="83"/>
      <c r="AS55" s="145"/>
      <c r="AT55" s="83"/>
      <c r="AU55" s="83"/>
      <c r="AV55" s="83"/>
      <c r="AW55" s="323"/>
      <c r="AX55" s="323"/>
      <c r="BK55" s="188">
        <f t="shared" si="7"/>
        <v>0</v>
      </c>
      <c r="CC55" s="367"/>
    </row>
    <row r="56" spans="2:81" ht="15" customHeight="1">
      <c r="B56" s="98"/>
      <c r="C56" s="108">
        <v>55</v>
      </c>
      <c r="D56" s="99" t="s">
        <v>446</v>
      </c>
      <c r="E56" s="100" t="s">
        <v>447</v>
      </c>
      <c r="F56" s="101" t="s">
        <v>14</v>
      </c>
      <c r="G56" s="102" t="s">
        <v>5</v>
      </c>
      <c r="H56" s="102" t="s">
        <v>13</v>
      </c>
      <c r="I56" s="103" t="s">
        <v>0</v>
      </c>
      <c r="J56" s="104"/>
      <c r="K56" s="83"/>
      <c r="L56" s="105">
        <v>45</v>
      </c>
      <c r="M56" s="89">
        <v>60</v>
      </c>
      <c r="N56" s="89">
        <v>75</v>
      </c>
      <c r="O56" s="89">
        <v>90</v>
      </c>
      <c r="P56" s="89">
        <v>120</v>
      </c>
      <c r="Q56" s="89">
        <v>150</v>
      </c>
      <c r="R56" s="187" t="s">
        <v>218</v>
      </c>
      <c r="S56" s="106" t="s">
        <v>9</v>
      </c>
      <c r="T56" s="107" t="s">
        <v>10</v>
      </c>
      <c r="U56" s="90"/>
      <c r="V56" s="91"/>
      <c r="W56" s="91"/>
      <c r="X56" s="91"/>
      <c r="Y56" s="91"/>
      <c r="Z56" s="92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3"/>
      <c r="AL56" s="91"/>
      <c r="AM56" s="409"/>
      <c r="AN56" s="83"/>
      <c r="AO56" s="84"/>
      <c r="AP56" s="145"/>
      <c r="AQ56" s="83"/>
      <c r="AR56" s="83"/>
      <c r="AS56" s="145"/>
      <c r="AT56" s="83"/>
      <c r="AU56" s="83"/>
      <c r="AV56" s="83"/>
      <c r="AW56" s="323"/>
      <c r="AX56" s="323"/>
      <c r="BK56" s="188">
        <f t="shared" si="7"/>
        <v>0</v>
      </c>
      <c r="CC56" s="367"/>
    </row>
    <row r="57" spans="2:81" ht="15" customHeight="1">
      <c r="B57" s="98"/>
      <c r="C57" s="108">
        <v>56</v>
      </c>
      <c r="D57" s="99" t="s">
        <v>446</v>
      </c>
      <c r="E57" s="100" t="s">
        <v>447</v>
      </c>
      <c r="F57" s="101" t="s">
        <v>14</v>
      </c>
      <c r="G57" s="102" t="s">
        <v>5</v>
      </c>
      <c r="H57" s="102" t="s">
        <v>13</v>
      </c>
      <c r="I57" s="103" t="s">
        <v>0</v>
      </c>
      <c r="J57" s="104"/>
      <c r="K57" s="83"/>
      <c r="L57" s="105">
        <v>45</v>
      </c>
      <c r="M57" s="89">
        <v>60</v>
      </c>
      <c r="N57" s="89">
        <v>75</v>
      </c>
      <c r="O57" s="89">
        <v>90</v>
      </c>
      <c r="P57" s="89">
        <v>120</v>
      </c>
      <c r="Q57" s="89">
        <v>150</v>
      </c>
      <c r="R57" s="187" t="s">
        <v>218</v>
      </c>
      <c r="S57" s="106" t="s">
        <v>9</v>
      </c>
      <c r="T57" s="107" t="s">
        <v>10</v>
      </c>
      <c r="U57" s="90"/>
      <c r="V57" s="91"/>
      <c r="W57" s="91"/>
      <c r="X57" s="91"/>
      <c r="Y57" s="91"/>
      <c r="Z57" s="92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3"/>
      <c r="AL57" s="91"/>
      <c r="AM57" s="409"/>
      <c r="AN57" s="83"/>
      <c r="AO57" s="84"/>
      <c r="AP57" s="145"/>
      <c r="AQ57" s="83"/>
      <c r="AR57" s="83"/>
      <c r="AS57" s="145"/>
      <c r="AT57" s="83"/>
      <c r="AU57" s="83"/>
      <c r="AV57" s="83"/>
      <c r="AW57" s="323"/>
      <c r="AX57" s="323"/>
      <c r="BK57" s="188">
        <f t="shared" si="7"/>
        <v>0</v>
      </c>
      <c r="CC57" s="368"/>
    </row>
    <row r="58" spans="2:81" ht="15" customHeight="1">
      <c r="B58" s="98"/>
      <c r="C58" s="108">
        <v>57</v>
      </c>
      <c r="D58" s="99" t="s">
        <v>446</v>
      </c>
      <c r="E58" s="100" t="s">
        <v>447</v>
      </c>
      <c r="F58" s="101" t="s">
        <v>14</v>
      </c>
      <c r="G58" s="102" t="s">
        <v>5</v>
      </c>
      <c r="H58" s="102" t="s">
        <v>13</v>
      </c>
      <c r="I58" s="103" t="s">
        <v>0</v>
      </c>
      <c r="J58" s="104"/>
      <c r="K58" s="83"/>
      <c r="L58" s="105">
        <v>45</v>
      </c>
      <c r="M58" s="89">
        <v>60</v>
      </c>
      <c r="N58" s="89">
        <v>75</v>
      </c>
      <c r="O58" s="89">
        <v>90</v>
      </c>
      <c r="P58" s="89">
        <v>120</v>
      </c>
      <c r="Q58" s="89">
        <v>150</v>
      </c>
      <c r="R58" s="187" t="s">
        <v>218</v>
      </c>
      <c r="S58" s="106" t="s">
        <v>9</v>
      </c>
      <c r="T58" s="107" t="s">
        <v>10</v>
      </c>
      <c r="U58" s="90"/>
      <c r="V58" s="91"/>
      <c r="W58" s="91"/>
      <c r="X58" s="91"/>
      <c r="Y58" s="91"/>
      <c r="Z58" s="92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3"/>
      <c r="AL58" s="91"/>
      <c r="AM58" s="409"/>
      <c r="AN58" s="83"/>
      <c r="AO58" s="84"/>
      <c r="AP58" s="145"/>
      <c r="AQ58" s="83"/>
      <c r="AR58" s="83"/>
      <c r="AS58" s="145"/>
      <c r="AT58" s="83"/>
      <c r="AU58" s="83"/>
      <c r="AV58" s="83"/>
      <c r="AW58" s="323"/>
      <c r="AX58" s="323"/>
      <c r="BK58" s="188">
        <f t="shared" si="7"/>
        <v>0</v>
      </c>
      <c r="CC58" s="367"/>
    </row>
    <row r="59" spans="2:81" ht="15" customHeight="1">
      <c r="B59" s="98"/>
      <c r="C59" s="108">
        <v>58</v>
      </c>
      <c r="D59" s="99" t="s">
        <v>446</v>
      </c>
      <c r="E59" s="100" t="s">
        <v>447</v>
      </c>
      <c r="F59" s="101" t="s">
        <v>14</v>
      </c>
      <c r="G59" s="102" t="s">
        <v>5</v>
      </c>
      <c r="H59" s="102" t="s">
        <v>13</v>
      </c>
      <c r="I59" s="103" t="s">
        <v>0</v>
      </c>
      <c r="J59" s="104"/>
      <c r="K59" s="83"/>
      <c r="L59" s="105">
        <v>45</v>
      </c>
      <c r="M59" s="89">
        <v>60</v>
      </c>
      <c r="N59" s="89">
        <v>75</v>
      </c>
      <c r="O59" s="89">
        <v>90</v>
      </c>
      <c r="P59" s="89">
        <v>120</v>
      </c>
      <c r="Q59" s="89">
        <v>150</v>
      </c>
      <c r="R59" s="187" t="s">
        <v>218</v>
      </c>
      <c r="S59" s="106" t="s">
        <v>9</v>
      </c>
      <c r="T59" s="107" t="s">
        <v>10</v>
      </c>
      <c r="U59" s="90"/>
      <c r="V59" s="91"/>
      <c r="W59" s="91"/>
      <c r="X59" s="91"/>
      <c r="Y59" s="91"/>
      <c r="Z59" s="92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3"/>
      <c r="AL59" s="91"/>
      <c r="AM59" s="409"/>
      <c r="AN59" s="83"/>
      <c r="AO59" s="84"/>
      <c r="AP59" s="145"/>
      <c r="AQ59" s="83"/>
      <c r="AR59" s="83"/>
      <c r="AS59" s="145"/>
      <c r="AT59" s="83"/>
      <c r="AU59" s="83"/>
      <c r="AV59" s="83"/>
      <c r="AW59" s="323"/>
      <c r="AX59" s="323"/>
      <c r="BK59" s="188">
        <f t="shared" si="7"/>
        <v>0</v>
      </c>
      <c r="CC59" s="367"/>
    </row>
    <row r="60" spans="2:81" ht="15" customHeight="1">
      <c r="B60" s="98"/>
      <c r="C60" s="108">
        <v>59</v>
      </c>
      <c r="D60" s="99" t="s">
        <v>446</v>
      </c>
      <c r="E60" s="100" t="s">
        <v>447</v>
      </c>
      <c r="F60" s="101" t="s">
        <v>14</v>
      </c>
      <c r="G60" s="102" t="s">
        <v>5</v>
      </c>
      <c r="H60" s="102" t="s">
        <v>13</v>
      </c>
      <c r="I60" s="103" t="s">
        <v>0</v>
      </c>
      <c r="J60" s="104"/>
      <c r="K60" s="83"/>
      <c r="L60" s="105">
        <v>45</v>
      </c>
      <c r="M60" s="89">
        <v>60</v>
      </c>
      <c r="N60" s="89">
        <v>75</v>
      </c>
      <c r="O60" s="89">
        <v>90</v>
      </c>
      <c r="P60" s="89">
        <v>120</v>
      </c>
      <c r="Q60" s="89">
        <v>150</v>
      </c>
      <c r="R60" s="187" t="s">
        <v>218</v>
      </c>
      <c r="S60" s="106" t="s">
        <v>9</v>
      </c>
      <c r="T60" s="107" t="s">
        <v>10</v>
      </c>
      <c r="U60" s="90"/>
      <c r="V60" s="91"/>
      <c r="W60" s="91"/>
      <c r="X60" s="91"/>
      <c r="Y60" s="91"/>
      <c r="Z60" s="92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3"/>
      <c r="AL60" s="91"/>
      <c r="AM60" s="409"/>
      <c r="AN60" s="83"/>
      <c r="AO60" s="84"/>
      <c r="AP60" s="145"/>
      <c r="AQ60" s="83"/>
      <c r="AR60" s="83"/>
      <c r="AS60" s="145"/>
      <c r="AT60" s="83"/>
      <c r="AU60" s="83"/>
      <c r="AV60" s="83"/>
      <c r="AW60" s="323"/>
      <c r="AX60" s="323"/>
      <c r="BK60" s="188">
        <f t="shared" si="7"/>
        <v>0</v>
      </c>
      <c r="CC60" s="367"/>
    </row>
    <row r="61" spans="2:81" ht="15" customHeight="1">
      <c r="B61" s="98"/>
      <c r="C61" s="108">
        <v>60</v>
      </c>
      <c r="D61" s="99" t="s">
        <v>446</v>
      </c>
      <c r="E61" s="100" t="s">
        <v>447</v>
      </c>
      <c r="F61" s="101" t="s">
        <v>14</v>
      </c>
      <c r="G61" s="102" t="s">
        <v>5</v>
      </c>
      <c r="H61" s="102" t="s">
        <v>13</v>
      </c>
      <c r="I61" s="103" t="s">
        <v>0</v>
      </c>
      <c r="J61" s="104"/>
      <c r="K61" s="83"/>
      <c r="L61" s="105">
        <v>45</v>
      </c>
      <c r="M61" s="89">
        <v>60</v>
      </c>
      <c r="N61" s="89">
        <v>75</v>
      </c>
      <c r="O61" s="89">
        <v>90</v>
      </c>
      <c r="P61" s="89">
        <v>120</v>
      </c>
      <c r="Q61" s="89">
        <v>150</v>
      </c>
      <c r="R61" s="187" t="s">
        <v>218</v>
      </c>
      <c r="S61" s="106" t="s">
        <v>9</v>
      </c>
      <c r="T61" s="107" t="s">
        <v>10</v>
      </c>
      <c r="U61" s="90"/>
      <c r="V61" s="91"/>
      <c r="W61" s="91"/>
      <c r="X61" s="91"/>
      <c r="Y61" s="91"/>
      <c r="Z61" s="92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3"/>
      <c r="AL61" s="91"/>
      <c r="AM61" s="409"/>
      <c r="AN61" s="83"/>
      <c r="AO61" s="84"/>
      <c r="AP61" s="145"/>
      <c r="AQ61" s="83"/>
      <c r="AR61" s="83"/>
      <c r="AS61" s="145"/>
      <c r="AT61" s="83"/>
      <c r="AU61" s="83"/>
      <c r="AV61" s="83"/>
      <c r="AW61" s="323"/>
      <c r="AX61" s="323"/>
      <c r="BK61" s="188">
        <f t="shared" si="7"/>
        <v>0</v>
      </c>
      <c r="CC61" s="367"/>
    </row>
    <row r="62" spans="2:81" ht="15" customHeight="1">
      <c r="B62" s="98"/>
      <c r="C62" s="108">
        <v>61</v>
      </c>
      <c r="D62" s="99" t="s">
        <v>446</v>
      </c>
      <c r="E62" s="100" t="s">
        <v>447</v>
      </c>
      <c r="F62" s="101" t="s">
        <v>14</v>
      </c>
      <c r="G62" s="102" t="s">
        <v>5</v>
      </c>
      <c r="H62" s="102" t="s">
        <v>13</v>
      </c>
      <c r="I62" s="103" t="s">
        <v>0</v>
      </c>
      <c r="J62" s="104"/>
      <c r="K62" s="83"/>
      <c r="L62" s="105">
        <v>45</v>
      </c>
      <c r="M62" s="89">
        <v>60</v>
      </c>
      <c r="N62" s="89">
        <v>75</v>
      </c>
      <c r="O62" s="89">
        <v>90</v>
      </c>
      <c r="P62" s="89">
        <v>120</v>
      </c>
      <c r="Q62" s="89">
        <v>150</v>
      </c>
      <c r="R62" s="187" t="s">
        <v>218</v>
      </c>
      <c r="S62" s="106" t="s">
        <v>9</v>
      </c>
      <c r="T62" s="107" t="s">
        <v>10</v>
      </c>
      <c r="U62" s="90"/>
      <c r="V62" s="91"/>
      <c r="W62" s="91"/>
      <c r="X62" s="91"/>
      <c r="Y62" s="91"/>
      <c r="Z62" s="92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3"/>
      <c r="AL62" s="91"/>
      <c r="AM62" s="409"/>
      <c r="AN62" s="83"/>
      <c r="AO62" s="84"/>
      <c r="AP62" s="145"/>
      <c r="AQ62" s="83"/>
      <c r="AR62" s="83"/>
      <c r="AS62" s="145"/>
      <c r="AT62" s="83"/>
      <c r="AU62" s="83"/>
      <c r="AV62" s="83"/>
      <c r="AW62" s="323"/>
      <c r="AX62" s="323"/>
      <c r="BK62" s="188">
        <f>AJ61</f>
        <v>0</v>
      </c>
      <c r="CC62" s="367"/>
    </row>
    <row r="63" spans="2:81" ht="15" customHeight="1">
      <c r="B63" s="98"/>
      <c r="C63" s="108">
        <v>62</v>
      </c>
      <c r="D63" s="99" t="s">
        <v>446</v>
      </c>
      <c r="E63" s="100" t="s">
        <v>447</v>
      </c>
      <c r="F63" s="101" t="s">
        <v>14</v>
      </c>
      <c r="G63" s="102" t="s">
        <v>5</v>
      </c>
      <c r="H63" s="102" t="s">
        <v>13</v>
      </c>
      <c r="I63" s="103" t="s">
        <v>0</v>
      </c>
      <c r="J63" s="104"/>
      <c r="K63" s="83"/>
      <c r="L63" s="105">
        <v>45</v>
      </c>
      <c r="M63" s="89">
        <v>60</v>
      </c>
      <c r="N63" s="89">
        <v>75</v>
      </c>
      <c r="O63" s="89">
        <v>90</v>
      </c>
      <c r="P63" s="89">
        <v>120</v>
      </c>
      <c r="Q63" s="89">
        <v>150</v>
      </c>
      <c r="R63" s="187" t="s">
        <v>218</v>
      </c>
      <c r="S63" s="106" t="s">
        <v>9</v>
      </c>
      <c r="T63" s="107" t="s">
        <v>10</v>
      </c>
      <c r="U63" s="90"/>
      <c r="V63" s="91"/>
      <c r="W63" s="91"/>
      <c r="X63" s="91"/>
      <c r="Y63" s="91"/>
      <c r="Z63" s="92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3"/>
      <c r="AL63" s="91"/>
      <c r="AM63" s="409"/>
      <c r="AN63" s="83"/>
      <c r="AO63" s="84"/>
      <c r="AP63" s="145"/>
      <c r="AQ63" s="83"/>
      <c r="AR63" s="83"/>
      <c r="AS63" s="145"/>
      <c r="AT63" s="83"/>
      <c r="AU63" s="83"/>
      <c r="AV63" s="83"/>
      <c r="AW63" s="323"/>
      <c r="AX63" s="323"/>
      <c r="BK63" s="188">
        <f t="shared" ref="BK63:BK71" si="8">AJ63</f>
        <v>0</v>
      </c>
      <c r="CC63" s="367"/>
    </row>
    <row r="64" spans="2:81" ht="15" customHeight="1">
      <c r="B64" s="98"/>
      <c r="C64" s="108">
        <v>63</v>
      </c>
      <c r="D64" s="99" t="s">
        <v>446</v>
      </c>
      <c r="E64" s="100" t="s">
        <v>447</v>
      </c>
      <c r="F64" s="101" t="s">
        <v>14</v>
      </c>
      <c r="G64" s="102" t="s">
        <v>5</v>
      </c>
      <c r="H64" s="102" t="s">
        <v>13</v>
      </c>
      <c r="I64" s="103" t="s">
        <v>0</v>
      </c>
      <c r="J64" s="104"/>
      <c r="K64" s="83"/>
      <c r="L64" s="105">
        <v>45</v>
      </c>
      <c r="M64" s="89">
        <v>60</v>
      </c>
      <c r="N64" s="89">
        <v>75</v>
      </c>
      <c r="O64" s="89">
        <v>90</v>
      </c>
      <c r="P64" s="89">
        <v>120</v>
      </c>
      <c r="Q64" s="89">
        <v>150</v>
      </c>
      <c r="R64" s="187" t="s">
        <v>218</v>
      </c>
      <c r="S64" s="106" t="s">
        <v>9</v>
      </c>
      <c r="T64" s="107" t="s">
        <v>10</v>
      </c>
      <c r="U64" s="90"/>
      <c r="V64" s="91"/>
      <c r="W64" s="91"/>
      <c r="X64" s="91"/>
      <c r="Y64" s="91"/>
      <c r="Z64" s="92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3"/>
      <c r="AL64" s="91"/>
      <c r="AM64" s="409"/>
      <c r="AN64" s="83"/>
      <c r="AO64" s="84"/>
      <c r="AP64" s="145"/>
      <c r="AQ64" s="83"/>
      <c r="AR64" s="83"/>
      <c r="AS64" s="145"/>
      <c r="AT64" s="83"/>
      <c r="AU64" s="83"/>
      <c r="AV64" s="83"/>
      <c r="AW64" s="323"/>
      <c r="AX64" s="323"/>
      <c r="BK64" s="188">
        <f t="shared" si="8"/>
        <v>0</v>
      </c>
      <c r="CC64" s="367"/>
    </row>
    <row r="65" spans="2:81" ht="15" customHeight="1">
      <c r="B65" s="98"/>
      <c r="C65" s="108">
        <v>64</v>
      </c>
      <c r="D65" s="99" t="s">
        <v>446</v>
      </c>
      <c r="E65" s="100" t="s">
        <v>447</v>
      </c>
      <c r="F65" s="101" t="s">
        <v>14</v>
      </c>
      <c r="G65" s="102" t="s">
        <v>5</v>
      </c>
      <c r="H65" s="102" t="s">
        <v>13</v>
      </c>
      <c r="I65" s="103" t="s">
        <v>0</v>
      </c>
      <c r="J65" s="104"/>
      <c r="K65" s="83"/>
      <c r="L65" s="105">
        <v>45</v>
      </c>
      <c r="M65" s="89">
        <v>60</v>
      </c>
      <c r="N65" s="89">
        <v>75</v>
      </c>
      <c r="O65" s="89">
        <v>90</v>
      </c>
      <c r="P65" s="89">
        <v>120</v>
      </c>
      <c r="Q65" s="89">
        <v>150</v>
      </c>
      <c r="R65" s="187" t="s">
        <v>218</v>
      </c>
      <c r="S65" s="106" t="s">
        <v>9</v>
      </c>
      <c r="T65" s="107" t="s">
        <v>10</v>
      </c>
      <c r="U65" s="90"/>
      <c r="V65" s="91"/>
      <c r="W65" s="91"/>
      <c r="X65" s="91"/>
      <c r="Y65" s="91"/>
      <c r="Z65" s="92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3"/>
      <c r="AL65" s="91"/>
      <c r="AM65" s="409"/>
      <c r="AN65" s="83"/>
      <c r="AO65" s="84"/>
      <c r="AP65" s="145"/>
      <c r="AQ65" s="83"/>
      <c r="AR65" s="83"/>
      <c r="AS65" s="145"/>
      <c r="AT65" s="83"/>
      <c r="AU65" s="83"/>
      <c r="AV65" s="83"/>
      <c r="AW65" s="323"/>
      <c r="AX65" s="323"/>
      <c r="BK65" s="188">
        <f t="shared" si="8"/>
        <v>0</v>
      </c>
      <c r="CC65" s="367"/>
    </row>
    <row r="66" spans="2:81" ht="15" customHeight="1">
      <c r="B66" s="98"/>
      <c r="C66" s="108">
        <v>65</v>
      </c>
      <c r="D66" s="99" t="s">
        <v>446</v>
      </c>
      <c r="E66" s="100" t="s">
        <v>447</v>
      </c>
      <c r="F66" s="101" t="s">
        <v>14</v>
      </c>
      <c r="G66" s="102" t="s">
        <v>5</v>
      </c>
      <c r="H66" s="102" t="s">
        <v>13</v>
      </c>
      <c r="I66" s="103" t="s">
        <v>0</v>
      </c>
      <c r="J66" s="104"/>
      <c r="K66" s="83"/>
      <c r="L66" s="105">
        <v>45</v>
      </c>
      <c r="M66" s="89">
        <v>60</v>
      </c>
      <c r="N66" s="89">
        <v>75</v>
      </c>
      <c r="O66" s="89">
        <v>90</v>
      </c>
      <c r="P66" s="89">
        <v>120</v>
      </c>
      <c r="Q66" s="89">
        <v>150</v>
      </c>
      <c r="R66" s="187" t="s">
        <v>218</v>
      </c>
      <c r="S66" s="106" t="s">
        <v>9</v>
      </c>
      <c r="T66" s="107" t="s">
        <v>10</v>
      </c>
      <c r="U66" s="90"/>
      <c r="V66" s="91"/>
      <c r="W66" s="91"/>
      <c r="X66" s="91"/>
      <c r="Y66" s="91"/>
      <c r="Z66" s="92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3"/>
      <c r="AL66" s="91"/>
      <c r="AM66" s="409"/>
      <c r="AN66" s="83"/>
      <c r="AO66" s="84"/>
      <c r="AP66" s="145"/>
      <c r="AQ66" s="83"/>
      <c r="AR66" s="83"/>
      <c r="AS66" s="145"/>
      <c r="AT66" s="83"/>
      <c r="AU66" s="83"/>
      <c r="AV66" s="83"/>
      <c r="AW66" s="323"/>
      <c r="AX66" s="323"/>
      <c r="BK66" s="188">
        <f t="shared" si="8"/>
        <v>0</v>
      </c>
      <c r="CC66" s="367"/>
    </row>
    <row r="67" spans="2:81" ht="15" customHeight="1">
      <c r="B67" s="98"/>
      <c r="C67" s="108">
        <v>66</v>
      </c>
      <c r="D67" s="99" t="s">
        <v>446</v>
      </c>
      <c r="E67" s="100" t="s">
        <v>447</v>
      </c>
      <c r="F67" s="101" t="s">
        <v>14</v>
      </c>
      <c r="G67" s="102" t="s">
        <v>5</v>
      </c>
      <c r="H67" s="102" t="s">
        <v>13</v>
      </c>
      <c r="I67" s="103" t="s">
        <v>0</v>
      </c>
      <c r="J67" s="104"/>
      <c r="K67" s="83"/>
      <c r="L67" s="105">
        <v>45</v>
      </c>
      <c r="M67" s="89">
        <v>60</v>
      </c>
      <c r="N67" s="89">
        <v>75</v>
      </c>
      <c r="O67" s="89">
        <v>90</v>
      </c>
      <c r="P67" s="89">
        <v>120</v>
      </c>
      <c r="Q67" s="89">
        <v>150</v>
      </c>
      <c r="R67" s="187" t="s">
        <v>218</v>
      </c>
      <c r="S67" s="106" t="s">
        <v>9</v>
      </c>
      <c r="T67" s="107" t="s">
        <v>10</v>
      </c>
      <c r="U67" s="90"/>
      <c r="V67" s="91"/>
      <c r="W67" s="91"/>
      <c r="X67" s="91"/>
      <c r="Y67" s="91"/>
      <c r="Z67" s="92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3"/>
      <c r="AL67" s="91"/>
      <c r="AM67" s="409"/>
      <c r="AN67" s="83"/>
      <c r="AO67" s="84"/>
      <c r="AP67" s="145"/>
      <c r="AQ67" s="83"/>
      <c r="AR67" s="83"/>
      <c r="AS67" s="145"/>
      <c r="AT67" s="83"/>
      <c r="AU67" s="83"/>
      <c r="AV67" s="83"/>
      <c r="AW67" s="323"/>
      <c r="AX67" s="323"/>
      <c r="BK67" s="188">
        <f t="shared" si="8"/>
        <v>0</v>
      </c>
      <c r="CC67" s="367"/>
    </row>
    <row r="68" spans="2:81" ht="15" customHeight="1">
      <c r="B68" s="98"/>
      <c r="C68" s="108">
        <v>67</v>
      </c>
      <c r="D68" s="99" t="s">
        <v>446</v>
      </c>
      <c r="E68" s="100" t="s">
        <v>447</v>
      </c>
      <c r="F68" s="101" t="s">
        <v>14</v>
      </c>
      <c r="G68" s="102" t="s">
        <v>5</v>
      </c>
      <c r="H68" s="102" t="s">
        <v>13</v>
      </c>
      <c r="I68" s="103" t="s">
        <v>0</v>
      </c>
      <c r="J68" s="104"/>
      <c r="K68" s="83"/>
      <c r="L68" s="105">
        <v>45</v>
      </c>
      <c r="M68" s="89">
        <v>60</v>
      </c>
      <c r="N68" s="89">
        <v>75</v>
      </c>
      <c r="O68" s="89">
        <v>90</v>
      </c>
      <c r="P68" s="89">
        <v>120</v>
      </c>
      <c r="Q68" s="89">
        <v>150</v>
      </c>
      <c r="R68" s="187" t="s">
        <v>218</v>
      </c>
      <c r="S68" s="106" t="s">
        <v>9</v>
      </c>
      <c r="T68" s="107" t="s">
        <v>10</v>
      </c>
      <c r="U68" s="90"/>
      <c r="V68" s="91"/>
      <c r="W68" s="91"/>
      <c r="X68" s="91"/>
      <c r="Y68" s="91"/>
      <c r="Z68" s="92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3"/>
      <c r="AL68" s="91"/>
      <c r="AM68" s="409"/>
      <c r="AN68" s="83"/>
      <c r="AO68" s="84"/>
      <c r="AP68" s="145"/>
      <c r="AQ68" s="83"/>
      <c r="AR68" s="83"/>
      <c r="AS68" s="145"/>
      <c r="AT68" s="83"/>
      <c r="AU68" s="83"/>
      <c r="AV68" s="83"/>
      <c r="AW68" s="323"/>
      <c r="AX68" s="323"/>
      <c r="BK68" s="188">
        <f t="shared" si="8"/>
        <v>0</v>
      </c>
      <c r="CC68" s="367"/>
    </row>
    <row r="69" spans="2:81" ht="15" customHeight="1">
      <c r="B69" s="98"/>
      <c r="C69" s="108">
        <v>68</v>
      </c>
      <c r="D69" s="99" t="s">
        <v>446</v>
      </c>
      <c r="E69" s="100" t="s">
        <v>447</v>
      </c>
      <c r="F69" s="101" t="s">
        <v>14</v>
      </c>
      <c r="G69" s="102" t="s">
        <v>5</v>
      </c>
      <c r="H69" s="102" t="s">
        <v>13</v>
      </c>
      <c r="I69" s="103" t="s">
        <v>0</v>
      </c>
      <c r="J69" s="104"/>
      <c r="K69" s="83"/>
      <c r="L69" s="105">
        <v>45</v>
      </c>
      <c r="M69" s="89">
        <v>60</v>
      </c>
      <c r="N69" s="89">
        <v>75</v>
      </c>
      <c r="O69" s="89">
        <v>90</v>
      </c>
      <c r="P69" s="89">
        <v>120</v>
      </c>
      <c r="Q69" s="89">
        <v>150</v>
      </c>
      <c r="R69" s="187" t="s">
        <v>218</v>
      </c>
      <c r="S69" s="106" t="s">
        <v>9</v>
      </c>
      <c r="T69" s="107" t="s">
        <v>10</v>
      </c>
      <c r="U69" s="90"/>
      <c r="V69" s="91"/>
      <c r="W69" s="91"/>
      <c r="X69" s="91"/>
      <c r="Y69" s="91"/>
      <c r="Z69" s="92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3"/>
      <c r="AL69" s="91"/>
      <c r="AM69" s="409"/>
      <c r="AN69" s="83"/>
      <c r="AO69" s="84"/>
      <c r="AP69" s="145"/>
      <c r="AQ69" s="83"/>
      <c r="AR69" s="83"/>
      <c r="AS69" s="145"/>
      <c r="AT69" s="83"/>
      <c r="AU69" s="83"/>
      <c r="AV69" s="83"/>
      <c r="AW69" s="323"/>
      <c r="AX69" s="323"/>
      <c r="BK69" s="188">
        <f t="shared" si="8"/>
        <v>0</v>
      </c>
      <c r="CC69" s="367"/>
    </row>
    <row r="70" spans="2:81" ht="15" customHeight="1">
      <c r="B70" s="98"/>
      <c r="C70" s="108">
        <v>69</v>
      </c>
      <c r="D70" s="99" t="s">
        <v>446</v>
      </c>
      <c r="E70" s="100" t="s">
        <v>447</v>
      </c>
      <c r="F70" s="101" t="s">
        <v>14</v>
      </c>
      <c r="G70" s="102" t="s">
        <v>5</v>
      </c>
      <c r="H70" s="102" t="s">
        <v>13</v>
      </c>
      <c r="I70" s="103" t="s">
        <v>0</v>
      </c>
      <c r="J70" s="104"/>
      <c r="K70" s="83"/>
      <c r="L70" s="105">
        <v>45</v>
      </c>
      <c r="M70" s="89">
        <v>60</v>
      </c>
      <c r="N70" s="89">
        <v>75</v>
      </c>
      <c r="O70" s="89">
        <v>90</v>
      </c>
      <c r="P70" s="89">
        <v>120</v>
      </c>
      <c r="Q70" s="89">
        <v>150</v>
      </c>
      <c r="R70" s="187" t="s">
        <v>218</v>
      </c>
      <c r="S70" s="106" t="s">
        <v>9</v>
      </c>
      <c r="T70" s="107" t="s">
        <v>10</v>
      </c>
      <c r="U70" s="90"/>
      <c r="V70" s="91"/>
      <c r="W70" s="91"/>
      <c r="X70" s="91"/>
      <c r="Y70" s="91"/>
      <c r="Z70" s="92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3"/>
      <c r="AL70" s="91"/>
      <c r="AM70" s="409"/>
      <c r="AN70" s="83"/>
      <c r="AO70" s="84"/>
      <c r="AP70" s="145"/>
      <c r="AQ70" s="83"/>
      <c r="AR70" s="83"/>
      <c r="AS70" s="145"/>
      <c r="AT70" s="83"/>
      <c r="AU70" s="83"/>
      <c r="AV70" s="83"/>
      <c r="AW70" s="323"/>
      <c r="AX70" s="323"/>
      <c r="BK70" s="188">
        <f t="shared" si="8"/>
        <v>0</v>
      </c>
      <c r="CC70" s="367"/>
    </row>
    <row r="71" spans="2:81" ht="15" customHeight="1">
      <c r="B71" s="98"/>
      <c r="C71" s="108">
        <v>70</v>
      </c>
      <c r="D71" s="99" t="s">
        <v>446</v>
      </c>
      <c r="E71" s="100" t="s">
        <v>447</v>
      </c>
      <c r="F71" s="101" t="s">
        <v>14</v>
      </c>
      <c r="G71" s="102" t="s">
        <v>5</v>
      </c>
      <c r="H71" s="102" t="s">
        <v>13</v>
      </c>
      <c r="I71" s="103" t="s">
        <v>0</v>
      </c>
      <c r="J71" s="104"/>
      <c r="K71" s="83"/>
      <c r="L71" s="105">
        <v>45</v>
      </c>
      <c r="M71" s="89">
        <v>60</v>
      </c>
      <c r="N71" s="89">
        <v>75</v>
      </c>
      <c r="O71" s="89">
        <v>90</v>
      </c>
      <c r="P71" s="89">
        <v>120</v>
      </c>
      <c r="Q71" s="89">
        <v>150</v>
      </c>
      <c r="R71" s="187" t="s">
        <v>218</v>
      </c>
      <c r="S71" s="106" t="s">
        <v>9</v>
      </c>
      <c r="T71" s="107" t="s">
        <v>10</v>
      </c>
      <c r="U71" s="90"/>
      <c r="V71" s="91"/>
      <c r="W71" s="91"/>
      <c r="X71" s="91"/>
      <c r="Y71" s="91"/>
      <c r="Z71" s="92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3"/>
      <c r="AL71" s="91"/>
      <c r="AM71" s="409"/>
      <c r="AN71" s="83"/>
      <c r="AO71" s="84"/>
      <c r="AP71" s="145"/>
      <c r="AQ71" s="83"/>
      <c r="AR71" s="83"/>
      <c r="AS71" s="145"/>
      <c r="AT71" s="83"/>
      <c r="AU71" s="83"/>
      <c r="AV71" s="83"/>
      <c r="AW71" s="323"/>
      <c r="AX71" s="323"/>
      <c r="BK71" s="188">
        <f t="shared" si="8"/>
        <v>0</v>
      </c>
      <c r="CC71" s="367"/>
    </row>
    <row r="72" spans="2:81" ht="15" customHeight="1">
      <c r="B72" s="98"/>
      <c r="C72" s="108">
        <v>71</v>
      </c>
      <c r="D72" s="99" t="s">
        <v>446</v>
      </c>
      <c r="E72" s="100" t="s">
        <v>447</v>
      </c>
      <c r="F72" s="101" t="s">
        <v>14</v>
      </c>
      <c r="G72" s="102" t="s">
        <v>5</v>
      </c>
      <c r="H72" s="102" t="s">
        <v>13</v>
      </c>
      <c r="I72" s="103" t="s">
        <v>0</v>
      </c>
      <c r="J72" s="104"/>
      <c r="K72" s="83"/>
      <c r="L72" s="105">
        <v>45</v>
      </c>
      <c r="M72" s="89">
        <v>60</v>
      </c>
      <c r="N72" s="89">
        <v>75</v>
      </c>
      <c r="O72" s="89">
        <v>90</v>
      </c>
      <c r="P72" s="89">
        <v>120</v>
      </c>
      <c r="Q72" s="89">
        <v>150</v>
      </c>
      <c r="R72" s="187" t="s">
        <v>218</v>
      </c>
      <c r="S72" s="106" t="s">
        <v>9</v>
      </c>
      <c r="T72" s="107" t="s">
        <v>10</v>
      </c>
      <c r="U72" s="90"/>
      <c r="V72" s="91"/>
      <c r="W72" s="91"/>
      <c r="X72" s="91"/>
      <c r="Y72" s="91"/>
      <c r="Z72" s="92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3"/>
      <c r="AL72" s="91"/>
      <c r="AM72" s="409"/>
      <c r="AN72" s="83"/>
      <c r="AO72" s="84"/>
      <c r="AP72" s="145"/>
      <c r="AQ72" s="83"/>
      <c r="AR72" s="83"/>
      <c r="AS72" s="145"/>
      <c r="AT72" s="83"/>
      <c r="AU72" s="83"/>
      <c r="AV72" s="83"/>
      <c r="AW72" s="323"/>
      <c r="AX72" s="323"/>
      <c r="BK72" s="188">
        <f>AJ71</f>
        <v>0</v>
      </c>
      <c r="CC72" s="367"/>
    </row>
    <row r="73" spans="2:81" ht="15" customHeight="1">
      <c r="B73" s="98"/>
      <c r="C73" s="108">
        <v>72</v>
      </c>
      <c r="D73" s="99" t="s">
        <v>446</v>
      </c>
      <c r="E73" s="100" t="s">
        <v>447</v>
      </c>
      <c r="F73" s="101" t="s">
        <v>14</v>
      </c>
      <c r="G73" s="102" t="s">
        <v>5</v>
      </c>
      <c r="H73" s="102" t="s">
        <v>13</v>
      </c>
      <c r="I73" s="103" t="s">
        <v>0</v>
      </c>
      <c r="J73" s="104"/>
      <c r="K73" s="83"/>
      <c r="L73" s="105">
        <v>45</v>
      </c>
      <c r="M73" s="89">
        <v>60</v>
      </c>
      <c r="N73" s="89">
        <v>75</v>
      </c>
      <c r="O73" s="89">
        <v>90</v>
      </c>
      <c r="P73" s="89">
        <v>120</v>
      </c>
      <c r="Q73" s="89">
        <v>150</v>
      </c>
      <c r="R73" s="187" t="s">
        <v>218</v>
      </c>
      <c r="S73" s="106" t="s">
        <v>9</v>
      </c>
      <c r="T73" s="107" t="s">
        <v>10</v>
      </c>
      <c r="U73" s="90"/>
      <c r="V73" s="91"/>
      <c r="W73" s="91"/>
      <c r="X73" s="91"/>
      <c r="Y73" s="91"/>
      <c r="Z73" s="92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3"/>
      <c r="AL73" s="91"/>
      <c r="AM73" s="409"/>
      <c r="AN73" s="83"/>
      <c r="AO73" s="84"/>
      <c r="AP73" s="145"/>
      <c r="AQ73" s="83"/>
      <c r="AR73" s="83"/>
      <c r="AS73" s="145"/>
      <c r="AT73" s="83"/>
      <c r="AU73" s="83"/>
      <c r="AV73" s="83"/>
      <c r="AW73" s="323"/>
      <c r="AX73" s="323"/>
      <c r="BK73" s="188">
        <f t="shared" ref="BK73:BK76" si="9">AJ73</f>
        <v>0</v>
      </c>
      <c r="CC73" s="367"/>
    </row>
    <row r="74" spans="2:81" ht="15" customHeight="1">
      <c r="B74" s="98"/>
      <c r="C74" s="108">
        <v>73</v>
      </c>
      <c r="D74" s="99" t="s">
        <v>446</v>
      </c>
      <c r="E74" s="100" t="s">
        <v>447</v>
      </c>
      <c r="F74" s="101" t="s">
        <v>14</v>
      </c>
      <c r="G74" s="102" t="s">
        <v>5</v>
      </c>
      <c r="H74" s="102" t="s">
        <v>13</v>
      </c>
      <c r="I74" s="103" t="s">
        <v>0</v>
      </c>
      <c r="J74" s="104"/>
      <c r="K74" s="83"/>
      <c r="L74" s="105">
        <v>45</v>
      </c>
      <c r="M74" s="89">
        <v>60</v>
      </c>
      <c r="N74" s="89">
        <v>75</v>
      </c>
      <c r="O74" s="89">
        <v>90</v>
      </c>
      <c r="P74" s="89">
        <v>120</v>
      </c>
      <c r="Q74" s="89">
        <v>150</v>
      </c>
      <c r="R74" s="187" t="s">
        <v>218</v>
      </c>
      <c r="S74" s="106" t="s">
        <v>9</v>
      </c>
      <c r="T74" s="107" t="s">
        <v>10</v>
      </c>
      <c r="U74" s="90"/>
      <c r="V74" s="91"/>
      <c r="W74" s="91"/>
      <c r="X74" s="91"/>
      <c r="Y74" s="91"/>
      <c r="Z74" s="92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3"/>
      <c r="AL74" s="91"/>
      <c r="AM74" s="409"/>
      <c r="AN74" s="83"/>
      <c r="AO74" s="84"/>
      <c r="AP74" s="145"/>
      <c r="AQ74" s="83"/>
      <c r="AR74" s="83"/>
      <c r="AS74" s="145"/>
      <c r="AT74" s="83"/>
      <c r="AU74" s="83"/>
      <c r="AV74" s="83"/>
      <c r="AW74" s="323"/>
      <c r="AX74" s="323"/>
      <c r="BK74" s="188">
        <f t="shared" si="9"/>
        <v>0</v>
      </c>
      <c r="CC74" s="367"/>
    </row>
    <row r="75" spans="2:81" ht="15" customHeight="1">
      <c r="B75" s="98"/>
      <c r="C75" s="108">
        <v>74</v>
      </c>
      <c r="D75" s="99" t="s">
        <v>446</v>
      </c>
      <c r="E75" s="100" t="s">
        <v>447</v>
      </c>
      <c r="F75" s="101" t="s">
        <v>14</v>
      </c>
      <c r="G75" s="102" t="s">
        <v>5</v>
      </c>
      <c r="H75" s="102" t="s">
        <v>13</v>
      </c>
      <c r="I75" s="103" t="s">
        <v>0</v>
      </c>
      <c r="J75" s="104"/>
      <c r="K75" s="83"/>
      <c r="L75" s="105">
        <v>45</v>
      </c>
      <c r="M75" s="89">
        <v>60</v>
      </c>
      <c r="N75" s="89">
        <v>75</v>
      </c>
      <c r="O75" s="89">
        <v>90</v>
      </c>
      <c r="P75" s="89">
        <v>120</v>
      </c>
      <c r="Q75" s="89">
        <v>150</v>
      </c>
      <c r="R75" s="187" t="s">
        <v>218</v>
      </c>
      <c r="S75" s="106" t="s">
        <v>9</v>
      </c>
      <c r="T75" s="107" t="s">
        <v>10</v>
      </c>
      <c r="U75" s="90"/>
      <c r="V75" s="91"/>
      <c r="W75" s="91"/>
      <c r="X75" s="91"/>
      <c r="Y75" s="91"/>
      <c r="Z75" s="92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3"/>
      <c r="AL75" s="91"/>
      <c r="AM75" s="409"/>
      <c r="AN75" s="83"/>
      <c r="AO75" s="84"/>
      <c r="AP75" s="145"/>
      <c r="AQ75" s="83"/>
      <c r="AR75" s="83"/>
      <c r="AS75" s="145"/>
      <c r="AT75" s="83"/>
      <c r="AU75" s="83"/>
      <c r="AV75" s="83"/>
      <c r="AW75" s="323"/>
      <c r="AX75" s="323"/>
      <c r="BK75" s="188">
        <f t="shared" si="9"/>
        <v>0</v>
      </c>
      <c r="CC75" s="367"/>
    </row>
    <row r="76" spans="2:81" ht="15" customHeight="1">
      <c r="B76" s="98"/>
      <c r="C76" s="108">
        <v>75</v>
      </c>
      <c r="D76" s="99" t="s">
        <v>446</v>
      </c>
      <c r="E76" s="100" t="s">
        <v>447</v>
      </c>
      <c r="F76" s="101" t="s">
        <v>14</v>
      </c>
      <c r="G76" s="102" t="s">
        <v>5</v>
      </c>
      <c r="H76" s="102" t="s">
        <v>13</v>
      </c>
      <c r="I76" s="103" t="s">
        <v>0</v>
      </c>
      <c r="J76" s="104"/>
      <c r="K76" s="83"/>
      <c r="L76" s="105">
        <v>45</v>
      </c>
      <c r="M76" s="89">
        <v>60</v>
      </c>
      <c r="N76" s="89">
        <v>75</v>
      </c>
      <c r="O76" s="89">
        <v>90</v>
      </c>
      <c r="P76" s="89">
        <v>120</v>
      </c>
      <c r="Q76" s="89">
        <v>150</v>
      </c>
      <c r="R76" s="187" t="s">
        <v>218</v>
      </c>
      <c r="S76" s="106" t="s">
        <v>9</v>
      </c>
      <c r="T76" s="107" t="s">
        <v>10</v>
      </c>
      <c r="U76" s="90"/>
      <c r="V76" s="91"/>
      <c r="W76" s="91"/>
      <c r="X76" s="91"/>
      <c r="Y76" s="91"/>
      <c r="Z76" s="92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3"/>
      <c r="AL76" s="91"/>
      <c r="AM76" s="409"/>
      <c r="AN76" s="83"/>
      <c r="AO76" s="84"/>
      <c r="AP76" s="145"/>
      <c r="AQ76" s="83"/>
      <c r="AR76" s="83"/>
      <c r="AS76" s="145"/>
      <c r="AT76" s="83"/>
      <c r="AU76" s="83"/>
      <c r="AV76" s="83"/>
      <c r="AW76" s="323"/>
      <c r="AX76" s="323"/>
      <c r="BK76" s="188">
        <f t="shared" si="9"/>
        <v>0</v>
      </c>
      <c r="CC76" s="367"/>
    </row>
    <row r="77" spans="2:81" ht="15" customHeight="1">
      <c r="B77" s="98"/>
      <c r="C77" s="108">
        <v>76</v>
      </c>
      <c r="D77" s="99" t="s">
        <v>446</v>
      </c>
      <c r="E77" s="100" t="s">
        <v>447</v>
      </c>
      <c r="F77" s="101" t="s">
        <v>14</v>
      </c>
      <c r="G77" s="102" t="s">
        <v>5</v>
      </c>
      <c r="H77" s="102" t="s">
        <v>13</v>
      </c>
      <c r="I77" s="103" t="s">
        <v>0</v>
      </c>
      <c r="J77" s="104"/>
      <c r="K77" s="83"/>
      <c r="L77" s="105">
        <v>45</v>
      </c>
      <c r="M77" s="89">
        <v>60</v>
      </c>
      <c r="N77" s="89">
        <v>75</v>
      </c>
      <c r="O77" s="89">
        <v>90</v>
      </c>
      <c r="P77" s="89">
        <v>120</v>
      </c>
      <c r="Q77" s="89">
        <v>150</v>
      </c>
      <c r="R77" s="187" t="s">
        <v>218</v>
      </c>
      <c r="S77" s="106" t="s">
        <v>9</v>
      </c>
      <c r="T77" s="107" t="s">
        <v>10</v>
      </c>
      <c r="U77" s="90"/>
      <c r="V77" s="91"/>
      <c r="W77" s="91"/>
      <c r="X77" s="91"/>
      <c r="Y77" s="91"/>
      <c r="Z77" s="92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3"/>
      <c r="AL77" s="91"/>
      <c r="AM77" s="409"/>
      <c r="AN77" s="83"/>
      <c r="AO77" s="84"/>
      <c r="AP77" s="145"/>
      <c r="AQ77" s="83"/>
      <c r="AR77" s="83"/>
      <c r="AS77" s="145"/>
      <c r="AT77" s="83"/>
      <c r="AU77" s="83"/>
      <c r="AV77" s="83"/>
      <c r="AW77" s="323"/>
      <c r="AX77" s="323"/>
      <c r="BK77" s="188"/>
      <c r="CC77" s="367"/>
    </row>
    <row r="78" spans="2:81" ht="15" customHeight="1">
      <c r="B78" s="98"/>
      <c r="C78" s="108">
        <v>77</v>
      </c>
      <c r="D78" s="99" t="s">
        <v>446</v>
      </c>
      <c r="E78" s="100" t="s">
        <v>447</v>
      </c>
      <c r="F78" s="101" t="s">
        <v>14</v>
      </c>
      <c r="G78" s="102" t="s">
        <v>5</v>
      </c>
      <c r="H78" s="102" t="s">
        <v>13</v>
      </c>
      <c r="I78" s="103" t="s">
        <v>0</v>
      </c>
      <c r="J78" s="104"/>
      <c r="K78" s="83"/>
      <c r="L78" s="105">
        <v>45</v>
      </c>
      <c r="M78" s="89">
        <v>60</v>
      </c>
      <c r="N78" s="89">
        <v>75</v>
      </c>
      <c r="O78" s="89">
        <v>90</v>
      </c>
      <c r="P78" s="89">
        <v>120</v>
      </c>
      <c r="Q78" s="89">
        <v>150</v>
      </c>
      <c r="R78" s="187" t="s">
        <v>218</v>
      </c>
      <c r="S78" s="106" t="s">
        <v>9</v>
      </c>
      <c r="T78" s="107" t="s">
        <v>10</v>
      </c>
      <c r="U78" s="90"/>
      <c r="V78" s="91"/>
      <c r="W78" s="91"/>
      <c r="X78" s="91"/>
      <c r="Y78" s="91"/>
      <c r="Z78" s="92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3"/>
      <c r="AL78" s="91"/>
      <c r="AM78" s="409"/>
      <c r="AN78" s="83"/>
      <c r="AO78" s="84"/>
      <c r="AP78" s="145"/>
      <c r="AQ78" s="83"/>
      <c r="AR78" s="83"/>
      <c r="AS78" s="145"/>
      <c r="AT78" s="83"/>
      <c r="AU78" s="83"/>
      <c r="AV78" s="83"/>
      <c r="AW78" s="323"/>
      <c r="AX78" s="323"/>
      <c r="BK78" s="188"/>
      <c r="CC78" s="367"/>
    </row>
    <row r="79" spans="2:81" ht="15" customHeight="1">
      <c r="B79" s="98"/>
      <c r="C79" s="108">
        <v>78</v>
      </c>
      <c r="D79" s="99" t="s">
        <v>446</v>
      </c>
      <c r="E79" s="100" t="s">
        <v>447</v>
      </c>
      <c r="F79" s="101" t="s">
        <v>14</v>
      </c>
      <c r="G79" s="102" t="s">
        <v>5</v>
      </c>
      <c r="H79" s="102" t="s">
        <v>13</v>
      </c>
      <c r="I79" s="103" t="s">
        <v>0</v>
      </c>
      <c r="J79" s="104"/>
      <c r="K79" s="83"/>
      <c r="L79" s="105">
        <v>45</v>
      </c>
      <c r="M79" s="89">
        <v>60</v>
      </c>
      <c r="N79" s="89">
        <v>75</v>
      </c>
      <c r="O79" s="89">
        <v>90</v>
      </c>
      <c r="P79" s="89">
        <v>120</v>
      </c>
      <c r="Q79" s="89">
        <v>150</v>
      </c>
      <c r="R79" s="187" t="s">
        <v>218</v>
      </c>
      <c r="S79" s="106" t="s">
        <v>9</v>
      </c>
      <c r="T79" s="107" t="s">
        <v>10</v>
      </c>
      <c r="U79" s="90"/>
      <c r="V79" s="91"/>
      <c r="W79" s="91"/>
      <c r="X79" s="91"/>
      <c r="Y79" s="91"/>
      <c r="Z79" s="92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3"/>
      <c r="AL79" s="91"/>
      <c r="AM79" s="409"/>
      <c r="AN79" s="83"/>
      <c r="AO79" s="84"/>
      <c r="AP79" s="145"/>
      <c r="AQ79" s="83"/>
      <c r="AR79" s="83"/>
      <c r="AS79" s="145"/>
      <c r="AT79" s="83"/>
      <c r="AU79" s="83"/>
      <c r="AV79" s="83"/>
      <c r="AW79" s="323"/>
      <c r="AX79" s="323"/>
      <c r="BK79" s="188"/>
      <c r="CC79" s="367"/>
    </row>
    <row r="80" spans="2:81" ht="15" customHeight="1">
      <c r="B80" s="98"/>
      <c r="C80" s="108">
        <v>79</v>
      </c>
      <c r="D80" s="99" t="s">
        <v>446</v>
      </c>
      <c r="E80" s="100" t="s">
        <v>447</v>
      </c>
      <c r="F80" s="101" t="s">
        <v>14</v>
      </c>
      <c r="G80" s="102" t="s">
        <v>5</v>
      </c>
      <c r="H80" s="102" t="s">
        <v>13</v>
      </c>
      <c r="I80" s="103" t="s">
        <v>0</v>
      </c>
      <c r="J80" s="104"/>
      <c r="K80" s="83"/>
      <c r="L80" s="105">
        <v>45</v>
      </c>
      <c r="M80" s="89">
        <v>60</v>
      </c>
      <c r="N80" s="89">
        <v>75</v>
      </c>
      <c r="O80" s="89">
        <v>90</v>
      </c>
      <c r="P80" s="89">
        <v>120</v>
      </c>
      <c r="Q80" s="89">
        <v>150</v>
      </c>
      <c r="R80" s="187" t="s">
        <v>218</v>
      </c>
      <c r="S80" s="106" t="s">
        <v>9</v>
      </c>
      <c r="T80" s="107" t="s">
        <v>10</v>
      </c>
      <c r="U80" s="90"/>
      <c r="V80" s="91"/>
      <c r="W80" s="91"/>
      <c r="X80" s="91"/>
      <c r="Y80" s="91"/>
      <c r="Z80" s="92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3"/>
      <c r="AL80" s="91"/>
      <c r="AM80" s="409"/>
      <c r="AN80" s="83"/>
      <c r="AO80" s="84"/>
      <c r="AP80" s="145"/>
      <c r="AQ80" s="83"/>
      <c r="AR80" s="83"/>
      <c r="AS80" s="145"/>
      <c r="AT80" s="83"/>
      <c r="AU80" s="83"/>
      <c r="AV80" s="83"/>
      <c r="AW80" s="323"/>
      <c r="AX80" s="323"/>
      <c r="BK80" s="188"/>
      <c r="CC80" s="367"/>
    </row>
    <row r="81" spans="2:81" ht="15" customHeight="1">
      <c r="B81" s="98"/>
      <c r="C81" s="108">
        <v>80</v>
      </c>
      <c r="D81" s="99" t="s">
        <v>446</v>
      </c>
      <c r="E81" s="100" t="s">
        <v>447</v>
      </c>
      <c r="F81" s="101" t="s">
        <v>14</v>
      </c>
      <c r="G81" s="102" t="s">
        <v>5</v>
      </c>
      <c r="H81" s="102" t="s">
        <v>13</v>
      </c>
      <c r="I81" s="103" t="s">
        <v>0</v>
      </c>
      <c r="J81" s="104"/>
      <c r="K81" s="83"/>
      <c r="L81" s="105">
        <v>45</v>
      </c>
      <c r="M81" s="89">
        <v>60</v>
      </c>
      <c r="N81" s="89">
        <v>75</v>
      </c>
      <c r="O81" s="89">
        <v>90</v>
      </c>
      <c r="P81" s="89">
        <v>120</v>
      </c>
      <c r="Q81" s="89">
        <v>150</v>
      </c>
      <c r="R81" s="187" t="s">
        <v>218</v>
      </c>
      <c r="S81" s="106" t="s">
        <v>9</v>
      </c>
      <c r="T81" s="107" t="s">
        <v>10</v>
      </c>
      <c r="U81" s="90"/>
      <c r="V81" s="91"/>
      <c r="W81" s="91"/>
      <c r="X81" s="91"/>
      <c r="Y81" s="91"/>
      <c r="Z81" s="92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3"/>
      <c r="AL81" s="91"/>
      <c r="AM81" s="409"/>
      <c r="AN81" s="83"/>
      <c r="AO81" s="84"/>
      <c r="AP81" s="145"/>
      <c r="AQ81" s="83"/>
      <c r="AR81" s="83"/>
      <c r="AS81" s="145"/>
      <c r="AT81" s="83"/>
      <c r="AU81" s="83"/>
      <c r="AV81" s="83"/>
      <c r="AW81" s="323"/>
      <c r="AX81" s="323"/>
      <c r="BK81" s="188"/>
      <c r="CC81" s="367"/>
    </row>
    <row r="82" spans="2:81" ht="15" customHeight="1">
      <c r="B82" s="98"/>
      <c r="C82" s="108">
        <v>81</v>
      </c>
      <c r="D82" s="99" t="s">
        <v>446</v>
      </c>
      <c r="E82" s="100" t="s">
        <v>447</v>
      </c>
      <c r="F82" s="101" t="s">
        <v>14</v>
      </c>
      <c r="G82" s="102" t="s">
        <v>5</v>
      </c>
      <c r="H82" s="102" t="s">
        <v>13</v>
      </c>
      <c r="I82" s="103" t="s">
        <v>0</v>
      </c>
      <c r="J82" s="104"/>
      <c r="K82" s="83"/>
      <c r="L82" s="105">
        <v>45</v>
      </c>
      <c r="M82" s="89">
        <v>60</v>
      </c>
      <c r="N82" s="89">
        <v>75</v>
      </c>
      <c r="O82" s="89">
        <v>90</v>
      </c>
      <c r="P82" s="89">
        <v>120</v>
      </c>
      <c r="Q82" s="89">
        <v>150</v>
      </c>
      <c r="R82" s="187" t="s">
        <v>218</v>
      </c>
      <c r="S82" s="106" t="s">
        <v>9</v>
      </c>
      <c r="T82" s="107" t="s">
        <v>10</v>
      </c>
      <c r="U82" s="90"/>
      <c r="V82" s="91"/>
      <c r="W82" s="91"/>
      <c r="X82" s="91"/>
      <c r="Y82" s="91"/>
      <c r="Z82" s="92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3"/>
      <c r="AL82" s="91"/>
      <c r="AM82" s="409"/>
      <c r="AN82" s="83"/>
      <c r="AO82" s="84"/>
      <c r="AP82" s="145"/>
      <c r="AQ82" s="83"/>
      <c r="AR82" s="83"/>
      <c r="AS82" s="145"/>
      <c r="AT82" s="83"/>
      <c r="AU82" s="83"/>
      <c r="AV82" s="83"/>
      <c r="AW82" s="323"/>
      <c r="AX82" s="323"/>
      <c r="BK82" s="188"/>
      <c r="CC82" s="367"/>
    </row>
    <row r="83" spans="2:81" ht="15" customHeight="1">
      <c r="B83" s="98"/>
      <c r="C83" s="108">
        <v>82</v>
      </c>
      <c r="D83" s="99" t="s">
        <v>446</v>
      </c>
      <c r="E83" s="100" t="s">
        <v>447</v>
      </c>
      <c r="F83" s="101" t="s">
        <v>14</v>
      </c>
      <c r="G83" s="102" t="s">
        <v>5</v>
      </c>
      <c r="H83" s="102" t="s">
        <v>13</v>
      </c>
      <c r="I83" s="103" t="s">
        <v>0</v>
      </c>
      <c r="J83" s="104"/>
      <c r="K83" s="83"/>
      <c r="L83" s="105">
        <v>45</v>
      </c>
      <c r="M83" s="89">
        <v>60</v>
      </c>
      <c r="N83" s="89">
        <v>75</v>
      </c>
      <c r="O83" s="89">
        <v>90</v>
      </c>
      <c r="P83" s="89">
        <v>120</v>
      </c>
      <c r="Q83" s="89">
        <v>150</v>
      </c>
      <c r="R83" s="187" t="s">
        <v>218</v>
      </c>
      <c r="S83" s="106" t="s">
        <v>9</v>
      </c>
      <c r="T83" s="107" t="s">
        <v>10</v>
      </c>
      <c r="U83" s="90"/>
      <c r="V83" s="91"/>
      <c r="W83" s="91"/>
      <c r="X83" s="91"/>
      <c r="Y83" s="91"/>
      <c r="Z83" s="92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3"/>
      <c r="AL83" s="91"/>
      <c r="AM83" s="409"/>
      <c r="AN83" s="83"/>
      <c r="AO83" s="84"/>
      <c r="AP83" s="145"/>
      <c r="AQ83" s="83"/>
      <c r="AR83" s="83"/>
      <c r="AS83" s="145"/>
      <c r="AT83" s="83"/>
      <c r="AU83" s="83"/>
      <c r="AV83" s="83"/>
      <c r="AW83" s="323"/>
      <c r="AX83" s="323"/>
      <c r="BK83" s="188"/>
      <c r="CC83" s="367"/>
    </row>
    <row r="84" spans="2:81" ht="15" customHeight="1">
      <c r="B84" s="98"/>
      <c r="C84" s="108">
        <v>83</v>
      </c>
      <c r="D84" s="99" t="s">
        <v>446</v>
      </c>
      <c r="E84" s="100" t="s">
        <v>447</v>
      </c>
      <c r="F84" s="101" t="s">
        <v>14</v>
      </c>
      <c r="G84" s="102" t="s">
        <v>5</v>
      </c>
      <c r="H84" s="102" t="s">
        <v>13</v>
      </c>
      <c r="I84" s="103" t="s">
        <v>0</v>
      </c>
      <c r="J84" s="104"/>
      <c r="K84" s="83"/>
      <c r="L84" s="105">
        <v>45</v>
      </c>
      <c r="M84" s="89">
        <v>60</v>
      </c>
      <c r="N84" s="89">
        <v>75</v>
      </c>
      <c r="O84" s="89">
        <v>90</v>
      </c>
      <c r="P84" s="89">
        <v>120</v>
      </c>
      <c r="Q84" s="89">
        <v>150</v>
      </c>
      <c r="R84" s="187" t="s">
        <v>218</v>
      </c>
      <c r="S84" s="106" t="s">
        <v>9</v>
      </c>
      <c r="T84" s="107" t="s">
        <v>10</v>
      </c>
      <c r="U84" s="90"/>
      <c r="V84" s="91"/>
      <c r="W84" s="91"/>
      <c r="X84" s="91"/>
      <c r="Y84" s="91"/>
      <c r="Z84" s="92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3"/>
      <c r="AL84" s="91"/>
      <c r="AM84" s="409"/>
      <c r="AN84" s="83"/>
      <c r="AO84" s="84"/>
      <c r="AP84" s="145"/>
      <c r="AQ84" s="83"/>
      <c r="AR84" s="83"/>
      <c r="AS84" s="145"/>
      <c r="AT84" s="83"/>
      <c r="AU84" s="83"/>
      <c r="AV84" s="83"/>
      <c r="AW84" s="323"/>
      <c r="AX84" s="323"/>
      <c r="BK84" s="188"/>
      <c r="CC84" s="367"/>
    </row>
    <row r="85" spans="2:81" ht="15" customHeight="1">
      <c r="B85" s="98"/>
      <c r="C85" s="108">
        <v>84</v>
      </c>
      <c r="D85" s="99" t="s">
        <v>446</v>
      </c>
      <c r="E85" s="100" t="s">
        <v>447</v>
      </c>
      <c r="F85" s="101" t="s">
        <v>14</v>
      </c>
      <c r="G85" s="102" t="s">
        <v>5</v>
      </c>
      <c r="H85" s="102" t="s">
        <v>13</v>
      </c>
      <c r="I85" s="103" t="s">
        <v>0</v>
      </c>
      <c r="J85" s="104"/>
      <c r="K85" s="83"/>
      <c r="L85" s="105">
        <v>45</v>
      </c>
      <c r="M85" s="89">
        <v>60</v>
      </c>
      <c r="N85" s="89">
        <v>75</v>
      </c>
      <c r="O85" s="89">
        <v>90</v>
      </c>
      <c r="P85" s="89">
        <v>120</v>
      </c>
      <c r="Q85" s="89">
        <v>150</v>
      </c>
      <c r="R85" s="187" t="s">
        <v>218</v>
      </c>
      <c r="S85" s="106" t="s">
        <v>9</v>
      </c>
      <c r="T85" s="107" t="s">
        <v>10</v>
      </c>
      <c r="U85" s="90"/>
      <c r="V85" s="91"/>
      <c r="W85" s="91"/>
      <c r="X85" s="91"/>
      <c r="Y85" s="91"/>
      <c r="Z85" s="92"/>
      <c r="AA85" s="91"/>
      <c r="AB85" s="91"/>
      <c r="AC85" s="91"/>
      <c r="AD85" s="91"/>
      <c r="AE85" s="91"/>
      <c r="AF85" s="91"/>
      <c r="AG85" s="91"/>
      <c r="AH85" s="91"/>
      <c r="AI85" s="91"/>
      <c r="AJ85" s="91"/>
      <c r="AK85" s="93"/>
      <c r="AL85" s="91"/>
      <c r="AM85" s="409"/>
      <c r="AN85" s="83"/>
      <c r="AO85" s="84"/>
      <c r="AP85" s="145"/>
      <c r="AQ85" s="83"/>
      <c r="AR85" s="83"/>
      <c r="AS85" s="145"/>
      <c r="AT85" s="83"/>
      <c r="AU85" s="83"/>
      <c r="AV85" s="83"/>
      <c r="AW85" s="323"/>
      <c r="AX85" s="323"/>
      <c r="BK85" s="188"/>
      <c r="CC85" s="367"/>
    </row>
    <row r="86" spans="2:81" ht="15" customHeight="1">
      <c r="B86" s="98"/>
      <c r="C86" s="108">
        <v>85</v>
      </c>
      <c r="D86" s="99" t="s">
        <v>446</v>
      </c>
      <c r="E86" s="100" t="s">
        <v>447</v>
      </c>
      <c r="F86" s="101" t="s">
        <v>14</v>
      </c>
      <c r="G86" s="102" t="s">
        <v>5</v>
      </c>
      <c r="H86" s="102" t="s">
        <v>13</v>
      </c>
      <c r="I86" s="103" t="s">
        <v>0</v>
      </c>
      <c r="J86" s="104"/>
      <c r="K86" s="83"/>
      <c r="L86" s="105">
        <v>45</v>
      </c>
      <c r="M86" s="89">
        <v>60</v>
      </c>
      <c r="N86" s="89">
        <v>75</v>
      </c>
      <c r="O86" s="89">
        <v>90</v>
      </c>
      <c r="P86" s="89">
        <v>120</v>
      </c>
      <c r="Q86" s="89">
        <v>150</v>
      </c>
      <c r="R86" s="187" t="s">
        <v>218</v>
      </c>
      <c r="S86" s="106" t="s">
        <v>9</v>
      </c>
      <c r="T86" s="107" t="s">
        <v>10</v>
      </c>
      <c r="U86" s="90"/>
      <c r="V86" s="91"/>
      <c r="W86" s="91"/>
      <c r="X86" s="91"/>
      <c r="Y86" s="91"/>
      <c r="Z86" s="92"/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93"/>
      <c r="AL86" s="91"/>
      <c r="AM86" s="409"/>
      <c r="AN86" s="83"/>
      <c r="AO86" s="84"/>
      <c r="AP86" s="145"/>
      <c r="AQ86" s="83"/>
      <c r="AR86" s="83"/>
      <c r="AS86" s="145"/>
      <c r="AT86" s="83"/>
      <c r="AU86" s="83"/>
      <c r="AV86" s="83"/>
      <c r="AW86" s="323"/>
      <c r="AX86" s="323"/>
      <c r="BK86" s="188"/>
      <c r="CC86" s="367"/>
    </row>
    <row r="87" spans="2:81" ht="15" customHeight="1">
      <c r="B87" s="98"/>
      <c r="C87" s="108">
        <v>86</v>
      </c>
      <c r="D87" s="99" t="s">
        <v>446</v>
      </c>
      <c r="E87" s="100" t="s">
        <v>447</v>
      </c>
      <c r="F87" s="101" t="s">
        <v>14</v>
      </c>
      <c r="G87" s="102" t="s">
        <v>5</v>
      </c>
      <c r="H87" s="102" t="s">
        <v>13</v>
      </c>
      <c r="I87" s="103" t="s">
        <v>0</v>
      </c>
      <c r="J87" s="104"/>
      <c r="K87" s="83"/>
      <c r="L87" s="105">
        <v>45</v>
      </c>
      <c r="M87" s="89">
        <v>60</v>
      </c>
      <c r="N87" s="89">
        <v>75</v>
      </c>
      <c r="O87" s="89">
        <v>90</v>
      </c>
      <c r="P87" s="89">
        <v>120</v>
      </c>
      <c r="Q87" s="89">
        <v>150</v>
      </c>
      <c r="R87" s="187" t="s">
        <v>218</v>
      </c>
      <c r="S87" s="106" t="s">
        <v>9</v>
      </c>
      <c r="T87" s="107" t="s">
        <v>10</v>
      </c>
      <c r="U87" s="90"/>
      <c r="V87" s="91"/>
      <c r="W87" s="91"/>
      <c r="X87" s="91"/>
      <c r="Y87" s="91"/>
      <c r="Z87" s="92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93"/>
      <c r="AL87" s="91"/>
      <c r="AM87" s="409"/>
      <c r="AN87" s="83"/>
      <c r="AO87" s="84"/>
      <c r="AP87" s="145"/>
      <c r="AQ87" s="83"/>
      <c r="AR87" s="83"/>
      <c r="AS87" s="145"/>
      <c r="AT87" s="83"/>
      <c r="AU87" s="83"/>
      <c r="AV87" s="83"/>
      <c r="AW87" s="323"/>
      <c r="AX87" s="323"/>
      <c r="BK87" s="188"/>
      <c r="CC87" s="367"/>
    </row>
    <row r="88" spans="2:81" ht="15" customHeight="1">
      <c r="B88" s="98"/>
      <c r="C88" s="108">
        <v>87</v>
      </c>
      <c r="D88" s="99" t="s">
        <v>446</v>
      </c>
      <c r="E88" s="100" t="s">
        <v>447</v>
      </c>
      <c r="F88" s="101" t="s">
        <v>14</v>
      </c>
      <c r="G88" s="102" t="s">
        <v>5</v>
      </c>
      <c r="H88" s="102" t="s">
        <v>13</v>
      </c>
      <c r="I88" s="103" t="s">
        <v>0</v>
      </c>
      <c r="J88" s="104"/>
      <c r="K88" s="83"/>
      <c r="L88" s="105">
        <v>45</v>
      </c>
      <c r="M88" s="89">
        <v>60</v>
      </c>
      <c r="N88" s="89">
        <v>75</v>
      </c>
      <c r="O88" s="89">
        <v>90</v>
      </c>
      <c r="P88" s="89">
        <v>120</v>
      </c>
      <c r="Q88" s="89">
        <v>150</v>
      </c>
      <c r="R88" s="187" t="s">
        <v>218</v>
      </c>
      <c r="S88" s="106" t="s">
        <v>9</v>
      </c>
      <c r="T88" s="107" t="s">
        <v>10</v>
      </c>
      <c r="U88" s="90"/>
      <c r="V88" s="91"/>
      <c r="W88" s="91"/>
      <c r="X88" s="91"/>
      <c r="Y88" s="91"/>
      <c r="Z88" s="92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3"/>
      <c r="AL88" s="91"/>
      <c r="AM88" s="409"/>
      <c r="AN88" s="83"/>
      <c r="AO88" s="84"/>
      <c r="AP88" s="145"/>
      <c r="AQ88" s="83"/>
      <c r="AR88" s="83"/>
      <c r="AS88" s="145"/>
      <c r="AT88" s="83"/>
      <c r="AU88" s="83"/>
      <c r="AV88" s="83"/>
      <c r="AW88" s="323"/>
      <c r="AX88" s="323"/>
      <c r="BK88" s="188"/>
      <c r="CC88" s="367"/>
    </row>
    <row r="89" spans="2:81" ht="15" customHeight="1">
      <c r="B89" s="98"/>
      <c r="C89" s="108">
        <v>88</v>
      </c>
      <c r="D89" s="99" t="s">
        <v>446</v>
      </c>
      <c r="E89" s="100" t="s">
        <v>447</v>
      </c>
      <c r="F89" s="101" t="s">
        <v>14</v>
      </c>
      <c r="G89" s="102" t="s">
        <v>5</v>
      </c>
      <c r="H89" s="102" t="s">
        <v>13</v>
      </c>
      <c r="I89" s="103" t="s">
        <v>0</v>
      </c>
      <c r="J89" s="104"/>
      <c r="K89" s="83"/>
      <c r="L89" s="105">
        <v>45</v>
      </c>
      <c r="M89" s="89">
        <v>60</v>
      </c>
      <c r="N89" s="89">
        <v>75</v>
      </c>
      <c r="O89" s="89">
        <v>90</v>
      </c>
      <c r="P89" s="89">
        <v>120</v>
      </c>
      <c r="Q89" s="89">
        <v>150</v>
      </c>
      <c r="R89" s="187" t="s">
        <v>218</v>
      </c>
      <c r="S89" s="106" t="s">
        <v>9</v>
      </c>
      <c r="T89" s="107" t="s">
        <v>10</v>
      </c>
      <c r="U89" s="90"/>
      <c r="V89" s="91"/>
      <c r="W89" s="91"/>
      <c r="X89" s="91"/>
      <c r="Y89" s="91"/>
      <c r="Z89" s="92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93"/>
      <c r="AL89" s="91"/>
      <c r="AM89" s="409"/>
      <c r="AN89" s="83"/>
      <c r="AO89" s="84"/>
      <c r="AP89" s="145"/>
      <c r="AQ89" s="83"/>
      <c r="AR89" s="83"/>
      <c r="AS89" s="145"/>
      <c r="AT89" s="83"/>
      <c r="AU89" s="83"/>
      <c r="AV89" s="83"/>
      <c r="AW89" s="323"/>
      <c r="AX89" s="323"/>
      <c r="BK89" s="188"/>
      <c r="CC89" s="367"/>
    </row>
    <row r="90" spans="2:81" ht="15" customHeight="1">
      <c r="B90" s="98"/>
      <c r="C90" s="108">
        <v>89</v>
      </c>
      <c r="D90" s="99" t="s">
        <v>446</v>
      </c>
      <c r="E90" s="100" t="s">
        <v>447</v>
      </c>
      <c r="F90" s="101" t="s">
        <v>14</v>
      </c>
      <c r="G90" s="102" t="s">
        <v>5</v>
      </c>
      <c r="H90" s="102" t="s">
        <v>13</v>
      </c>
      <c r="I90" s="103" t="s">
        <v>0</v>
      </c>
      <c r="J90" s="104"/>
      <c r="K90" s="83"/>
      <c r="L90" s="105">
        <v>45</v>
      </c>
      <c r="M90" s="89">
        <v>60</v>
      </c>
      <c r="N90" s="89">
        <v>75</v>
      </c>
      <c r="O90" s="89">
        <v>90</v>
      </c>
      <c r="P90" s="89">
        <v>120</v>
      </c>
      <c r="Q90" s="89">
        <v>150</v>
      </c>
      <c r="R90" s="187" t="s">
        <v>218</v>
      </c>
      <c r="S90" s="106" t="s">
        <v>9</v>
      </c>
      <c r="T90" s="107" t="s">
        <v>10</v>
      </c>
      <c r="U90" s="90"/>
      <c r="V90" s="91"/>
      <c r="W90" s="91"/>
      <c r="X90" s="91"/>
      <c r="Y90" s="91"/>
      <c r="Z90" s="92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3"/>
      <c r="AL90" s="91"/>
      <c r="AM90" s="409"/>
      <c r="AN90" s="83"/>
      <c r="AO90" s="84"/>
      <c r="AP90" s="145"/>
      <c r="AQ90" s="83"/>
      <c r="AR90" s="83"/>
      <c r="AS90" s="145"/>
      <c r="AT90" s="83"/>
      <c r="AU90" s="83"/>
      <c r="AV90" s="83"/>
      <c r="AW90" s="323"/>
      <c r="AX90" s="323"/>
      <c r="BK90" s="188"/>
      <c r="CC90" s="367"/>
    </row>
    <row r="91" spans="2:81" ht="15" customHeight="1">
      <c r="B91" s="98"/>
      <c r="C91" s="108">
        <v>90</v>
      </c>
      <c r="D91" s="99" t="s">
        <v>446</v>
      </c>
      <c r="E91" s="100" t="s">
        <v>447</v>
      </c>
      <c r="F91" s="101" t="s">
        <v>14</v>
      </c>
      <c r="G91" s="102" t="s">
        <v>5</v>
      </c>
      <c r="H91" s="102" t="s">
        <v>13</v>
      </c>
      <c r="I91" s="103" t="s">
        <v>0</v>
      </c>
      <c r="J91" s="104"/>
      <c r="K91" s="83"/>
      <c r="L91" s="105">
        <v>45</v>
      </c>
      <c r="M91" s="89">
        <v>60</v>
      </c>
      <c r="N91" s="89">
        <v>75</v>
      </c>
      <c r="O91" s="89">
        <v>90</v>
      </c>
      <c r="P91" s="89">
        <v>120</v>
      </c>
      <c r="Q91" s="89">
        <v>150</v>
      </c>
      <c r="R91" s="187" t="s">
        <v>218</v>
      </c>
      <c r="S91" s="106" t="s">
        <v>9</v>
      </c>
      <c r="T91" s="107" t="s">
        <v>10</v>
      </c>
      <c r="U91" s="90"/>
      <c r="V91" s="91"/>
      <c r="W91" s="91"/>
      <c r="X91" s="91"/>
      <c r="Y91" s="91"/>
      <c r="Z91" s="92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3"/>
      <c r="AL91" s="91"/>
      <c r="AM91" s="409"/>
      <c r="AN91" s="83"/>
      <c r="AO91" s="84"/>
      <c r="AP91" s="145"/>
      <c r="AQ91" s="83"/>
      <c r="AR91" s="83"/>
      <c r="AS91" s="145"/>
      <c r="AT91" s="83"/>
      <c r="AU91" s="83"/>
      <c r="AV91" s="83"/>
      <c r="AW91" s="323"/>
      <c r="AX91" s="323"/>
      <c r="BK91" s="188"/>
      <c r="CC91" s="367"/>
    </row>
    <row r="92" spans="2:81" ht="15" customHeight="1">
      <c r="B92" s="98"/>
      <c r="C92" s="108">
        <v>91</v>
      </c>
      <c r="D92" s="99" t="s">
        <v>446</v>
      </c>
      <c r="E92" s="100" t="s">
        <v>447</v>
      </c>
      <c r="F92" s="101" t="s">
        <v>14</v>
      </c>
      <c r="G92" s="102" t="s">
        <v>5</v>
      </c>
      <c r="H92" s="102" t="s">
        <v>13</v>
      </c>
      <c r="I92" s="103" t="s">
        <v>0</v>
      </c>
      <c r="J92" s="104"/>
      <c r="K92" s="83"/>
      <c r="L92" s="105">
        <v>45</v>
      </c>
      <c r="M92" s="89">
        <v>60</v>
      </c>
      <c r="N92" s="89">
        <v>75</v>
      </c>
      <c r="O92" s="89">
        <v>90</v>
      </c>
      <c r="P92" s="89">
        <v>120</v>
      </c>
      <c r="Q92" s="89">
        <v>150</v>
      </c>
      <c r="R92" s="187" t="s">
        <v>218</v>
      </c>
      <c r="S92" s="106" t="s">
        <v>9</v>
      </c>
      <c r="T92" s="107" t="s">
        <v>10</v>
      </c>
      <c r="U92" s="90"/>
      <c r="V92" s="91"/>
      <c r="W92" s="91"/>
      <c r="X92" s="91"/>
      <c r="Y92" s="91"/>
      <c r="Z92" s="92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3"/>
      <c r="AL92" s="91"/>
      <c r="AM92" s="409"/>
      <c r="AN92" s="83"/>
      <c r="AO92" s="84"/>
      <c r="AP92" s="145"/>
      <c r="AQ92" s="83"/>
      <c r="AR92" s="83"/>
      <c r="AS92" s="145"/>
      <c r="AT92" s="83"/>
      <c r="AU92" s="83"/>
      <c r="AV92" s="83"/>
      <c r="AW92" s="323"/>
      <c r="AX92" s="323"/>
      <c r="BK92" s="188"/>
      <c r="CC92" s="367"/>
    </row>
    <row r="93" spans="2:81" ht="15" customHeight="1">
      <c r="B93" s="98"/>
      <c r="C93" s="108">
        <v>92</v>
      </c>
      <c r="D93" s="99" t="s">
        <v>446</v>
      </c>
      <c r="E93" s="100" t="s">
        <v>447</v>
      </c>
      <c r="F93" s="101" t="s">
        <v>14</v>
      </c>
      <c r="G93" s="102" t="s">
        <v>5</v>
      </c>
      <c r="H93" s="102" t="s">
        <v>13</v>
      </c>
      <c r="I93" s="103" t="s">
        <v>0</v>
      </c>
      <c r="J93" s="104"/>
      <c r="K93" s="83"/>
      <c r="L93" s="105">
        <v>45</v>
      </c>
      <c r="M93" s="89">
        <v>60</v>
      </c>
      <c r="N93" s="89">
        <v>75</v>
      </c>
      <c r="O93" s="89">
        <v>90</v>
      </c>
      <c r="P93" s="89">
        <v>120</v>
      </c>
      <c r="Q93" s="89">
        <v>150</v>
      </c>
      <c r="R93" s="187" t="s">
        <v>218</v>
      </c>
      <c r="S93" s="106" t="s">
        <v>9</v>
      </c>
      <c r="T93" s="107" t="s">
        <v>10</v>
      </c>
      <c r="U93" s="90"/>
      <c r="V93" s="91"/>
      <c r="W93" s="91"/>
      <c r="X93" s="91"/>
      <c r="Y93" s="91"/>
      <c r="Z93" s="92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3"/>
      <c r="AL93" s="91"/>
      <c r="AM93" s="409"/>
      <c r="AN93" s="83"/>
      <c r="AO93" s="84"/>
      <c r="AP93" s="145"/>
      <c r="AQ93" s="83"/>
      <c r="AR93" s="83"/>
      <c r="AS93" s="145"/>
      <c r="AT93" s="83"/>
      <c r="AU93" s="83"/>
      <c r="AV93" s="83"/>
      <c r="AW93" s="323"/>
      <c r="AX93" s="323"/>
      <c r="BK93" s="188"/>
      <c r="CC93" s="367"/>
    </row>
    <row r="94" spans="2:81" ht="15" customHeight="1">
      <c r="B94" s="98"/>
      <c r="C94" s="108">
        <v>93</v>
      </c>
      <c r="D94" s="99" t="s">
        <v>446</v>
      </c>
      <c r="E94" s="100" t="s">
        <v>447</v>
      </c>
      <c r="F94" s="101" t="s">
        <v>14</v>
      </c>
      <c r="G94" s="102" t="s">
        <v>5</v>
      </c>
      <c r="H94" s="102" t="s">
        <v>13</v>
      </c>
      <c r="I94" s="103" t="s">
        <v>0</v>
      </c>
      <c r="J94" s="104"/>
      <c r="K94" s="83"/>
      <c r="L94" s="105">
        <v>45</v>
      </c>
      <c r="M94" s="89">
        <v>60</v>
      </c>
      <c r="N94" s="89">
        <v>75</v>
      </c>
      <c r="O94" s="89">
        <v>90</v>
      </c>
      <c r="P94" s="89">
        <v>120</v>
      </c>
      <c r="Q94" s="89">
        <v>150</v>
      </c>
      <c r="R94" s="187" t="s">
        <v>218</v>
      </c>
      <c r="S94" s="106" t="s">
        <v>9</v>
      </c>
      <c r="T94" s="107" t="s">
        <v>10</v>
      </c>
      <c r="U94" s="90"/>
      <c r="V94" s="91"/>
      <c r="W94" s="91"/>
      <c r="X94" s="91"/>
      <c r="Y94" s="91"/>
      <c r="Z94" s="92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3"/>
      <c r="AL94" s="91"/>
      <c r="AM94" s="409"/>
      <c r="AN94" s="83"/>
      <c r="AO94" s="84"/>
      <c r="AP94" s="145"/>
      <c r="AQ94" s="83"/>
      <c r="AR94" s="83"/>
      <c r="AS94" s="145"/>
      <c r="AT94" s="83"/>
      <c r="AU94" s="83"/>
      <c r="AV94" s="83"/>
      <c r="AW94" s="323"/>
      <c r="AX94" s="323"/>
      <c r="BK94" s="188"/>
      <c r="CC94" s="367"/>
    </row>
    <row r="95" spans="2:81" ht="15" customHeight="1">
      <c r="B95" s="98"/>
      <c r="C95" s="108">
        <v>94</v>
      </c>
      <c r="D95" s="99" t="s">
        <v>446</v>
      </c>
      <c r="E95" s="100" t="s">
        <v>447</v>
      </c>
      <c r="F95" s="101" t="s">
        <v>14</v>
      </c>
      <c r="G95" s="102" t="s">
        <v>5</v>
      </c>
      <c r="H95" s="102" t="s">
        <v>13</v>
      </c>
      <c r="I95" s="103" t="s">
        <v>0</v>
      </c>
      <c r="J95" s="104"/>
      <c r="K95" s="83"/>
      <c r="L95" s="105">
        <v>45</v>
      </c>
      <c r="M95" s="89">
        <v>60</v>
      </c>
      <c r="N95" s="89">
        <v>75</v>
      </c>
      <c r="O95" s="89">
        <v>90</v>
      </c>
      <c r="P95" s="89">
        <v>120</v>
      </c>
      <c r="Q95" s="89">
        <v>150</v>
      </c>
      <c r="R95" s="187" t="s">
        <v>218</v>
      </c>
      <c r="S95" s="106" t="s">
        <v>9</v>
      </c>
      <c r="T95" s="107" t="s">
        <v>10</v>
      </c>
      <c r="U95" s="90"/>
      <c r="V95" s="91"/>
      <c r="W95" s="91"/>
      <c r="X95" s="91"/>
      <c r="Y95" s="91"/>
      <c r="Z95" s="92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3"/>
      <c r="AL95" s="91"/>
      <c r="AM95" s="409"/>
      <c r="AN95" s="83"/>
      <c r="AO95" s="84"/>
      <c r="AP95" s="145"/>
      <c r="AQ95" s="83"/>
      <c r="AR95" s="83"/>
      <c r="AS95" s="145"/>
      <c r="AT95" s="83"/>
      <c r="AU95" s="83"/>
      <c r="AV95" s="83"/>
      <c r="AW95" s="323"/>
      <c r="AX95" s="323"/>
      <c r="BK95" s="188"/>
      <c r="CC95" s="367"/>
    </row>
    <row r="96" spans="2:81" ht="15" customHeight="1">
      <c r="B96" s="98"/>
      <c r="C96" s="108">
        <v>95</v>
      </c>
      <c r="D96" s="99" t="s">
        <v>446</v>
      </c>
      <c r="E96" s="100" t="s">
        <v>447</v>
      </c>
      <c r="F96" s="101" t="s">
        <v>14</v>
      </c>
      <c r="G96" s="102" t="s">
        <v>5</v>
      </c>
      <c r="H96" s="102" t="s">
        <v>13</v>
      </c>
      <c r="I96" s="103" t="s">
        <v>0</v>
      </c>
      <c r="J96" s="104"/>
      <c r="K96" s="83"/>
      <c r="L96" s="105">
        <v>45</v>
      </c>
      <c r="M96" s="89">
        <v>60</v>
      </c>
      <c r="N96" s="89">
        <v>75</v>
      </c>
      <c r="O96" s="89">
        <v>90</v>
      </c>
      <c r="P96" s="89">
        <v>120</v>
      </c>
      <c r="Q96" s="89">
        <v>150</v>
      </c>
      <c r="R96" s="187" t="s">
        <v>218</v>
      </c>
      <c r="S96" s="106" t="s">
        <v>9</v>
      </c>
      <c r="T96" s="107" t="s">
        <v>10</v>
      </c>
      <c r="U96" s="90"/>
      <c r="V96" s="91"/>
      <c r="W96" s="91"/>
      <c r="X96" s="91"/>
      <c r="Y96" s="91"/>
      <c r="Z96" s="92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3"/>
      <c r="AL96" s="91"/>
      <c r="AM96" s="409"/>
      <c r="AN96" s="83"/>
      <c r="AO96" s="84"/>
      <c r="AP96" s="145"/>
      <c r="AQ96" s="83"/>
      <c r="AR96" s="83"/>
      <c r="AS96" s="145"/>
      <c r="AT96" s="83"/>
      <c r="AU96" s="83"/>
      <c r="AV96" s="83"/>
      <c r="AW96" s="323"/>
      <c r="AX96" s="323"/>
      <c r="BK96" s="188"/>
      <c r="CC96" s="367"/>
    </row>
    <row r="97" spans="2:81" ht="15" customHeight="1">
      <c r="B97" s="98"/>
      <c r="C97" s="108">
        <v>96</v>
      </c>
      <c r="D97" s="99" t="s">
        <v>446</v>
      </c>
      <c r="E97" s="100" t="s">
        <v>447</v>
      </c>
      <c r="F97" s="101" t="s">
        <v>14</v>
      </c>
      <c r="G97" s="102" t="s">
        <v>5</v>
      </c>
      <c r="H97" s="102" t="s">
        <v>13</v>
      </c>
      <c r="I97" s="103" t="s">
        <v>0</v>
      </c>
      <c r="J97" s="104"/>
      <c r="K97" s="83"/>
      <c r="L97" s="105">
        <v>45</v>
      </c>
      <c r="M97" s="89">
        <v>60</v>
      </c>
      <c r="N97" s="89">
        <v>75</v>
      </c>
      <c r="O97" s="89">
        <v>90</v>
      </c>
      <c r="P97" s="89">
        <v>120</v>
      </c>
      <c r="Q97" s="89">
        <v>150</v>
      </c>
      <c r="R97" s="187" t="s">
        <v>218</v>
      </c>
      <c r="S97" s="106" t="s">
        <v>9</v>
      </c>
      <c r="T97" s="107" t="s">
        <v>10</v>
      </c>
      <c r="U97" s="90"/>
      <c r="V97" s="91"/>
      <c r="W97" s="91"/>
      <c r="X97" s="91"/>
      <c r="Y97" s="91"/>
      <c r="Z97" s="92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3"/>
      <c r="AL97" s="91"/>
      <c r="AM97" s="409"/>
      <c r="AN97" s="83"/>
      <c r="AO97" s="84"/>
      <c r="AP97" s="145"/>
      <c r="AQ97" s="83"/>
      <c r="AR97" s="83"/>
      <c r="AS97" s="145"/>
      <c r="AT97" s="83"/>
      <c r="AU97" s="83"/>
      <c r="AV97" s="83"/>
      <c r="AW97" s="323"/>
      <c r="AX97" s="323"/>
      <c r="BK97" s="188"/>
      <c r="CC97" s="367"/>
    </row>
    <row r="98" spans="2:81" ht="15" customHeight="1">
      <c r="B98" s="98"/>
      <c r="C98" s="108">
        <v>97</v>
      </c>
      <c r="D98" s="99" t="s">
        <v>446</v>
      </c>
      <c r="E98" s="100" t="s">
        <v>447</v>
      </c>
      <c r="F98" s="101" t="s">
        <v>14</v>
      </c>
      <c r="G98" s="102" t="s">
        <v>5</v>
      </c>
      <c r="H98" s="102" t="s">
        <v>13</v>
      </c>
      <c r="I98" s="103" t="s">
        <v>0</v>
      </c>
      <c r="J98" s="104"/>
      <c r="K98" s="83"/>
      <c r="L98" s="105">
        <v>45</v>
      </c>
      <c r="M98" s="89">
        <v>60</v>
      </c>
      <c r="N98" s="89">
        <v>75</v>
      </c>
      <c r="O98" s="89">
        <v>90</v>
      </c>
      <c r="P98" s="89">
        <v>120</v>
      </c>
      <c r="Q98" s="89">
        <v>150</v>
      </c>
      <c r="R98" s="187" t="s">
        <v>218</v>
      </c>
      <c r="S98" s="106" t="s">
        <v>9</v>
      </c>
      <c r="T98" s="107" t="s">
        <v>10</v>
      </c>
      <c r="U98" s="90"/>
      <c r="V98" s="91"/>
      <c r="W98" s="91"/>
      <c r="X98" s="91"/>
      <c r="Y98" s="91"/>
      <c r="Z98" s="92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3"/>
      <c r="AL98" s="91"/>
      <c r="AM98" s="409"/>
      <c r="AN98" s="83"/>
      <c r="AO98" s="84"/>
      <c r="AP98" s="145"/>
      <c r="AQ98" s="83"/>
      <c r="AR98" s="83"/>
      <c r="AS98" s="145"/>
      <c r="AT98" s="83"/>
      <c r="AU98" s="83"/>
      <c r="AV98" s="83"/>
      <c r="AW98" s="323"/>
      <c r="AX98" s="323"/>
      <c r="BK98" s="188"/>
      <c r="CC98" s="367"/>
    </row>
    <row r="99" spans="2:81" ht="15" customHeight="1">
      <c r="B99" s="98"/>
      <c r="C99" s="108">
        <v>98</v>
      </c>
      <c r="D99" s="99" t="s">
        <v>446</v>
      </c>
      <c r="E99" s="100" t="s">
        <v>447</v>
      </c>
      <c r="F99" s="101" t="s">
        <v>14</v>
      </c>
      <c r="G99" s="102" t="s">
        <v>5</v>
      </c>
      <c r="H99" s="102" t="s">
        <v>13</v>
      </c>
      <c r="I99" s="103" t="s">
        <v>0</v>
      </c>
      <c r="J99" s="104"/>
      <c r="K99" s="83"/>
      <c r="L99" s="105">
        <v>45</v>
      </c>
      <c r="M99" s="89">
        <v>60</v>
      </c>
      <c r="N99" s="89">
        <v>75</v>
      </c>
      <c r="O99" s="89">
        <v>90</v>
      </c>
      <c r="P99" s="89">
        <v>120</v>
      </c>
      <c r="Q99" s="89">
        <v>150</v>
      </c>
      <c r="R99" s="187" t="s">
        <v>218</v>
      </c>
      <c r="S99" s="106" t="s">
        <v>9</v>
      </c>
      <c r="T99" s="107" t="s">
        <v>10</v>
      </c>
      <c r="U99" s="90"/>
      <c r="V99" s="91"/>
      <c r="W99" s="91"/>
      <c r="X99" s="91"/>
      <c r="Y99" s="91"/>
      <c r="Z99" s="92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3"/>
      <c r="AL99" s="91"/>
      <c r="AM99" s="409"/>
      <c r="AN99" s="83"/>
      <c r="AO99" s="84"/>
      <c r="AP99" s="145"/>
      <c r="AQ99" s="83"/>
      <c r="AR99" s="83"/>
      <c r="AS99" s="145"/>
      <c r="AT99" s="83"/>
      <c r="AU99" s="83"/>
      <c r="AV99" s="83"/>
      <c r="AW99" s="323"/>
      <c r="AX99" s="323"/>
      <c r="BK99" s="188"/>
      <c r="CC99" s="367"/>
    </row>
    <row r="100" spans="2:81" ht="15" customHeight="1">
      <c r="B100" s="98"/>
      <c r="C100" s="108">
        <v>99</v>
      </c>
      <c r="D100" s="99" t="s">
        <v>446</v>
      </c>
      <c r="E100" s="100" t="s">
        <v>447</v>
      </c>
      <c r="F100" s="101" t="s">
        <v>14</v>
      </c>
      <c r="G100" s="102" t="s">
        <v>5</v>
      </c>
      <c r="H100" s="102" t="s">
        <v>13</v>
      </c>
      <c r="I100" s="103" t="s">
        <v>0</v>
      </c>
      <c r="J100" s="104"/>
      <c r="K100" s="83"/>
      <c r="L100" s="105">
        <v>45</v>
      </c>
      <c r="M100" s="89">
        <v>60</v>
      </c>
      <c r="N100" s="89">
        <v>75</v>
      </c>
      <c r="O100" s="89">
        <v>90</v>
      </c>
      <c r="P100" s="89">
        <v>120</v>
      </c>
      <c r="Q100" s="89">
        <v>150</v>
      </c>
      <c r="R100" s="187" t="s">
        <v>218</v>
      </c>
      <c r="S100" s="106" t="s">
        <v>9</v>
      </c>
      <c r="T100" s="107" t="s">
        <v>10</v>
      </c>
      <c r="U100" s="90"/>
      <c r="V100" s="91"/>
      <c r="W100" s="91"/>
      <c r="X100" s="91"/>
      <c r="Y100" s="91"/>
      <c r="Z100" s="92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3"/>
      <c r="AL100" s="91"/>
      <c r="AM100" s="409"/>
      <c r="AN100" s="83"/>
      <c r="AO100" s="84"/>
      <c r="AP100" s="145"/>
      <c r="AQ100" s="83"/>
      <c r="AR100" s="83"/>
      <c r="AS100" s="145"/>
      <c r="AT100" s="83"/>
      <c r="AU100" s="83"/>
      <c r="AV100" s="83"/>
      <c r="AW100" s="323"/>
      <c r="AX100" s="323"/>
      <c r="BK100" s="188"/>
      <c r="CC100" s="367"/>
    </row>
    <row r="101" spans="2:81" ht="15" customHeight="1">
      <c r="B101" s="98"/>
      <c r="C101" s="108">
        <v>100</v>
      </c>
      <c r="D101" s="99" t="s">
        <v>446</v>
      </c>
      <c r="E101" s="100" t="s">
        <v>447</v>
      </c>
      <c r="F101" s="101" t="s">
        <v>14</v>
      </c>
      <c r="G101" s="102" t="s">
        <v>5</v>
      </c>
      <c r="H101" s="102" t="s">
        <v>13</v>
      </c>
      <c r="I101" s="103" t="s">
        <v>0</v>
      </c>
      <c r="J101" s="104"/>
      <c r="K101" s="83"/>
      <c r="L101" s="105">
        <v>45</v>
      </c>
      <c r="M101" s="89">
        <v>60</v>
      </c>
      <c r="N101" s="89">
        <v>75</v>
      </c>
      <c r="O101" s="89">
        <v>90</v>
      </c>
      <c r="P101" s="89">
        <v>120</v>
      </c>
      <c r="Q101" s="89">
        <v>150</v>
      </c>
      <c r="R101" s="187" t="s">
        <v>218</v>
      </c>
      <c r="S101" s="106" t="s">
        <v>9</v>
      </c>
      <c r="T101" s="107" t="s">
        <v>10</v>
      </c>
      <c r="U101" s="90"/>
      <c r="V101" s="91"/>
      <c r="W101" s="91"/>
      <c r="X101" s="91"/>
      <c r="Y101" s="91"/>
      <c r="Z101" s="92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93"/>
      <c r="AL101" s="91"/>
      <c r="AM101" s="409"/>
      <c r="AN101" s="83"/>
      <c r="AO101" s="84"/>
      <c r="AP101" s="145"/>
      <c r="AQ101" s="83"/>
      <c r="AR101" s="83"/>
      <c r="AS101" s="145"/>
      <c r="AT101" s="83"/>
      <c r="AU101" s="83"/>
      <c r="AV101" s="83"/>
      <c r="AW101" s="323"/>
      <c r="AX101" s="323"/>
      <c r="BK101" s="188"/>
      <c r="CC101" s="367"/>
    </row>
    <row r="102" spans="2:81" ht="15" customHeight="1">
      <c r="B102" s="98"/>
      <c r="C102" s="108">
        <v>101</v>
      </c>
      <c r="D102" s="99" t="s">
        <v>446</v>
      </c>
      <c r="E102" s="100" t="s">
        <v>447</v>
      </c>
      <c r="F102" s="101" t="s">
        <v>14</v>
      </c>
      <c r="G102" s="102" t="s">
        <v>5</v>
      </c>
      <c r="H102" s="102" t="s">
        <v>13</v>
      </c>
      <c r="I102" s="103" t="s">
        <v>0</v>
      </c>
      <c r="J102" s="104"/>
      <c r="K102" s="83"/>
      <c r="L102" s="105">
        <v>45</v>
      </c>
      <c r="M102" s="89">
        <v>60</v>
      </c>
      <c r="N102" s="89">
        <v>75</v>
      </c>
      <c r="O102" s="89">
        <v>90</v>
      </c>
      <c r="P102" s="89">
        <v>120</v>
      </c>
      <c r="Q102" s="89">
        <v>150</v>
      </c>
      <c r="R102" s="187" t="s">
        <v>218</v>
      </c>
      <c r="S102" s="106" t="s">
        <v>9</v>
      </c>
      <c r="T102" s="107" t="s">
        <v>10</v>
      </c>
      <c r="U102" s="90"/>
      <c r="V102" s="91"/>
      <c r="W102" s="91"/>
      <c r="X102" s="91"/>
      <c r="Y102" s="91"/>
      <c r="Z102" s="92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93"/>
      <c r="AL102" s="91"/>
      <c r="AM102" s="409"/>
      <c r="AN102" s="83"/>
      <c r="AO102" s="84"/>
      <c r="AP102" s="145"/>
      <c r="AQ102" s="83"/>
      <c r="AR102" s="83"/>
      <c r="AS102" s="145"/>
      <c r="AT102" s="83"/>
      <c r="AU102" s="83"/>
      <c r="AV102" s="83"/>
      <c r="AW102" s="323"/>
      <c r="AX102" s="323"/>
      <c r="BK102" s="188"/>
      <c r="CC102" s="367"/>
    </row>
    <row r="103" spans="2:81" ht="15" customHeight="1">
      <c r="B103" s="98"/>
      <c r="C103" s="108">
        <v>102</v>
      </c>
      <c r="D103" s="99" t="s">
        <v>446</v>
      </c>
      <c r="E103" s="100" t="s">
        <v>447</v>
      </c>
      <c r="F103" s="101" t="s">
        <v>14</v>
      </c>
      <c r="G103" s="102" t="s">
        <v>5</v>
      </c>
      <c r="H103" s="102" t="s">
        <v>13</v>
      </c>
      <c r="I103" s="103" t="s">
        <v>0</v>
      </c>
      <c r="J103" s="104"/>
      <c r="K103" s="83"/>
      <c r="L103" s="105">
        <v>45</v>
      </c>
      <c r="M103" s="89">
        <v>60</v>
      </c>
      <c r="N103" s="89">
        <v>75</v>
      </c>
      <c r="O103" s="89">
        <v>90</v>
      </c>
      <c r="P103" s="89">
        <v>120</v>
      </c>
      <c r="Q103" s="89">
        <v>150</v>
      </c>
      <c r="R103" s="187" t="s">
        <v>218</v>
      </c>
      <c r="S103" s="106" t="s">
        <v>9</v>
      </c>
      <c r="T103" s="107" t="s">
        <v>10</v>
      </c>
      <c r="U103" s="90"/>
      <c r="V103" s="91"/>
      <c r="W103" s="91"/>
      <c r="X103" s="91"/>
      <c r="Y103" s="91"/>
      <c r="Z103" s="92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3"/>
      <c r="AL103" s="91"/>
      <c r="AM103" s="409"/>
      <c r="AN103" s="83"/>
      <c r="AO103" s="84"/>
      <c r="AP103" s="145"/>
      <c r="AQ103" s="83"/>
      <c r="AR103" s="83"/>
      <c r="AS103" s="145"/>
      <c r="AT103" s="83"/>
      <c r="AU103" s="83"/>
      <c r="AV103" s="83"/>
      <c r="AW103" s="323"/>
      <c r="AX103" s="323"/>
      <c r="BK103" s="188"/>
      <c r="CC103" s="367"/>
    </row>
    <row r="104" spans="2:81" ht="15" customHeight="1">
      <c r="B104" s="98"/>
      <c r="C104" s="108">
        <v>103</v>
      </c>
      <c r="D104" s="99" t="s">
        <v>446</v>
      </c>
      <c r="E104" s="100" t="s">
        <v>447</v>
      </c>
      <c r="F104" s="101" t="s">
        <v>14</v>
      </c>
      <c r="G104" s="102" t="s">
        <v>5</v>
      </c>
      <c r="H104" s="102" t="s">
        <v>13</v>
      </c>
      <c r="I104" s="103" t="s">
        <v>0</v>
      </c>
      <c r="J104" s="104"/>
      <c r="K104" s="83"/>
      <c r="L104" s="105">
        <v>45</v>
      </c>
      <c r="M104" s="89">
        <v>60</v>
      </c>
      <c r="N104" s="89">
        <v>75</v>
      </c>
      <c r="O104" s="89">
        <v>90</v>
      </c>
      <c r="P104" s="89">
        <v>120</v>
      </c>
      <c r="Q104" s="89">
        <v>150</v>
      </c>
      <c r="R104" s="187" t="s">
        <v>218</v>
      </c>
      <c r="S104" s="106" t="s">
        <v>9</v>
      </c>
      <c r="T104" s="107" t="s">
        <v>10</v>
      </c>
      <c r="U104" s="90"/>
      <c r="V104" s="91"/>
      <c r="W104" s="91"/>
      <c r="X104" s="91"/>
      <c r="Y104" s="91"/>
      <c r="Z104" s="92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3"/>
      <c r="AL104" s="91"/>
      <c r="AM104" s="409"/>
      <c r="AN104" s="83"/>
      <c r="AO104" s="84"/>
      <c r="AP104" s="145"/>
      <c r="AQ104" s="83"/>
      <c r="AR104" s="83"/>
      <c r="AS104" s="145"/>
      <c r="AT104" s="83"/>
      <c r="AU104" s="83"/>
      <c r="AV104" s="83"/>
      <c r="AW104" s="323"/>
      <c r="AX104" s="323"/>
      <c r="BK104" s="188"/>
      <c r="CC104" s="367"/>
    </row>
    <row r="105" spans="2:81" ht="15" customHeight="1">
      <c r="B105" s="98"/>
      <c r="C105" s="108">
        <v>104</v>
      </c>
      <c r="D105" s="99" t="s">
        <v>446</v>
      </c>
      <c r="E105" s="100" t="s">
        <v>447</v>
      </c>
      <c r="F105" s="101" t="s">
        <v>14</v>
      </c>
      <c r="G105" s="102" t="s">
        <v>5</v>
      </c>
      <c r="H105" s="102" t="s">
        <v>13</v>
      </c>
      <c r="I105" s="103" t="s">
        <v>0</v>
      </c>
      <c r="J105" s="104"/>
      <c r="K105" s="83"/>
      <c r="L105" s="105">
        <v>45</v>
      </c>
      <c r="M105" s="89">
        <v>60</v>
      </c>
      <c r="N105" s="89">
        <v>75</v>
      </c>
      <c r="O105" s="89">
        <v>90</v>
      </c>
      <c r="P105" s="89">
        <v>120</v>
      </c>
      <c r="Q105" s="89">
        <v>150</v>
      </c>
      <c r="R105" s="187" t="s">
        <v>218</v>
      </c>
      <c r="S105" s="106" t="s">
        <v>9</v>
      </c>
      <c r="T105" s="107" t="s">
        <v>10</v>
      </c>
      <c r="U105" s="90"/>
      <c r="V105" s="91"/>
      <c r="W105" s="91"/>
      <c r="X105" s="91"/>
      <c r="Y105" s="91"/>
      <c r="Z105" s="92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3"/>
      <c r="AL105" s="91"/>
      <c r="AM105" s="409"/>
      <c r="AN105" s="83"/>
      <c r="AO105" s="84"/>
      <c r="AP105" s="145"/>
      <c r="AQ105" s="83"/>
      <c r="AR105" s="83"/>
      <c r="AS105" s="145"/>
      <c r="AT105" s="83"/>
      <c r="AU105" s="83"/>
      <c r="AV105" s="83"/>
      <c r="AW105" s="323"/>
      <c r="AX105" s="323"/>
      <c r="BK105" s="188"/>
      <c r="CC105" s="367"/>
    </row>
    <row r="106" spans="2:81" ht="15" customHeight="1">
      <c r="B106" s="98"/>
      <c r="C106" s="108">
        <v>105</v>
      </c>
      <c r="D106" s="99" t="s">
        <v>446</v>
      </c>
      <c r="E106" s="100" t="s">
        <v>447</v>
      </c>
      <c r="F106" s="101" t="s">
        <v>14</v>
      </c>
      <c r="G106" s="102" t="s">
        <v>5</v>
      </c>
      <c r="H106" s="102" t="s">
        <v>13</v>
      </c>
      <c r="I106" s="103" t="s">
        <v>0</v>
      </c>
      <c r="J106" s="104"/>
      <c r="K106" s="83"/>
      <c r="L106" s="105">
        <v>45</v>
      </c>
      <c r="M106" s="89">
        <v>60</v>
      </c>
      <c r="N106" s="89">
        <v>75</v>
      </c>
      <c r="O106" s="89">
        <v>90</v>
      </c>
      <c r="P106" s="89">
        <v>120</v>
      </c>
      <c r="Q106" s="89">
        <v>150</v>
      </c>
      <c r="R106" s="187" t="s">
        <v>218</v>
      </c>
      <c r="S106" s="106" t="s">
        <v>9</v>
      </c>
      <c r="T106" s="107" t="s">
        <v>10</v>
      </c>
      <c r="U106" s="90"/>
      <c r="V106" s="91"/>
      <c r="W106" s="91"/>
      <c r="X106" s="91"/>
      <c r="Y106" s="91"/>
      <c r="Z106" s="92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3"/>
      <c r="AL106" s="91"/>
      <c r="AM106" s="409"/>
      <c r="AN106" s="83"/>
      <c r="AO106" s="84"/>
      <c r="AP106" s="145"/>
      <c r="AQ106" s="83"/>
      <c r="AR106" s="83"/>
      <c r="AS106" s="145"/>
      <c r="AT106" s="83"/>
      <c r="AU106" s="83"/>
      <c r="AV106" s="83"/>
      <c r="AW106" s="323"/>
      <c r="AX106" s="323"/>
      <c r="BK106" s="188"/>
      <c r="CC106" s="367"/>
    </row>
    <row r="107" spans="2:81" ht="15" customHeight="1">
      <c r="B107" s="98"/>
      <c r="C107" s="108">
        <v>106</v>
      </c>
      <c r="D107" s="99" t="s">
        <v>446</v>
      </c>
      <c r="E107" s="100" t="s">
        <v>447</v>
      </c>
      <c r="F107" s="101" t="s">
        <v>14</v>
      </c>
      <c r="G107" s="102" t="s">
        <v>5</v>
      </c>
      <c r="H107" s="102" t="s">
        <v>13</v>
      </c>
      <c r="I107" s="103" t="s">
        <v>0</v>
      </c>
      <c r="J107" s="104"/>
      <c r="K107" s="83"/>
      <c r="L107" s="105">
        <v>45</v>
      </c>
      <c r="M107" s="89">
        <v>60</v>
      </c>
      <c r="N107" s="89">
        <v>75</v>
      </c>
      <c r="O107" s="89">
        <v>90</v>
      </c>
      <c r="P107" s="89">
        <v>120</v>
      </c>
      <c r="Q107" s="89">
        <v>150</v>
      </c>
      <c r="R107" s="187" t="s">
        <v>218</v>
      </c>
      <c r="S107" s="106" t="s">
        <v>9</v>
      </c>
      <c r="T107" s="107" t="s">
        <v>10</v>
      </c>
      <c r="U107" s="90"/>
      <c r="V107" s="91"/>
      <c r="W107" s="91"/>
      <c r="X107" s="91"/>
      <c r="Y107" s="91"/>
      <c r="Z107" s="92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3"/>
      <c r="AL107" s="91"/>
      <c r="AM107" s="409"/>
      <c r="AN107" s="83"/>
      <c r="AO107" s="84"/>
      <c r="AP107" s="145"/>
      <c r="AQ107" s="83"/>
      <c r="AR107" s="83"/>
      <c r="AS107" s="145"/>
      <c r="AT107" s="83"/>
      <c r="AU107" s="83"/>
      <c r="AV107" s="83"/>
      <c r="AW107" s="323"/>
      <c r="AX107" s="323"/>
      <c r="BK107" s="188"/>
      <c r="CC107" s="367"/>
    </row>
    <row r="108" spans="2:81" ht="15" customHeight="1">
      <c r="B108" s="98"/>
      <c r="C108" s="108">
        <v>107</v>
      </c>
      <c r="D108" s="99" t="s">
        <v>446</v>
      </c>
      <c r="E108" s="100" t="s">
        <v>447</v>
      </c>
      <c r="F108" s="101" t="s">
        <v>14</v>
      </c>
      <c r="G108" s="102" t="s">
        <v>5</v>
      </c>
      <c r="H108" s="102" t="s">
        <v>13</v>
      </c>
      <c r="I108" s="103" t="s">
        <v>0</v>
      </c>
      <c r="J108" s="104"/>
      <c r="K108" s="83"/>
      <c r="L108" s="105">
        <v>45</v>
      </c>
      <c r="M108" s="89">
        <v>60</v>
      </c>
      <c r="N108" s="89">
        <v>75</v>
      </c>
      <c r="O108" s="89">
        <v>90</v>
      </c>
      <c r="P108" s="89">
        <v>120</v>
      </c>
      <c r="Q108" s="89">
        <v>150</v>
      </c>
      <c r="R108" s="187" t="s">
        <v>218</v>
      </c>
      <c r="S108" s="106" t="s">
        <v>9</v>
      </c>
      <c r="T108" s="107" t="s">
        <v>10</v>
      </c>
      <c r="U108" s="90"/>
      <c r="V108" s="91"/>
      <c r="W108" s="91"/>
      <c r="X108" s="91"/>
      <c r="Y108" s="91"/>
      <c r="Z108" s="92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3"/>
      <c r="AL108" s="91"/>
      <c r="AM108" s="409"/>
      <c r="AN108" s="83"/>
      <c r="AO108" s="84"/>
      <c r="AP108" s="145"/>
      <c r="AQ108" s="83"/>
      <c r="AR108" s="83"/>
      <c r="AS108" s="145"/>
      <c r="AT108" s="83"/>
      <c r="AU108" s="83"/>
      <c r="AV108" s="83"/>
      <c r="AW108" s="323"/>
      <c r="AX108" s="323"/>
      <c r="BK108" s="188"/>
      <c r="CC108" s="367"/>
    </row>
    <row r="109" spans="2:81" ht="15" customHeight="1">
      <c r="B109" s="98"/>
      <c r="C109" s="108">
        <v>108</v>
      </c>
      <c r="D109" s="99" t="s">
        <v>446</v>
      </c>
      <c r="E109" s="100" t="s">
        <v>447</v>
      </c>
      <c r="F109" s="101" t="s">
        <v>14</v>
      </c>
      <c r="G109" s="102" t="s">
        <v>5</v>
      </c>
      <c r="H109" s="102" t="s">
        <v>13</v>
      </c>
      <c r="I109" s="103" t="s">
        <v>0</v>
      </c>
      <c r="J109" s="104"/>
      <c r="K109" s="83"/>
      <c r="L109" s="105">
        <v>45</v>
      </c>
      <c r="M109" s="89">
        <v>60</v>
      </c>
      <c r="N109" s="89">
        <v>75</v>
      </c>
      <c r="O109" s="89">
        <v>90</v>
      </c>
      <c r="P109" s="89">
        <v>120</v>
      </c>
      <c r="Q109" s="89">
        <v>150</v>
      </c>
      <c r="R109" s="187" t="s">
        <v>218</v>
      </c>
      <c r="S109" s="106" t="s">
        <v>9</v>
      </c>
      <c r="T109" s="107" t="s">
        <v>10</v>
      </c>
      <c r="U109" s="90"/>
      <c r="V109" s="91"/>
      <c r="W109" s="91"/>
      <c r="X109" s="91"/>
      <c r="Y109" s="91"/>
      <c r="Z109" s="92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93"/>
      <c r="AL109" s="91"/>
      <c r="AM109" s="409"/>
      <c r="AN109" s="83"/>
      <c r="AO109" s="84"/>
      <c r="AP109" s="145"/>
      <c r="AQ109" s="83"/>
      <c r="AR109" s="83"/>
      <c r="AS109" s="145"/>
      <c r="AT109" s="83"/>
      <c r="AU109" s="83"/>
      <c r="AV109" s="83"/>
      <c r="AW109" s="323"/>
      <c r="AX109" s="323"/>
      <c r="BK109" s="188"/>
      <c r="CC109" s="367"/>
    </row>
    <row r="110" spans="2:81" ht="15" customHeight="1">
      <c r="B110" s="98"/>
      <c r="C110" s="108">
        <v>109</v>
      </c>
      <c r="D110" s="99" t="s">
        <v>446</v>
      </c>
      <c r="E110" s="100" t="s">
        <v>447</v>
      </c>
      <c r="F110" s="101" t="s">
        <v>14</v>
      </c>
      <c r="G110" s="102" t="s">
        <v>5</v>
      </c>
      <c r="H110" s="102" t="s">
        <v>13</v>
      </c>
      <c r="I110" s="103" t="s">
        <v>0</v>
      </c>
      <c r="J110" s="104"/>
      <c r="K110" s="83"/>
      <c r="L110" s="105">
        <v>45</v>
      </c>
      <c r="M110" s="89">
        <v>60</v>
      </c>
      <c r="N110" s="89">
        <v>75</v>
      </c>
      <c r="O110" s="89">
        <v>90</v>
      </c>
      <c r="P110" s="89">
        <v>120</v>
      </c>
      <c r="Q110" s="89">
        <v>150</v>
      </c>
      <c r="R110" s="187" t="s">
        <v>218</v>
      </c>
      <c r="S110" s="106" t="s">
        <v>9</v>
      </c>
      <c r="T110" s="107" t="s">
        <v>10</v>
      </c>
      <c r="U110" s="90"/>
      <c r="V110" s="91"/>
      <c r="W110" s="91"/>
      <c r="X110" s="91"/>
      <c r="Y110" s="91"/>
      <c r="Z110" s="92"/>
      <c r="AA110" s="91"/>
      <c r="AB110" s="91"/>
      <c r="AC110" s="91"/>
      <c r="AD110" s="91"/>
      <c r="AE110" s="91"/>
      <c r="AF110" s="91"/>
      <c r="AG110" s="91"/>
      <c r="AH110" s="91"/>
      <c r="AI110" s="91"/>
      <c r="AJ110" s="91"/>
      <c r="AK110" s="93"/>
      <c r="AL110" s="91"/>
      <c r="AM110" s="409"/>
      <c r="AN110" s="83"/>
      <c r="AO110" s="84"/>
      <c r="AP110" s="145"/>
      <c r="AQ110" s="83"/>
      <c r="AR110" s="83"/>
      <c r="AS110" s="145"/>
      <c r="AT110" s="83"/>
      <c r="AU110" s="83"/>
      <c r="AV110" s="83"/>
      <c r="AW110" s="323"/>
      <c r="AX110" s="323"/>
      <c r="BK110" s="188"/>
      <c r="CC110" s="367"/>
    </row>
    <row r="111" spans="2:81" ht="15" customHeight="1">
      <c r="B111" s="98"/>
      <c r="C111" s="108">
        <v>110</v>
      </c>
      <c r="D111" s="99" t="s">
        <v>446</v>
      </c>
      <c r="E111" s="100" t="s">
        <v>447</v>
      </c>
      <c r="F111" s="101" t="s">
        <v>14</v>
      </c>
      <c r="G111" s="102" t="s">
        <v>5</v>
      </c>
      <c r="H111" s="102" t="s">
        <v>13</v>
      </c>
      <c r="I111" s="103" t="s">
        <v>0</v>
      </c>
      <c r="J111" s="104"/>
      <c r="K111" s="83"/>
      <c r="L111" s="105">
        <v>45</v>
      </c>
      <c r="M111" s="89">
        <v>60</v>
      </c>
      <c r="N111" s="89">
        <v>75</v>
      </c>
      <c r="O111" s="89">
        <v>90</v>
      </c>
      <c r="P111" s="89">
        <v>120</v>
      </c>
      <c r="Q111" s="89">
        <v>150</v>
      </c>
      <c r="R111" s="187" t="s">
        <v>218</v>
      </c>
      <c r="S111" s="106" t="s">
        <v>9</v>
      </c>
      <c r="T111" s="107" t="s">
        <v>10</v>
      </c>
      <c r="U111" s="90"/>
      <c r="V111" s="91"/>
      <c r="W111" s="91"/>
      <c r="X111" s="91"/>
      <c r="Y111" s="91"/>
      <c r="Z111" s="92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3"/>
      <c r="AL111" s="91"/>
      <c r="AM111" s="409"/>
      <c r="AN111" s="83"/>
      <c r="AO111" s="84"/>
      <c r="AP111" s="145"/>
      <c r="AQ111" s="83"/>
      <c r="AR111" s="83"/>
      <c r="AS111" s="145"/>
      <c r="AT111" s="83"/>
      <c r="AU111" s="83"/>
      <c r="AV111" s="83"/>
      <c r="AW111" s="323"/>
      <c r="AX111" s="323"/>
      <c r="BK111" s="188"/>
      <c r="CC111" s="367"/>
    </row>
    <row r="112" spans="2:81" ht="15" customHeight="1">
      <c r="B112" s="98"/>
      <c r="C112" s="108">
        <v>111</v>
      </c>
      <c r="D112" s="99" t="s">
        <v>446</v>
      </c>
      <c r="E112" s="100" t="s">
        <v>447</v>
      </c>
      <c r="F112" s="101" t="s">
        <v>14</v>
      </c>
      <c r="G112" s="102" t="s">
        <v>5</v>
      </c>
      <c r="H112" s="102" t="s">
        <v>13</v>
      </c>
      <c r="I112" s="103" t="s">
        <v>0</v>
      </c>
      <c r="J112" s="104"/>
      <c r="K112" s="83"/>
      <c r="L112" s="105">
        <v>45</v>
      </c>
      <c r="M112" s="89">
        <v>60</v>
      </c>
      <c r="N112" s="89">
        <v>75</v>
      </c>
      <c r="O112" s="89">
        <v>90</v>
      </c>
      <c r="P112" s="89">
        <v>120</v>
      </c>
      <c r="Q112" s="89">
        <v>150</v>
      </c>
      <c r="R112" s="187" t="s">
        <v>218</v>
      </c>
      <c r="S112" s="106" t="s">
        <v>9</v>
      </c>
      <c r="T112" s="107" t="s">
        <v>10</v>
      </c>
      <c r="U112" s="90"/>
      <c r="V112" s="91"/>
      <c r="W112" s="91"/>
      <c r="X112" s="91"/>
      <c r="Y112" s="91"/>
      <c r="Z112" s="92"/>
      <c r="AA112" s="91"/>
      <c r="AB112" s="91"/>
      <c r="AC112" s="91"/>
      <c r="AD112" s="91"/>
      <c r="AE112" s="91"/>
      <c r="AF112" s="91"/>
      <c r="AG112" s="91"/>
      <c r="AH112" s="91"/>
      <c r="AI112" s="91"/>
      <c r="AJ112" s="91"/>
      <c r="AK112" s="93"/>
      <c r="AL112" s="91"/>
      <c r="AM112" s="409"/>
      <c r="AN112" s="83"/>
      <c r="AO112" s="84"/>
      <c r="AP112" s="145"/>
      <c r="AQ112" s="83"/>
      <c r="AR112" s="83"/>
      <c r="AS112" s="145"/>
      <c r="AT112" s="83"/>
      <c r="AU112" s="83"/>
      <c r="AV112" s="83"/>
      <c r="AW112" s="323"/>
      <c r="AX112" s="323"/>
      <c r="BK112" s="188"/>
      <c r="CC112" s="367"/>
    </row>
    <row r="113" spans="2:81" ht="15" customHeight="1">
      <c r="B113" s="98"/>
      <c r="C113" s="108">
        <v>112</v>
      </c>
      <c r="D113" s="99" t="s">
        <v>446</v>
      </c>
      <c r="E113" s="100" t="s">
        <v>447</v>
      </c>
      <c r="F113" s="101" t="s">
        <v>14</v>
      </c>
      <c r="G113" s="102" t="s">
        <v>5</v>
      </c>
      <c r="H113" s="102" t="s">
        <v>13</v>
      </c>
      <c r="I113" s="103" t="s">
        <v>0</v>
      </c>
      <c r="J113" s="104"/>
      <c r="K113" s="83"/>
      <c r="L113" s="105">
        <v>45</v>
      </c>
      <c r="M113" s="89">
        <v>60</v>
      </c>
      <c r="N113" s="89">
        <v>75</v>
      </c>
      <c r="O113" s="89">
        <v>90</v>
      </c>
      <c r="P113" s="89">
        <v>120</v>
      </c>
      <c r="Q113" s="89">
        <v>150</v>
      </c>
      <c r="R113" s="187" t="s">
        <v>218</v>
      </c>
      <c r="S113" s="106" t="s">
        <v>9</v>
      </c>
      <c r="T113" s="107" t="s">
        <v>10</v>
      </c>
      <c r="U113" s="90"/>
      <c r="V113" s="91"/>
      <c r="W113" s="91"/>
      <c r="X113" s="91"/>
      <c r="Y113" s="91"/>
      <c r="Z113" s="92"/>
      <c r="AA113" s="91"/>
      <c r="AB113" s="91"/>
      <c r="AC113" s="91"/>
      <c r="AD113" s="91"/>
      <c r="AE113" s="91"/>
      <c r="AF113" s="91"/>
      <c r="AG113" s="91"/>
      <c r="AH113" s="91"/>
      <c r="AI113" s="91"/>
      <c r="AJ113" s="91"/>
      <c r="AK113" s="93"/>
      <c r="AL113" s="91"/>
      <c r="AM113" s="409"/>
      <c r="AN113" s="83"/>
      <c r="AO113" s="84"/>
      <c r="AP113" s="145"/>
      <c r="AQ113" s="83"/>
      <c r="AR113" s="83"/>
      <c r="AS113" s="145"/>
      <c r="AT113" s="83"/>
      <c r="AU113" s="83"/>
      <c r="AV113" s="83"/>
      <c r="AW113" s="323"/>
      <c r="AX113" s="323"/>
      <c r="BK113" s="188"/>
      <c r="CC113" s="367"/>
    </row>
    <row r="114" spans="2:81" ht="15" customHeight="1">
      <c r="B114" s="98"/>
      <c r="C114" s="108">
        <v>113</v>
      </c>
      <c r="D114" s="99" t="s">
        <v>446</v>
      </c>
      <c r="E114" s="100" t="s">
        <v>447</v>
      </c>
      <c r="F114" s="101" t="s">
        <v>14</v>
      </c>
      <c r="G114" s="102" t="s">
        <v>5</v>
      </c>
      <c r="H114" s="102" t="s">
        <v>13</v>
      </c>
      <c r="I114" s="103" t="s">
        <v>0</v>
      </c>
      <c r="J114" s="104"/>
      <c r="K114" s="83"/>
      <c r="L114" s="105">
        <v>45</v>
      </c>
      <c r="M114" s="89">
        <v>60</v>
      </c>
      <c r="N114" s="89">
        <v>75</v>
      </c>
      <c r="O114" s="89">
        <v>90</v>
      </c>
      <c r="P114" s="89">
        <v>120</v>
      </c>
      <c r="Q114" s="89">
        <v>150</v>
      </c>
      <c r="R114" s="187" t="s">
        <v>218</v>
      </c>
      <c r="S114" s="106" t="s">
        <v>9</v>
      </c>
      <c r="T114" s="107" t="s">
        <v>10</v>
      </c>
      <c r="U114" s="90"/>
      <c r="V114" s="91"/>
      <c r="W114" s="91"/>
      <c r="X114" s="91"/>
      <c r="Y114" s="91"/>
      <c r="Z114" s="92"/>
      <c r="AA114" s="91"/>
      <c r="AB114" s="91"/>
      <c r="AC114" s="91"/>
      <c r="AD114" s="91"/>
      <c r="AE114" s="91"/>
      <c r="AF114" s="91"/>
      <c r="AG114" s="91"/>
      <c r="AH114" s="91"/>
      <c r="AI114" s="91"/>
      <c r="AJ114" s="91"/>
      <c r="AK114" s="93"/>
      <c r="AL114" s="91"/>
      <c r="AM114" s="409"/>
      <c r="AN114" s="83"/>
      <c r="AO114" s="84"/>
      <c r="AP114" s="145"/>
      <c r="AQ114" s="83"/>
      <c r="AR114" s="83"/>
      <c r="AS114" s="145"/>
      <c r="AT114" s="83"/>
      <c r="AU114" s="83"/>
      <c r="AV114" s="83"/>
      <c r="AW114" s="323"/>
      <c r="AX114" s="323"/>
      <c r="BK114" s="188"/>
      <c r="CC114" s="367"/>
    </row>
    <row r="115" spans="2:81" ht="15" customHeight="1">
      <c r="B115" s="98"/>
      <c r="C115" s="108">
        <v>114</v>
      </c>
      <c r="D115" s="99" t="s">
        <v>446</v>
      </c>
      <c r="E115" s="100" t="s">
        <v>447</v>
      </c>
      <c r="F115" s="101" t="s">
        <v>14</v>
      </c>
      <c r="G115" s="102" t="s">
        <v>5</v>
      </c>
      <c r="H115" s="102" t="s">
        <v>13</v>
      </c>
      <c r="I115" s="103" t="s">
        <v>0</v>
      </c>
      <c r="J115" s="104"/>
      <c r="K115" s="83"/>
      <c r="L115" s="105">
        <v>45</v>
      </c>
      <c r="M115" s="89">
        <v>60</v>
      </c>
      <c r="N115" s="89">
        <v>75</v>
      </c>
      <c r="O115" s="89">
        <v>90</v>
      </c>
      <c r="P115" s="89">
        <v>120</v>
      </c>
      <c r="Q115" s="89">
        <v>150</v>
      </c>
      <c r="R115" s="187" t="s">
        <v>218</v>
      </c>
      <c r="S115" s="106" t="s">
        <v>9</v>
      </c>
      <c r="T115" s="107" t="s">
        <v>10</v>
      </c>
      <c r="U115" s="90"/>
      <c r="V115" s="91"/>
      <c r="W115" s="91"/>
      <c r="X115" s="91"/>
      <c r="Y115" s="91"/>
      <c r="Z115" s="92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3"/>
      <c r="AL115" s="91"/>
      <c r="AM115" s="409"/>
      <c r="AN115" s="83"/>
      <c r="AO115" s="84"/>
      <c r="AP115" s="145"/>
      <c r="AQ115" s="83"/>
      <c r="AR115" s="83"/>
      <c r="AS115" s="145"/>
      <c r="AT115" s="83"/>
      <c r="AU115" s="83"/>
      <c r="AV115" s="83"/>
      <c r="AW115" s="323"/>
      <c r="AX115" s="323"/>
      <c r="BK115" s="188"/>
      <c r="CC115" s="367"/>
    </row>
    <row r="116" spans="2:81" ht="15" customHeight="1">
      <c r="B116" s="98"/>
      <c r="C116" s="108">
        <v>115</v>
      </c>
      <c r="D116" s="99" t="s">
        <v>446</v>
      </c>
      <c r="E116" s="100" t="s">
        <v>447</v>
      </c>
      <c r="F116" s="101" t="s">
        <v>14</v>
      </c>
      <c r="G116" s="102" t="s">
        <v>5</v>
      </c>
      <c r="H116" s="102" t="s">
        <v>13</v>
      </c>
      <c r="I116" s="103" t="s">
        <v>0</v>
      </c>
      <c r="J116" s="104"/>
      <c r="K116" s="83"/>
      <c r="L116" s="105">
        <v>45</v>
      </c>
      <c r="M116" s="89">
        <v>60</v>
      </c>
      <c r="N116" s="89">
        <v>75</v>
      </c>
      <c r="O116" s="89">
        <v>90</v>
      </c>
      <c r="P116" s="89">
        <v>120</v>
      </c>
      <c r="Q116" s="89">
        <v>150</v>
      </c>
      <c r="R116" s="187" t="s">
        <v>218</v>
      </c>
      <c r="S116" s="106" t="s">
        <v>9</v>
      </c>
      <c r="T116" s="107" t="s">
        <v>10</v>
      </c>
      <c r="U116" s="90"/>
      <c r="V116" s="91"/>
      <c r="W116" s="91"/>
      <c r="X116" s="91"/>
      <c r="Y116" s="91"/>
      <c r="Z116" s="92"/>
      <c r="AA116" s="91"/>
      <c r="AB116" s="91"/>
      <c r="AC116" s="91"/>
      <c r="AD116" s="91"/>
      <c r="AE116" s="91"/>
      <c r="AF116" s="91"/>
      <c r="AG116" s="91"/>
      <c r="AH116" s="91"/>
      <c r="AI116" s="91"/>
      <c r="AJ116" s="91"/>
      <c r="AK116" s="93"/>
      <c r="AL116" s="91"/>
      <c r="AM116" s="409"/>
      <c r="AN116" s="83"/>
      <c r="AO116" s="84"/>
      <c r="AP116" s="145"/>
      <c r="AQ116" s="83"/>
      <c r="AR116" s="83"/>
      <c r="AS116" s="145"/>
      <c r="AT116" s="83"/>
      <c r="AU116" s="83"/>
      <c r="AV116" s="83"/>
      <c r="AW116" s="323"/>
      <c r="AX116" s="323"/>
      <c r="BK116" s="188"/>
      <c r="CC116" s="367"/>
    </row>
    <row r="117" spans="2:81" ht="15" customHeight="1">
      <c r="B117" s="98"/>
      <c r="C117" s="108">
        <v>116</v>
      </c>
      <c r="D117" s="99" t="s">
        <v>446</v>
      </c>
      <c r="E117" s="100" t="s">
        <v>447</v>
      </c>
      <c r="F117" s="101" t="s">
        <v>14</v>
      </c>
      <c r="G117" s="102" t="s">
        <v>5</v>
      </c>
      <c r="H117" s="102" t="s">
        <v>13</v>
      </c>
      <c r="I117" s="103" t="s">
        <v>0</v>
      </c>
      <c r="J117" s="104"/>
      <c r="K117" s="83"/>
      <c r="L117" s="105">
        <v>45</v>
      </c>
      <c r="M117" s="89">
        <v>60</v>
      </c>
      <c r="N117" s="89">
        <v>75</v>
      </c>
      <c r="O117" s="89">
        <v>90</v>
      </c>
      <c r="P117" s="89">
        <v>120</v>
      </c>
      <c r="Q117" s="89">
        <v>150</v>
      </c>
      <c r="R117" s="187" t="s">
        <v>218</v>
      </c>
      <c r="S117" s="106" t="s">
        <v>9</v>
      </c>
      <c r="T117" s="107" t="s">
        <v>10</v>
      </c>
      <c r="U117" s="90"/>
      <c r="V117" s="91"/>
      <c r="W117" s="91"/>
      <c r="X117" s="91"/>
      <c r="Y117" s="91"/>
      <c r="Z117" s="92"/>
      <c r="AA117" s="91"/>
      <c r="AB117" s="91"/>
      <c r="AC117" s="91"/>
      <c r="AD117" s="91"/>
      <c r="AE117" s="91"/>
      <c r="AF117" s="91"/>
      <c r="AG117" s="91"/>
      <c r="AH117" s="91"/>
      <c r="AI117" s="91"/>
      <c r="AJ117" s="91"/>
      <c r="AK117" s="93"/>
      <c r="AL117" s="91"/>
      <c r="AM117" s="409"/>
      <c r="AN117" s="83"/>
      <c r="AO117" s="84"/>
      <c r="AP117" s="145"/>
      <c r="AQ117" s="83"/>
      <c r="AR117" s="83"/>
      <c r="AS117" s="145"/>
      <c r="AT117" s="83"/>
      <c r="AU117" s="83"/>
      <c r="AV117" s="83"/>
      <c r="AW117" s="323"/>
      <c r="AX117" s="323"/>
      <c r="BK117" s="188"/>
      <c r="CC117" s="367"/>
    </row>
    <row r="118" spans="2:81" ht="15" customHeight="1">
      <c r="B118" s="98"/>
      <c r="C118" s="108">
        <v>117</v>
      </c>
      <c r="D118" s="99" t="s">
        <v>446</v>
      </c>
      <c r="E118" s="100" t="s">
        <v>447</v>
      </c>
      <c r="F118" s="101" t="s">
        <v>14</v>
      </c>
      <c r="G118" s="102" t="s">
        <v>5</v>
      </c>
      <c r="H118" s="102" t="s">
        <v>13</v>
      </c>
      <c r="I118" s="103" t="s">
        <v>0</v>
      </c>
      <c r="J118" s="104"/>
      <c r="K118" s="83"/>
      <c r="L118" s="105">
        <v>45</v>
      </c>
      <c r="M118" s="89">
        <v>60</v>
      </c>
      <c r="N118" s="89">
        <v>75</v>
      </c>
      <c r="O118" s="89">
        <v>90</v>
      </c>
      <c r="P118" s="89">
        <v>120</v>
      </c>
      <c r="Q118" s="89">
        <v>150</v>
      </c>
      <c r="R118" s="187" t="s">
        <v>218</v>
      </c>
      <c r="S118" s="106" t="s">
        <v>9</v>
      </c>
      <c r="T118" s="107" t="s">
        <v>10</v>
      </c>
      <c r="U118" s="90"/>
      <c r="V118" s="91"/>
      <c r="W118" s="91"/>
      <c r="X118" s="91"/>
      <c r="Y118" s="91"/>
      <c r="Z118" s="92"/>
      <c r="AA118" s="91"/>
      <c r="AB118" s="91"/>
      <c r="AC118" s="91"/>
      <c r="AD118" s="91"/>
      <c r="AE118" s="91"/>
      <c r="AF118" s="91"/>
      <c r="AG118" s="91"/>
      <c r="AH118" s="91"/>
      <c r="AI118" s="91"/>
      <c r="AJ118" s="91"/>
      <c r="AK118" s="93"/>
      <c r="AL118" s="91"/>
      <c r="AM118" s="409"/>
      <c r="AN118" s="83"/>
      <c r="AO118" s="84"/>
      <c r="AP118" s="145"/>
      <c r="AQ118" s="83"/>
      <c r="AR118" s="83"/>
      <c r="AS118" s="145"/>
      <c r="AT118" s="83"/>
      <c r="AU118" s="83"/>
      <c r="AV118" s="83"/>
      <c r="AW118" s="323"/>
      <c r="AX118" s="323"/>
      <c r="BK118" s="188"/>
      <c r="CC118" s="367"/>
    </row>
    <row r="119" spans="2:81" ht="15" customHeight="1">
      <c r="B119" s="98"/>
      <c r="C119" s="108">
        <v>118</v>
      </c>
      <c r="D119" s="99" t="s">
        <v>446</v>
      </c>
      <c r="E119" s="100" t="s">
        <v>447</v>
      </c>
      <c r="F119" s="101" t="s">
        <v>14</v>
      </c>
      <c r="G119" s="102" t="s">
        <v>5</v>
      </c>
      <c r="H119" s="102" t="s">
        <v>13</v>
      </c>
      <c r="I119" s="103" t="s">
        <v>0</v>
      </c>
      <c r="J119" s="104"/>
      <c r="K119" s="83"/>
      <c r="L119" s="105">
        <v>45</v>
      </c>
      <c r="M119" s="89">
        <v>60</v>
      </c>
      <c r="N119" s="89">
        <v>75</v>
      </c>
      <c r="O119" s="89">
        <v>90</v>
      </c>
      <c r="P119" s="89">
        <v>120</v>
      </c>
      <c r="Q119" s="89">
        <v>150</v>
      </c>
      <c r="R119" s="187" t="s">
        <v>218</v>
      </c>
      <c r="S119" s="106" t="s">
        <v>9</v>
      </c>
      <c r="T119" s="107" t="s">
        <v>10</v>
      </c>
      <c r="U119" s="90"/>
      <c r="V119" s="91"/>
      <c r="W119" s="91"/>
      <c r="X119" s="91"/>
      <c r="Y119" s="91"/>
      <c r="Z119" s="92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93"/>
      <c r="AL119" s="91"/>
      <c r="AM119" s="409"/>
      <c r="AN119" s="83"/>
      <c r="AO119" s="84"/>
      <c r="AP119" s="145"/>
      <c r="AQ119" s="83"/>
      <c r="AR119" s="83"/>
      <c r="AS119" s="145"/>
      <c r="AT119" s="83"/>
      <c r="AU119" s="83"/>
      <c r="AV119" s="83"/>
      <c r="AW119" s="323"/>
      <c r="AX119" s="323"/>
      <c r="BK119" s="188"/>
      <c r="CC119" s="367"/>
    </row>
    <row r="120" spans="2:81" ht="15" customHeight="1">
      <c r="B120" s="98"/>
      <c r="C120" s="108">
        <v>119</v>
      </c>
      <c r="D120" s="99" t="s">
        <v>446</v>
      </c>
      <c r="E120" s="100" t="s">
        <v>447</v>
      </c>
      <c r="F120" s="101" t="s">
        <v>14</v>
      </c>
      <c r="G120" s="102" t="s">
        <v>5</v>
      </c>
      <c r="H120" s="102" t="s">
        <v>13</v>
      </c>
      <c r="I120" s="103" t="s">
        <v>0</v>
      </c>
      <c r="J120" s="104"/>
      <c r="K120" s="83"/>
      <c r="L120" s="105">
        <v>45</v>
      </c>
      <c r="M120" s="89">
        <v>60</v>
      </c>
      <c r="N120" s="89">
        <v>75</v>
      </c>
      <c r="O120" s="89">
        <v>90</v>
      </c>
      <c r="P120" s="89">
        <v>120</v>
      </c>
      <c r="Q120" s="89">
        <v>150</v>
      </c>
      <c r="R120" s="187" t="s">
        <v>218</v>
      </c>
      <c r="S120" s="106" t="s">
        <v>9</v>
      </c>
      <c r="T120" s="107" t="s">
        <v>10</v>
      </c>
      <c r="U120" s="90"/>
      <c r="V120" s="91"/>
      <c r="W120" s="91"/>
      <c r="X120" s="91"/>
      <c r="Y120" s="91"/>
      <c r="Z120" s="92"/>
      <c r="AA120" s="91"/>
      <c r="AB120" s="91"/>
      <c r="AC120" s="91"/>
      <c r="AD120" s="91"/>
      <c r="AE120" s="91"/>
      <c r="AF120" s="91"/>
      <c r="AG120" s="91"/>
      <c r="AH120" s="91"/>
      <c r="AI120" s="91"/>
      <c r="AJ120" s="91"/>
      <c r="AK120" s="93"/>
      <c r="AL120" s="91"/>
      <c r="AM120" s="409"/>
      <c r="AN120" s="83"/>
      <c r="AO120" s="84"/>
      <c r="AP120" s="145"/>
      <c r="AQ120" s="83"/>
      <c r="AR120" s="83"/>
      <c r="AS120" s="145"/>
      <c r="AT120" s="83"/>
      <c r="AU120" s="83"/>
      <c r="AV120" s="83"/>
      <c r="AW120" s="323"/>
      <c r="AX120" s="323"/>
      <c r="BK120" s="188"/>
      <c r="CC120" s="367"/>
    </row>
    <row r="121" spans="2:81" ht="15" customHeight="1">
      <c r="B121" s="98"/>
      <c r="C121" s="108">
        <v>120</v>
      </c>
      <c r="D121" s="99" t="s">
        <v>446</v>
      </c>
      <c r="E121" s="100" t="s">
        <v>447</v>
      </c>
      <c r="F121" s="101" t="s">
        <v>14</v>
      </c>
      <c r="G121" s="102" t="s">
        <v>5</v>
      </c>
      <c r="H121" s="102" t="s">
        <v>13</v>
      </c>
      <c r="I121" s="103" t="s">
        <v>0</v>
      </c>
      <c r="J121" s="104"/>
      <c r="K121" s="83"/>
      <c r="L121" s="105">
        <v>45</v>
      </c>
      <c r="M121" s="89">
        <v>60</v>
      </c>
      <c r="N121" s="89">
        <v>75</v>
      </c>
      <c r="O121" s="89">
        <v>90</v>
      </c>
      <c r="P121" s="89">
        <v>120</v>
      </c>
      <c r="Q121" s="89">
        <v>150</v>
      </c>
      <c r="R121" s="187" t="s">
        <v>218</v>
      </c>
      <c r="S121" s="106" t="s">
        <v>9</v>
      </c>
      <c r="T121" s="107" t="s">
        <v>10</v>
      </c>
      <c r="U121" s="90"/>
      <c r="V121" s="91"/>
      <c r="W121" s="91"/>
      <c r="X121" s="91"/>
      <c r="Y121" s="91"/>
      <c r="Z121" s="92"/>
      <c r="AA121" s="91"/>
      <c r="AB121" s="91"/>
      <c r="AC121" s="91"/>
      <c r="AD121" s="91"/>
      <c r="AE121" s="91"/>
      <c r="AF121" s="91"/>
      <c r="AG121" s="91"/>
      <c r="AH121" s="91"/>
      <c r="AI121" s="91"/>
      <c r="AJ121" s="91"/>
      <c r="AK121" s="93"/>
      <c r="AL121" s="91"/>
      <c r="AM121" s="409"/>
      <c r="AN121" s="83"/>
      <c r="AO121" s="84"/>
      <c r="AP121" s="145"/>
      <c r="AQ121" s="83"/>
      <c r="AR121" s="83"/>
      <c r="AS121" s="145"/>
      <c r="AT121" s="83"/>
      <c r="AU121" s="83"/>
      <c r="AV121" s="83"/>
      <c r="AW121" s="323"/>
      <c r="AX121" s="323"/>
      <c r="BK121" s="188"/>
      <c r="CC121" s="367"/>
    </row>
    <row r="122" spans="2:81" ht="15" customHeight="1">
      <c r="B122" s="98"/>
      <c r="C122" s="108">
        <v>121</v>
      </c>
      <c r="D122" s="99" t="s">
        <v>446</v>
      </c>
      <c r="E122" s="100" t="s">
        <v>447</v>
      </c>
      <c r="F122" s="101" t="s">
        <v>14</v>
      </c>
      <c r="G122" s="102" t="s">
        <v>5</v>
      </c>
      <c r="H122" s="102" t="s">
        <v>13</v>
      </c>
      <c r="I122" s="103" t="s">
        <v>0</v>
      </c>
      <c r="J122" s="104"/>
      <c r="K122" s="83"/>
      <c r="L122" s="105">
        <v>45</v>
      </c>
      <c r="M122" s="89">
        <v>60</v>
      </c>
      <c r="N122" s="89">
        <v>75</v>
      </c>
      <c r="O122" s="89">
        <v>90</v>
      </c>
      <c r="P122" s="89">
        <v>120</v>
      </c>
      <c r="Q122" s="89">
        <v>150</v>
      </c>
      <c r="R122" s="187" t="s">
        <v>218</v>
      </c>
      <c r="S122" s="106" t="s">
        <v>9</v>
      </c>
      <c r="T122" s="107" t="s">
        <v>10</v>
      </c>
      <c r="U122" s="90"/>
      <c r="V122" s="91"/>
      <c r="W122" s="91"/>
      <c r="X122" s="91"/>
      <c r="Y122" s="91"/>
      <c r="Z122" s="92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93"/>
      <c r="AL122" s="91"/>
      <c r="AM122" s="409"/>
      <c r="AN122" s="83"/>
      <c r="AO122" s="84"/>
      <c r="AP122" s="145"/>
      <c r="AQ122" s="83"/>
      <c r="AR122" s="83"/>
      <c r="AS122" s="145"/>
      <c r="AT122" s="83"/>
      <c r="AU122" s="83"/>
      <c r="AV122" s="83"/>
      <c r="AW122" s="323"/>
      <c r="AX122" s="323"/>
      <c r="BK122" s="188"/>
      <c r="CC122" s="367"/>
    </row>
    <row r="123" spans="2:81" ht="15" customHeight="1">
      <c r="B123" s="98"/>
      <c r="C123" s="108">
        <v>122</v>
      </c>
      <c r="D123" s="99" t="s">
        <v>446</v>
      </c>
      <c r="E123" s="100" t="s">
        <v>447</v>
      </c>
      <c r="F123" s="101" t="s">
        <v>14</v>
      </c>
      <c r="G123" s="102" t="s">
        <v>5</v>
      </c>
      <c r="H123" s="102" t="s">
        <v>13</v>
      </c>
      <c r="I123" s="103" t="s">
        <v>0</v>
      </c>
      <c r="J123" s="104"/>
      <c r="K123" s="83"/>
      <c r="L123" s="105">
        <v>45</v>
      </c>
      <c r="M123" s="89">
        <v>60</v>
      </c>
      <c r="N123" s="89">
        <v>75</v>
      </c>
      <c r="O123" s="89">
        <v>90</v>
      </c>
      <c r="P123" s="89">
        <v>120</v>
      </c>
      <c r="Q123" s="89">
        <v>150</v>
      </c>
      <c r="R123" s="187" t="s">
        <v>218</v>
      </c>
      <c r="S123" s="106" t="s">
        <v>9</v>
      </c>
      <c r="T123" s="107" t="s">
        <v>10</v>
      </c>
      <c r="U123" s="90"/>
      <c r="V123" s="91"/>
      <c r="W123" s="91"/>
      <c r="X123" s="91"/>
      <c r="Y123" s="91"/>
      <c r="Z123" s="92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93"/>
      <c r="AL123" s="91"/>
      <c r="AM123" s="409"/>
      <c r="AN123" s="83"/>
      <c r="AO123" s="84"/>
      <c r="AP123" s="145"/>
      <c r="AQ123" s="83"/>
      <c r="AR123" s="83"/>
      <c r="AS123" s="145"/>
      <c r="AT123" s="83"/>
      <c r="AU123" s="83"/>
      <c r="AV123" s="83"/>
      <c r="AW123" s="323"/>
      <c r="AX123" s="323"/>
      <c r="BK123" s="188"/>
      <c r="CC123" s="367"/>
    </row>
    <row r="124" spans="2:81" ht="15" customHeight="1">
      <c r="B124" s="98"/>
      <c r="C124" s="108">
        <v>123</v>
      </c>
      <c r="D124" s="99" t="s">
        <v>446</v>
      </c>
      <c r="E124" s="100" t="s">
        <v>447</v>
      </c>
      <c r="F124" s="101" t="s">
        <v>14</v>
      </c>
      <c r="G124" s="102" t="s">
        <v>5</v>
      </c>
      <c r="H124" s="102" t="s">
        <v>13</v>
      </c>
      <c r="I124" s="103" t="s">
        <v>0</v>
      </c>
      <c r="J124" s="104"/>
      <c r="K124" s="83"/>
      <c r="L124" s="105">
        <v>45</v>
      </c>
      <c r="M124" s="89">
        <v>60</v>
      </c>
      <c r="N124" s="89">
        <v>75</v>
      </c>
      <c r="O124" s="89">
        <v>90</v>
      </c>
      <c r="P124" s="89">
        <v>120</v>
      </c>
      <c r="Q124" s="89">
        <v>150</v>
      </c>
      <c r="R124" s="187" t="s">
        <v>218</v>
      </c>
      <c r="S124" s="106" t="s">
        <v>9</v>
      </c>
      <c r="T124" s="107" t="s">
        <v>10</v>
      </c>
      <c r="U124" s="90"/>
      <c r="V124" s="91"/>
      <c r="W124" s="91"/>
      <c r="X124" s="91"/>
      <c r="Y124" s="91"/>
      <c r="Z124" s="92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93"/>
      <c r="AL124" s="91"/>
      <c r="AM124" s="409"/>
      <c r="AN124" s="83"/>
      <c r="AO124" s="84"/>
      <c r="AP124" s="145"/>
      <c r="AQ124" s="83"/>
      <c r="AR124" s="83"/>
      <c r="AS124" s="145"/>
      <c r="AT124" s="83"/>
      <c r="AU124" s="83"/>
      <c r="AV124" s="83"/>
      <c r="AW124" s="323"/>
      <c r="AX124" s="323"/>
      <c r="BK124" s="188"/>
      <c r="CC124" s="367"/>
    </row>
    <row r="125" spans="2:81" ht="15" customHeight="1">
      <c r="B125" s="98"/>
      <c r="C125" s="108">
        <v>124</v>
      </c>
      <c r="D125" s="99" t="s">
        <v>446</v>
      </c>
      <c r="E125" s="100" t="s">
        <v>447</v>
      </c>
      <c r="F125" s="101" t="s">
        <v>14</v>
      </c>
      <c r="G125" s="102" t="s">
        <v>5</v>
      </c>
      <c r="H125" s="102" t="s">
        <v>13</v>
      </c>
      <c r="I125" s="103" t="s">
        <v>0</v>
      </c>
      <c r="J125" s="104"/>
      <c r="K125" s="83"/>
      <c r="L125" s="105">
        <v>45</v>
      </c>
      <c r="M125" s="89">
        <v>60</v>
      </c>
      <c r="N125" s="89">
        <v>75</v>
      </c>
      <c r="O125" s="89">
        <v>90</v>
      </c>
      <c r="P125" s="89">
        <v>120</v>
      </c>
      <c r="Q125" s="89">
        <v>150</v>
      </c>
      <c r="R125" s="187" t="s">
        <v>218</v>
      </c>
      <c r="S125" s="106" t="s">
        <v>9</v>
      </c>
      <c r="T125" s="107" t="s">
        <v>10</v>
      </c>
      <c r="U125" s="90"/>
      <c r="V125" s="91"/>
      <c r="W125" s="91"/>
      <c r="X125" s="91"/>
      <c r="Y125" s="91"/>
      <c r="Z125" s="92"/>
      <c r="AA125" s="91"/>
      <c r="AB125" s="91"/>
      <c r="AC125" s="91"/>
      <c r="AD125" s="91"/>
      <c r="AE125" s="91"/>
      <c r="AF125" s="91"/>
      <c r="AG125" s="91"/>
      <c r="AH125" s="91"/>
      <c r="AI125" s="91"/>
      <c r="AJ125" s="91"/>
      <c r="AK125" s="93"/>
      <c r="AL125" s="91"/>
      <c r="AM125" s="409"/>
      <c r="AN125" s="83"/>
      <c r="AO125" s="84"/>
      <c r="AP125" s="145"/>
      <c r="AQ125" s="83"/>
      <c r="AR125" s="83"/>
      <c r="AS125" s="145"/>
      <c r="AT125" s="83"/>
      <c r="AU125" s="83"/>
      <c r="AV125" s="83"/>
      <c r="AW125" s="323"/>
      <c r="AX125" s="323"/>
      <c r="BK125" s="188"/>
      <c r="CC125" s="367"/>
    </row>
    <row r="126" spans="2:81" ht="15" customHeight="1">
      <c r="B126" s="98"/>
      <c r="C126" s="108">
        <v>125</v>
      </c>
      <c r="D126" s="99" t="s">
        <v>446</v>
      </c>
      <c r="E126" s="100" t="s">
        <v>447</v>
      </c>
      <c r="F126" s="101" t="s">
        <v>14</v>
      </c>
      <c r="G126" s="102" t="s">
        <v>5</v>
      </c>
      <c r="H126" s="102" t="s">
        <v>13</v>
      </c>
      <c r="I126" s="103" t="s">
        <v>0</v>
      </c>
      <c r="J126" s="104"/>
      <c r="K126" s="83"/>
      <c r="L126" s="105">
        <v>45</v>
      </c>
      <c r="M126" s="89">
        <v>60</v>
      </c>
      <c r="N126" s="89">
        <v>75</v>
      </c>
      <c r="O126" s="89">
        <v>90</v>
      </c>
      <c r="P126" s="89">
        <v>120</v>
      </c>
      <c r="Q126" s="89">
        <v>150</v>
      </c>
      <c r="R126" s="187" t="s">
        <v>218</v>
      </c>
      <c r="S126" s="106" t="s">
        <v>9</v>
      </c>
      <c r="T126" s="107" t="s">
        <v>10</v>
      </c>
      <c r="U126" s="90"/>
      <c r="V126" s="91"/>
      <c r="W126" s="91"/>
      <c r="X126" s="91"/>
      <c r="Y126" s="91"/>
      <c r="Z126" s="92"/>
      <c r="AA126" s="91"/>
      <c r="AB126" s="91"/>
      <c r="AC126" s="91"/>
      <c r="AD126" s="91"/>
      <c r="AE126" s="91"/>
      <c r="AF126" s="91"/>
      <c r="AG126" s="91"/>
      <c r="AH126" s="91"/>
      <c r="AI126" s="91"/>
      <c r="AJ126" s="91"/>
      <c r="AK126" s="93"/>
      <c r="AL126" s="91"/>
      <c r="AM126" s="409"/>
      <c r="AN126" s="83"/>
      <c r="AO126" s="84"/>
      <c r="AP126" s="145"/>
      <c r="AQ126" s="83"/>
      <c r="AR126" s="83"/>
      <c r="AS126" s="145"/>
      <c r="AT126" s="83"/>
      <c r="AU126" s="83"/>
      <c r="AV126" s="83"/>
      <c r="AW126" s="323"/>
      <c r="AX126" s="323"/>
      <c r="BK126" s="188"/>
      <c r="CC126" s="367"/>
    </row>
    <row r="127" spans="2:81" ht="15" customHeight="1">
      <c r="B127" s="98"/>
      <c r="C127" s="108">
        <v>126</v>
      </c>
      <c r="D127" s="99" t="s">
        <v>446</v>
      </c>
      <c r="E127" s="100" t="s">
        <v>447</v>
      </c>
      <c r="F127" s="101" t="s">
        <v>14</v>
      </c>
      <c r="G127" s="102" t="s">
        <v>5</v>
      </c>
      <c r="H127" s="102" t="s">
        <v>13</v>
      </c>
      <c r="I127" s="103" t="s">
        <v>0</v>
      </c>
      <c r="J127" s="104"/>
      <c r="K127" s="83"/>
      <c r="L127" s="105">
        <v>45</v>
      </c>
      <c r="M127" s="89">
        <v>60</v>
      </c>
      <c r="N127" s="89">
        <v>75</v>
      </c>
      <c r="O127" s="89">
        <v>90</v>
      </c>
      <c r="P127" s="89">
        <v>120</v>
      </c>
      <c r="Q127" s="89">
        <v>150</v>
      </c>
      <c r="R127" s="187" t="s">
        <v>218</v>
      </c>
      <c r="S127" s="106" t="s">
        <v>9</v>
      </c>
      <c r="T127" s="107" t="s">
        <v>10</v>
      </c>
      <c r="U127" s="90"/>
      <c r="V127" s="91"/>
      <c r="W127" s="91"/>
      <c r="X127" s="91"/>
      <c r="Y127" s="91"/>
      <c r="Z127" s="92"/>
      <c r="AA127" s="91"/>
      <c r="AB127" s="91"/>
      <c r="AC127" s="91"/>
      <c r="AD127" s="91"/>
      <c r="AE127" s="91"/>
      <c r="AF127" s="91"/>
      <c r="AG127" s="91"/>
      <c r="AH127" s="91"/>
      <c r="AI127" s="91"/>
      <c r="AJ127" s="91"/>
      <c r="AK127" s="93"/>
      <c r="AL127" s="91"/>
      <c r="AM127" s="409"/>
      <c r="AN127" s="83"/>
      <c r="AO127" s="84"/>
      <c r="AP127" s="145"/>
      <c r="AQ127" s="83"/>
      <c r="AR127" s="83"/>
      <c r="AS127" s="145"/>
      <c r="AT127" s="83"/>
      <c r="AU127" s="83"/>
      <c r="AV127" s="83"/>
      <c r="AW127" s="323"/>
      <c r="AX127" s="323"/>
      <c r="BK127" s="188"/>
      <c r="CC127" s="367"/>
    </row>
    <row r="128" spans="2:81" ht="15" customHeight="1">
      <c r="B128" s="98"/>
      <c r="C128" s="108">
        <v>127</v>
      </c>
      <c r="D128" s="99" t="s">
        <v>446</v>
      </c>
      <c r="E128" s="100" t="s">
        <v>447</v>
      </c>
      <c r="F128" s="101" t="s">
        <v>14</v>
      </c>
      <c r="G128" s="102" t="s">
        <v>5</v>
      </c>
      <c r="H128" s="102" t="s">
        <v>13</v>
      </c>
      <c r="I128" s="103" t="s">
        <v>0</v>
      </c>
      <c r="J128" s="104"/>
      <c r="K128" s="83"/>
      <c r="L128" s="105">
        <v>45</v>
      </c>
      <c r="M128" s="89">
        <v>60</v>
      </c>
      <c r="N128" s="89">
        <v>75</v>
      </c>
      <c r="O128" s="89">
        <v>90</v>
      </c>
      <c r="P128" s="89">
        <v>120</v>
      </c>
      <c r="Q128" s="89">
        <v>150</v>
      </c>
      <c r="R128" s="187" t="s">
        <v>218</v>
      </c>
      <c r="S128" s="106" t="s">
        <v>9</v>
      </c>
      <c r="T128" s="107" t="s">
        <v>10</v>
      </c>
      <c r="U128" s="90"/>
      <c r="V128" s="91"/>
      <c r="W128" s="91"/>
      <c r="X128" s="91"/>
      <c r="Y128" s="91"/>
      <c r="Z128" s="92"/>
      <c r="AA128" s="91"/>
      <c r="AB128" s="91"/>
      <c r="AC128" s="91"/>
      <c r="AD128" s="91"/>
      <c r="AE128" s="91"/>
      <c r="AF128" s="91"/>
      <c r="AG128" s="91"/>
      <c r="AH128" s="91"/>
      <c r="AI128" s="91"/>
      <c r="AJ128" s="91"/>
      <c r="AK128" s="93"/>
      <c r="AL128" s="91"/>
      <c r="AM128" s="409"/>
      <c r="AN128" s="83"/>
      <c r="AO128" s="84"/>
      <c r="AP128" s="145"/>
      <c r="AQ128" s="83"/>
      <c r="AR128" s="83"/>
      <c r="AS128" s="145"/>
      <c r="AT128" s="83"/>
      <c r="AU128" s="83"/>
      <c r="AV128" s="83"/>
      <c r="AW128" s="323"/>
      <c r="AX128" s="323"/>
      <c r="BK128" s="188"/>
      <c r="CC128" s="367"/>
    </row>
    <row r="129" spans="2:81" ht="15" customHeight="1">
      <c r="B129" s="98"/>
      <c r="C129" s="108">
        <v>128</v>
      </c>
      <c r="D129" s="99" t="s">
        <v>446</v>
      </c>
      <c r="E129" s="100" t="s">
        <v>447</v>
      </c>
      <c r="F129" s="101" t="s">
        <v>14</v>
      </c>
      <c r="G129" s="102" t="s">
        <v>5</v>
      </c>
      <c r="H129" s="102" t="s">
        <v>13</v>
      </c>
      <c r="I129" s="103" t="s">
        <v>0</v>
      </c>
      <c r="J129" s="104"/>
      <c r="K129" s="83"/>
      <c r="L129" s="105">
        <v>45</v>
      </c>
      <c r="M129" s="89">
        <v>60</v>
      </c>
      <c r="N129" s="89">
        <v>75</v>
      </c>
      <c r="O129" s="89">
        <v>90</v>
      </c>
      <c r="P129" s="89">
        <v>120</v>
      </c>
      <c r="Q129" s="89">
        <v>150</v>
      </c>
      <c r="R129" s="187" t="s">
        <v>218</v>
      </c>
      <c r="S129" s="106" t="s">
        <v>9</v>
      </c>
      <c r="T129" s="107" t="s">
        <v>10</v>
      </c>
      <c r="U129" s="90"/>
      <c r="V129" s="91"/>
      <c r="W129" s="91"/>
      <c r="X129" s="91"/>
      <c r="Y129" s="91"/>
      <c r="Z129" s="92"/>
      <c r="AA129" s="91"/>
      <c r="AB129" s="91"/>
      <c r="AC129" s="91"/>
      <c r="AD129" s="91"/>
      <c r="AE129" s="91"/>
      <c r="AF129" s="91"/>
      <c r="AG129" s="91"/>
      <c r="AH129" s="91"/>
      <c r="AI129" s="91"/>
      <c r="AJ129" s="91"/>
      <c r="AK129" s="93"/>
      <c r="AL129" s="91"/>
      <c r="AM129" s="409"/>
      <c r="AN129" s="83"/>
      <c r="AO129" s="84"/>
      <c r="AP129" s="145"/>
      <c r="AQ129" s="83"/>
      <c r="AR129" s="83"/>
      <c r="AS129" s="145"/>
      <c r="AT129" s="83"/>
      <c r="AU129" s="83"/>
      <c r="AV129" s="83"/>
      <c r="AW129" s="323"/>
      <c r="AX129" s="323"/>
      <c r="BK129" s="188"/>
      <c r="CC129" s="367"/>
    </row>
    <row r="130" spans="2:81" ht="15" customHeight="1">
      <c r="B130" s="98"/>
      <c r="C130" s="108">
        <v>129</v>
      </c>
      <c r="D130" s="99" t="s">
        <v>446</v>
      </c>
      <c r="E130" s="100" t="s">
        <v>447</v>
      </c>
      <c r="F130" s="101" t="s">
        <v>14</v>
      </c>
      <c r="G130" s="102" t="s">
        <v>5</v>
      </c>
      <c r="H130" s="102" t="s">
        <v>13</v>
      </c>
      <c r="I130" s="103" t="s">
        <v>0</v>
      </c>
      <c r="J130" s="104"/>
      <c r="K130" s="83"/>
      <c r="L130" s="105">
        <v>45</v>
      </c>
      <c r="M130" s="89">
        <v>60</v>
      </c>
      <c r="N130" s="89">
        <v>75</v>
      </c>
      <c r="O130" s="89">
        <v>90</v>
      </c>
      <c r="P130" s="89">
        <v>120</v>
      </c>
      <c r="Q130" s="89">
        <v>150</v>
      </c>
      <c r="R130" s="187" t="s">
        <v>218</v>
      </c>
      <c r="S130" s="106" t="s">
        <v>9</v>
      </c>
      <c r="T130" s="107" t="s">
        <v>10</v>
      </c>
      <c r="U130" s="90"/>
      <c r="V130" s="91"/>
      <c r="W130" s="91"/>
      <c r="X130" s="91"/>
      <c r="Y130" s="91"/>
      <c r="Z130" s="92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3"/>
      <c r="AL130" s="91"/>
      <c r="AM130" s="409"/>
      <c r="AN130" s="83"/>
      <c r="AO130" s="84"/>
      <c r="AP130" s="145"/>
      <c r="AQ130" s="83"/>
      <c r="AR130" s="83"/>
      <c r="AS130" s="145"/>
      <c r="AT130" s="83"/>
      <c r="AU130" s="83"/>
      <c r="AV130" s="83"/>
      <c r="AW130" s="323"/>
      <c r="AX130" s="323"/>
      <c r="BK130" s="188"/>
      <c r="CC130" s="367"/>
    </row>
    <row r="131" spans="2:81" ht="15" customHeight="1">
      <c r="B131" s="98"/>
      <c r="C131" s="108">
        <v>130</v>
      </c>
      <c r="D131" s="99" t="s">
        <v>446</v>
      </c>
      <c r="E131" s="100" t="s">
        <v>447</v>
      </c>
      <c r="F131" s="101" t="s">
        <v>14</v>
      </c>
      <c r="G131" s="102" t="s">
        <v>5</v>
      </c>
      <c r="H131" s="102" t="s">
        <v>13</v>
      </c>
      <c r="I131" s="103" t="s">
        <v>0</v>
      </c>
      <c r="J131" s="104"/>
      <c r="K131" s="83"/>
      <c r="L131" s="105">
        <v>45</v>
      </c>
      <c r="M131" s="89">
        <v>60</v>
      </c>
      <c r="N131" s="89">
        <v>75</v>
      </c>
      <c r="O131" s="89">
        <v>90</v>
      </c>
      <c r="P131" s="89">
        <v>120</v>
      </c>
      <c r="Q131" s="89">
        <v>150</v>
      </c>
      <c r="R131" s="187" t="s">
        <v>218</v>
      </c>
      <c r="S131" s="106" t="s">
        <v>9</v>
      </c>
      <c r="T131" s="107" t="s">
        <v>10</v>
      </c>
      <c r="U131" s="90"/>
      <c r="V131" s="91"/>
      <c r="W131" s="91"/>
      <c r="X131" s="91"/>
      <c r="Y131" s="91"/>
      <c r="Z131" s="92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93"/>
      <c r="AL131" s="91"/>
      <c r="AM131" s="409"/>
      <c r="AN131" s="83"/>
      <c r="AO131" s="84"/>
      <c r="AP131" s="145"/>
      <c r="AQ131" s="83"/>
      <c r="AR131" s="83"/>
      <c r="AS131" s="145"/>
      <c r="AT131" s="83"/>
      <c r="AU131" s="83"/>
      <c r="AV131" s="83"/>
      <c r="AW131" s="323"/>
      <c r="AX131" s="323"/>
      <c r="BK131" s="188"/>
      <c r="CC131" s="367"/>
    </row>
    <row r="132" spans="2:81" ht="15" customHeight="1">
      <c r="B132" s="98"/>
      <c r="C132" s="108">
        <v>131</v>
      </c>
      <c r="D132" s="99" t="s">
        <v>446</v>
      </c>
      <c r="E132" s="100" t="s">
        <v>447</v>
      </c>
      <c r="F132" s="101" t="s">
        <v>14</v>
      </c>
      <c r="G132" s="102" t="s">
        <v>5</v>
      </c>
      <c r="H132" s="102" t="s">
        <v>13</v>
      </c>
      <c r="I132" s="103" t="s">
        <v>0</v>
      </c>
      <c r="J132" s="104"/>
      <c r="K132" s="83"/>
      <c r="L132" s="105">
        <v>45</v>
      </c>
      <c r="M132" s="89">
        <v>60</v>
      </c>
      <c r="N132" s="89">
        <v>75</v>
      </c>
      <c r="O132" s="89">
        <v>90</v>
      </c>
      <c r="P132" s="89">
        <v>120</v>
      </c>
      <c r="Q132" s="89">
        <v>150</v>
      </c>
      <c r="R132" s="187" t="s">
        <v>218</v>
      </c>
      <c r="S132" s="106" t="s">
        <v>9</v>
      </c>
      <c r="T132" s="107" t="s">
        <v>10</v>
      </c>
      <c r="U132" s="90"/>
      <c r="V132" s="91"/>
      <c r="W132" s="91"/>
      <c r="X132" s="91"/>
      <c r="Y132" s="91"/>
      <c r="Z132" s="92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93"/>
      <c r="AL132" s="91"/>
      <c r="AM132" s="409"/>
      <c r="AN132" s="83"/>
      <c r="AO132" s="84"/>
      <c r="AP132" s="145"/>
      <c r="AQ132" s="83"/>
      <c r="AR132" s="83"/>
      <c r="AS132" s="145"/>
      <c r="AT132" s="83"/>
      <c r="AU132" s="83"/>
      <c r="AV132" s="83"/>
      <c r="AW132" s="323"/>
      <c r="AX132" s="323"/>
      <c r="BK132" s="188"/>
      <c r="CC132" s="367"/>
    </row>
    <row r="133" spans="2:81" ht="15" customHeight="1">
      <c r="B133" s="98"/>
      <c r="C133" s="108">
        <v>132</v>
      </c>
      <c r="D133" s="99" t="s">
        <v>446</v>
      </c>
      <c r="E133" s="100" t="s">
        <v>447</v>
      </c>
      <c r="F133" s="101" t="s">
        <v>14</v>
      </c>
      <c r="G133" s="102" t="s">
        <v>5</v>
      </c>
      <c r="H133" s="102" t="s">
        <v>13</v>
      </c>
      <c r="I133" s="103" t="s">
        <v>0</v>
      </c>
      <c r="J133" s="104"/>
      <c r="K133" s="83"/>
      <c r="L133" s="105">
        <v>45</v>
      </c>
      <c r="M133" s="89">
        <v>60</v>
      </c>
      <c r="N133" s="89">
        <v>75</v>
      </c>
      <c r="O133" s="89">
        <v>90</v>
      </c>
      <c r="P133" s="89">
        <v>120</v>
      </c>
      <c r="Q133" s="89">
        <v>150</v>
      </c>
      <c r="R133" s="187" t="s">
        <v>218</v>
      </c>
      <c r="S133" s="106" t="s">
        <v>9</v>
      </c>
      <c r="T133" s="107" t="s">
        <v>10</v>
      </c>
      <c r="U133" s="90"/>
      <c r="V133" s="91"/>
      <c r="W133" s="91"/>
      <c r="X133" s="91"/>
      <c r="Y133" s="91"/>
      <c r="Z133" s="92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93"/>
      <c r="AL133" s="91"/>
      <c r="AM133" s="409"/>
      <c r="AN133" s="83"/>
      <c r="AO133" s="84"/>
      <c r="AP133" s="145"/>
      <c r="AQ133" s="83"/>
      <c r="AR133" s="83"/>
      <c r="AS133" s="145"/>
      <c r="AT133" s="83"/>
      <c r="AU133" s="83"/>
      <c r="AV133" s="83"/>
      <c r="AW133" s="323"/>
      <c r="AX133" s="323"/>
      <c r="BK133" s="188"/>
      <c r="CC133" s="367"/>
    </row>
    <row r="134" spans="2:81" ht="15" customHeight="1">
      <c r="B134" s="98"/>
      <c r="C134" s="108">
        <v>133</v>
      </c>
      <c r="D134" s="99" t="s">
        <v>446</v>
      </c>
      <c r="E134" s="100" t="s">
        <v>447</v>
      </c>
      <c r="F134" s="101" t="s">
        <v>14</v>
      </c>
      <c r="G134" s="102" t="s">
        <v>5</v>
      </c>
      <c r="H134" s="102" t="s">
        <v>13</v>
      </c>
      <c r="I134" s="103" t="s">
        <v>0</v>
      </c>
      <c r="J134" s="104"/>
      <c r="K134" s="83"/>
      <c r="L134" s="105">
        <v>45</v>
      </c>
      <c r="M134" s="89">
        <v>60</v>
      </c>
      <c r="N134" s="89">
        <v>75</v>
      </c>
      <c r="O134" s="89">
        <v>90</v>
      </c>
      <c r="P134" s="89">
        <v>120</v>
      </c>
      <c r="Q134" s="89">
        <v>150</v>
      </c>
      <c r="R134" s="187" t="s">
        <v>218</v>
      </c>
      <c r="S134" s="106" t="s">
        <v>9</v>
      </c>
      <c r="T134" s="107" t="s">
        <v>10</v>
      </c>
      <c r="U134" s="90"/>
      <c r="V134" s="91"/>
      <c r="W134" s="91"/>
      <c r="X134" s="91"/>
      <c r="Y134" s="91"/>
      <c r="Z134" s="92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3"/>
      <c r="AL134" s="91"/>
      <c r="AM134" s="409"/>
      <c r="AN134" s="83"/>
      <c r="AO134" s="84"/>
      <c r="AP134" s="145"/>
      <c r="AQ134" s="83"/>
      <c r="AR134" s="83"/>
      <c r="AS134" s="145"/>
      <c r="AT134" s="83"/>
      <c r="AU134" s="83"/>
      <c r="AV134" s="83"/>
      <c r="AW134" s="323"/>
      <c r="AX134" s="323"/>
      <c r="BK134" s="188"/>
      <c r="CC134" s="367"/>
    </row>
    <row r="135" spans="2:81" ht="15" customHeight="1">
      <c r="B135" s="98"/>
      <c r="C135" s="108">
        <v>134</v>
      </c>
      <c r="D135" s="99" t="s">
        <v>446</v>
      </c>
      <c r="E135" s="100" t="s">
        <v>447</v>
      </c>
      <c r="F135" s="101" t="s">
        <v>14</v>
      </c>
      <c r="G135" s="102" t="s">
        <v>5</v>
      </c>
      <c r="H135" s="102" t="s">
        <v>13</v>
      </c>
      <c r="I135" s="103" t="s">
        <v>0</v>
      </c>
      <c r="J135" s="104"/>
      <c r="K135" s="83"/>
      <c r="L135" s="105">
        <v>45</v>
      </c>
      <c r="M135" s="89">
        <v>60</v>
      </c>
      <c r="N135" s="89">
        <v>75</v>
      </c>
      <c r="O135" s="89">
        <v>90</v>
      </c>
      <c r="P135" s="89">
        <v>120</v>
      </c>
      <c r="Q135" s="89">
        <v>150</v>
      </c>
      <c r="R135" s="187" t="s">
        <v>218</v>
      </c>
      <c r="S135" s="106" t="s">
        <v>9</v>
      </c>
      <c r="T135" s="107" t="s">
        <v>10</v>
      </c>
      <c r="U135" s="90"/>
      <c r="V135" s="91"/>
      <c r="W135" s="91"/>
      <c r="X135" s="91"/>
      <c r="Y135" s="91"/>
      <c r="Z135" s="92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93"/>
      <c r="AL135" s="91"/>
      <c r="AM135" s="409"/>
      <c r="AN135" s="83"/>
      <c r="AO135" s="84"/>
      <c r="AP135" s="145"/>
      <c r="AQ135" s="83"/>
      <c r="AR135" s="83"/>
      <c r="AS135" s="145"/>
      <c r="AT135" s="83"/>
      <c r="AU135" s="83"/>
      <c r="AV135" s="83"/>
      <c r="AW135" s="323"/>
      <c r="AX135" s="323"/>
      <c r="BK135" s="188"/>
      <c r="CC135" s="367"/>
    </row>
    <row r="136" spans="2:81" ht="15" customHeight="1">
      <c r="B136" s="98"/>
      <c r="C136" s="108">
        <v>135</v>
      </c>
      <c r="D136" s="99" t="s">
        <v>446</v>
      </c>
      <c r="E136" s="100" t="s">
        <v>447</v>
      </c>
      <c r="F136" s="101" t="s">
        <v>14</v>
      </c>
      <c r="G136" s="102" t="s">
        <v>5</v>
      </c>
      <c r="H136" s="102" t="s">
        <v>13</v>
      </c>
      <c r="I136" s="103" t="s">
        <v>0</v>
      </c>
      <c r="J136" s="104"/>
      <c r="K136" s="83"/>
      <c r="L136" s="105">
        <v>45</v>
      </c>
      <c r="M136" s="89">
        <v>60</v>
      </c>
      <c r="N136" s="89">
        <v>75</v>
      </c>
      <c r="O136" s="89">
        <v>90</v>
      </c>
      <c r="P136" s="89">
        <v>120</v>
      </c>
      <c r="Q136" s="89">
        <v>150</v>
      </c>
      <c r="R136" s="187" t="s">
        <v>218</v>
      </c>
      <c r="S136" s="106" t="s">
        <v>9</v>
      </c>
      <c r="T136" s="107" t="s">
        <v>10</v>
      </c>
      <c r="U136" s="90"/>
      <c r="V136" s="91"/>
      <c r="W136" s="91"/>
      <c r="X136" s="91"/>
      <c r="Y136" s="91"/>
      <c r="Z136" s="92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93"/>
      <c r="AL136" s="91"/>
      <c r="AM136" s="409"/>
      <c r="AN136" s="83"/>
      <c r="AO136" s="84"/>
      <c r="AP136" s="145"/>
      <c r="AQ136" s="83"/>
      <c r="AR136" s="83"/>
      <c r="AS136" s="145"/>
      <c r="AT136" s="83"/>
      <c r="AU136" s="83"/>
      <c r="AV136" s="83"/>
      <c r="AW136" s="323"/>
      <c r="AX136" s="323"/>
      <c r="BK136" s="188"/>
      <c r="CC136" s="367"/>
    </row>
    <row r="137" spans="2:81" ht="15" customHeight="1">
      <c r="B137" s="98"/>
      <c r="C137" s="108">
        <v>136</v>
      </c>
      <c r="D137" s="99" t="s">
        <v>446</v>
      </c>
      <c r="E137" s="100" t="s">
        <v>447</v>
      </c>
      <c r="F137" s="101" t="s">
        <v>14</v>
      </c>
      <c r="G137" s="102" t="s">
        <v>5</v>
      </c>
      <c r="H137" s="102" t="s">
        <v>13</v>
      </c>
      <c r="I137" s="103" t="s">
        <v>0</v>
      </c>
      <c r="J137" s="104"/>
      <c r="K137" s="83"/>
      <c r="L137" s="105">
        <v>45</v>
      </c>
      <c r="M137" s="89">
        <v>60</v>
      </c>
      <c r="N137" s="89">
        <v>75</v>
      </c>
      <c r="O137" s="89">
        <v>90</v>
      </c>
      <c r="P137" s="89">
        <v>120</v>
      </c>
      <c r="Q137" s="89">
        <v>150</v>
      </c>
      <c r="R137" s="187" t="s">
        <v>218</v>
      </c>
      <c r="S137" s="106" t="s">
        <v>9</v>
      </c>
      <c r="T137" s="107" t="s">
        <v>10</v>
      </c>
      <c r="U137" s="90"/>
      <c r="V137" s="91"/>
      <c r="W137" s="91"/>
      <c r="X137" s="91"/>
      <c r="Y137" s="91"/>
      <c r="Z137" s="92"/>
      <c r="AA137" s="91"/>
      <c r="AB137" s="91"/>
      <c r="AC137" s="91"/>
      <c r="AD137" s="91"/>
      <c r="AE137" s="91"/>
      <c r="AF137" s="91"/>
      <c r="AG137" s="91"/>
      <c r="AH137" s="91"/>
      <c r="AI137" s="91"/>
      <c r="AJ137" s="91"/>
      <c r="AK137" s="93"/>
      <c r="AL137" s="91"/>
      <c r="AM137" s="409"/>
      <c r="AN137" s="83"/>
      <c r="AO137" s="84"/>
      <c r="AP137" s="145"/>
      <c r="AQ137" s="83"/>
      <c r="AR137" s="83"/>
      <c r="AS137" s="145"/>
      <c r="AT137" s="83"/>
      <c r="AU137" s="83"/>
      <c r="AV137" s="83"/>
      <c r="AW137" s="323"/>
      <c r="AX137" s="323"/>
      <c r="BK137" s="188"/>
      <c r="CC137" s="367"/>
    </row>
    <row r="138" spans="2:81" ht="15" customHeight="1">
      <c r="B138" s="98"/>
      <c r="C138" s="108">
        <v>137</v>
      </c>
      <c r="D138" s="99" t="s">
        <v>446</v>
      </c>
      <c r="E138" s="100" t="s">
        <v>447</v>
      </c>
      <c r="F138" s="101" t="s">
        <v>14</v>
      </c>
      <c r="G138" s="102" t="s">
        <v>5</v>
      </c>
      <c r="H138" s="102" t="s">
        <v>13</v>
      </c>
      <c r="I138" s="103" t="s">
        <v>0</v>
      </c>
      <c r="J138" s="104"/>
      <c r="K138" s="83"/>
      <c r="L138" s="105">
        <v>45</v>
      </c>
      <c r="M138" s="89">
        <v>60</v>
      </c>
      <c r="N138" s="89">
        <v>75</v>
      </c>
      <c r="O138" s="89">
        <v>90</v>
      </c>
      <c r="P138" s="89">
        <v>120</v>
      </c>
      <c r="Q138" s="89">
        <v>150</v>
      </c>
      <c r="R138" s="187" t="s">
        <v>218</v>
      </c>
      <c r="S138" s="106" t="s">
        <v>9</v>
      </c>
      <c r="T138" s="107" t="s">
        <v>10</v>
      </c>
      <c r="U138" s="90"/>
      <c r="V138" s="91"/>
      <c r="W138" s="91"/>
      <c r="X138" s="91"/>
      <c r="Y138" s="91"/>
      <c r="Z138" s="92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93"/>
      <c r="AL138" s="91"/>
      <c r="AM138" s="409"/>
      <c r="AN138" s="83"/>
      <c r="AO138" s="84"/>
      <c r="AP138" s="145"/>
      <c r="AQ138" s="83"/>
      <c r="AR138" s="83"/>
      <c r="AS138" s="145"/>
      <c r="AT138" s="83"/>
      <c r="AU138" s="83"/>
      <c r="AV138" s="83"/>
      <c r="AW138" s="323"/>
      <c r="AX138" s="323"/>
      <c r="BK138" s="188"/>
      <c r="CC138" s="367"/>
    </row>
    <row r="139" spans="2:81" ht="15" customHeight="1">
      <c r="B139" s="98"/>
      <c r="C139" s="108">
        <v>138</v>
      </c>
      <c r="D139" s="99" t="s">
        <v>446</v>
      </c>
      <c r="E139" s="100" t="s">
        <v>447</v>
      </c>
      <c r="F139" s="101" t="s">
        <v>14</v>
      </c>
      <c r="G139" s="102" t="s">
        <v>5</v>
      </c>
      <c r="H139" s="102" t="s">
        <v>13</v>
      </c>
      <c r="I139" s="103" t="s">
        <v>0</v>
      </c>
      <c r="J139" s="104"/>
      <c r="K139" s="83"/>
      <c r="L139" s="105">
        <v>45</v>
      </c>
      <c r="M139" s="89">
        <v>60</v>
      </c>
      <c r="N139" s="89">
        <v>75</v>
      </c>
      <c r="O139" s="89">
        <v>90</v>
      </c>
      <c r="P139" s="89">
        <v>120</v>
      </c>
      <c r="Q139" s="89">
        <v>150</v>
      </c>
      <c r="R139" s="187" t="s">
        <v>218</v>
      </c>
      <c r="S139" s="106" t="s">
        <v>9</v>
      </c>
      <c r="T139" s="107" t="s">
        <v>10</v>
      </c>
      <c r="U139" s="90"/>
      <c r="V139" s="91"/>
      <c r="W139" s="91"/>
      <c r="X139" s="91"/>
      <c r="Y139" s="91"/>
      <c r="Z139" s="92"/>
      <c r="AA139" s="91"/>
      <c r="AB139" s="91"/>
      <c r="AC139" s="91"/>
      <c r="AD139" s="91"/>
      <c r="AE139" s="91"/>
      <c r="AF139" s="91"/>
      <c r="AG139" s="91"/>
      <c r="AH139" s="91"/>
      <c r="AI139" s="91"/>
      <c r="AJ139" s="91"/>
      <c r="AK139" s="93"/>
      <c r="AL139" s="91"/>
      <c r="AM139" s="409"/>
      <c r="AN139" s="83"/>
      <c r="AO139" s="84"/>
      <c r="AP139" s="145"/>
      <c r="AQ139" s="83"/>
      <c r="AR139" s="83"/>
      <c r="AS139" s="145"/>
      <c r="AT139" s="83"/>
      <c r="AU139" s="83"/>
      <c r="AV139" s="83"/>
      <c r="AW139" s="323"/>
      <c r="AX139" s="323"/>
      <c r="BK139" s="188"/>
      <c r="CC139" s="367"/>
    </row>
    <row r="140" spans="2:81" ht="15" customHeight="1">
      <c r="B140" s="98"/>
      <c r="C140" s="108">
        <v>139</v>
      </c>
      <c r="D140" s="99" t="s">
        <v>446</v>
      </c>
      <c r="E140" s="100" t="s">
        <v>447</v>
      </c>
      <c r="F140" s="101" t="s">
        <v>14</v>
      </c>
      <c r="G140" s="102" t="s">
        <v>5</v>
      </c>
      <c r="H140" s="102" t="s">
        <v>13</v>
      </c>
      <c r="I140" s="103" t="s">
        <v>0</v>
      </c>
      <c r="J140" s="104"/>
      <c r="K140" s="83"/>
      <c r="L140" s="105">
        <v>45</v>
      </c>
      <c r="M140" s="89">
        <v>60</v>
      </c>
      <c r="N140" s="89">
        <v>75</v>
      </c>
      <c r="O140" s="89">
        <v>90</v>
      </c>
      <c r="P140" s="89">
        <v>120</v>
      </c>
      <c r="Q140" s="89">
        <v>150</v>
      </c>
      <c r="R140" s="187" t="s">
        <v>218</v>
      </c>
      <c r="S140" s="106" t="s">
        <v>9</v>
      </c>
      <c r="T140" s="107" t="s">
        <v>10</v>
      </c>
      <c r="U140" s="90"/>
      <c r="V140" s="91"/>
      <c r="W140" s="91"/>
      <c r="X140" s="91"/>
      <c r="Y140" s="91"/>
      <c r="Z140" s="92"/>
      <c r="AA140" s="91"/>
      <c r="AB140" s="91"/>
      <c r="AC140" s="91"/>
      <c r="AD140" s="91"/>
      <c r="AE140" s="91"/>
      <c r="AF140" s="91"/>
      <c r="AG140" s="91"/>
      <c r="AH140" s="91"/>
      <c r="AI140" s="91"/>
      <c r="AJ140" s="91"/>
      <c r="AK140" s="93"/>
      <c r="AL140" s="91"/>
      <c r="AM140" s="409"/>
      <c r="AN140" s="83"/>
      <c r="AO140" s="84"/>
      <c r="AP140" s="145"/>
      <c r="AQ140" s="83"/>
      <c r="AR140" s="83"/>
      <c r="AS140" s="145"/>
      <c r="AT140" s="83"/>
      <c r="AU140" s="83"/>
      <c r="AV140" s="83"/>
      <c r="AW140" s="323"/>
      <c r="AX140" s="323"/>
      <c r="BK140" s="188"/>
      <c r="CC140" s="367"/>
    </row>
    <row r="141" spans="2:81" ht="15" customHeight="1">
      <c r="B141" s="98"/>
      <c r="C141" s="108">
        <v>140</v>
      </c>
      <c r="D141" s="99" t="s">
        <v>446</v>
      </c>
      <c r="E141" s="100" t="s">
        <v>447</v>
      </c>
      <c r="F141" s="101" t="s">
        <v>14</v>
      </c>
      <c r="G141" s="102" t="s">
        <v>5</v>
      </c>
      <c r="H141" s="102" t="s">
        <v>13</v>
      </c>
      <c r="I141" s="103" t="s">
        <v>0</v>
      </c>
      <c r="J141" s="104"/>
      <c r="K141" s="83"/>
      <c r="L141" s="105">
        <v>45</v>
      </c>
      <c r="M141" s="89">
        <v>60</v>
      </c>
      <c r="N141" s="89">
        <v>75</v>
      </c>
      <c r="O141" s="89">
        <v>90</v>
      </c>
      <c r="P141" s="89">
        <v>120</v>
      </c>
      <c r="Q141" s="89">
        <v>150</v>
      </c>
      <c r="R141" s="187" t="s">
        <v>218</v>
      </c>
      <c r="S141" s="106" t="s">
        <v>9</v>
      </c>
      <c r="T141" s="107" t="s">
        <v>10</v>
      </c>
      <c r="U141" s="90"/>
      <c r="V141" s="91"/>
      <c r="W141" s="91"/>
      <c r="X141" s="91"/>
      <c r="Y141" s="91"/>
      <c r="Z141" s="92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3"/>
      <c r="AL141" s="91"/>
      <c r="AM141" s="409"/>
      <c r="AN141" s="83"/>
      <c r="AO141" s="84"/>
      <c r="AP141" s="145"/>
      <c r="AQ141" s="83"/>
      <c r="AR141" s="83"/>
      <c r="AS141" s="145"/>
      <c r="AT141" s="83"/>
      <c r="AU141" s="83"/>
      <c r="AV141" s="83"/>
      <c r="AW141" s="323"/>
      <c r="AX141" s="323"/>
      <c r="BK141" s="188"/>
      <c r="CC141" s="367"/>
    </row>
    <row r="142" spans="2:81" ht="15" customHeight="1">
      <c r="B142" s="98"/>
      <c r="C142" s="108">
        <v>141</v>
      </c>
      <c r="D142" s="99" t="s">
        <v>446</v>
      </c>
      <c r="E142" s="100" t="s">
        <v>447</v>
      </c>
      <c r="F142" s="101" t="s">
        <v>14</v>
      </c>
      <c r="G142" s="102" t="s">
        <v>5</v>
      </c>
      <c r="H142" s="102" t="s">
        <v>13</v>
      </c>
      <c r="I142" s="103" t="s">
        <v>0</v>
      </c>
      <c r="J142" s="104"/>
      <c r="K142" s="83"/>
      <c r="L142" s="105">
        <v>45</v>
      </c>
      <c r="M142" s="89">
        <v>60</v>
      </c>
      <c r="N142" s="89">
        <v>75</v>
      </c>
      <c r="O142" s="89">
        <v>90</v>
      </c>
      <c r="P142" s="89">
        <v>120</v>
      </c>
      <c r="Q142" s="89">
        <v>150</v>
      </c>
      <c r="R142" s="187" t="s">
        <v>218</v>
      </c>
      <c r="S142" s="106" t="s">
        <v>9</v>
      </c>
      <c r="T142" s="107" t="s">
        <v>10</v>
      </c>
      <c r="U142" s="90"/>
      <c r="V142" s="91"/>
      <c r="W142" s="91"/>
      <c r="X142" s="91"/>
      <c r="Y142" s="91"/>
      <c r="Z142" s="92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3"/>
      <c r="AL142" s="91"/>
      <c r="AM142" s="409"/>
      <c r="AN142" s="83"/>
      <c r="AO142" s="84"/>
      <c r="AP142" s="145"/>
      <c r="AQ142" s="83"/>
      <c r="AR142" s="83"/>
      <c r="AS142" s="145"/>
      <c r="AT142" s="83"/>
      <c r="AU142" s="83"/>
      <c r="AV142" s="83"/>
      <c r="AW142" s="323"/>
      <c r="AX142" s="323"/>
      <c r="BK142" s="188"/>
      <c r="CC142" s="367"/>
    </row>
    <row r="143" spans="2:81" ht="15" customHeight="1">
      <c r="B143" s="98"/>
      <c r="C143" s="108">
        <v>142</v>
      </c>
      <c r="D143" s="99" t="s">
        <v>446</v>
      </c>
      <c r="E143" s="100" t="s">
        <v>447</v>
      </c>
      <c r="F143" s="101" t="s">
        <v>14</v>
      </c>
      <c r="G143" s="102" t="s">
        <v>5</v>
      </c>
      <c r="H143" s="102" t="s">
        <v>13</v>
      </c>
      <c r="I143" s="103" t="s">
        <v>0</v>
      </c>
      <c r="J143" s="104"/>
      <c r="K143" s="83"/>
      <c r="L143" s="105">
        <v>45</v>
      </c>
      <c r="M143" s="89">
        <v>60</v>
      </c>
      <c r="N143" s="89">
        <v>75</v>
      </c>
      <c r="O143" s="89">
        <v>90</v>
      </c>
      <c r="P143" s="89">
        <v>120</v>
      </c>
      <c r="Q143" s="89">
        <v>150</v>
      </c>
      <c r="R143" s="187" t="s">
        <v>218</v>
      </c>
      <c r="S143" s="106" t="s">
        <v>9</v>
      </c>
      <c r="T143" s="107" t="s">
        <v>10</v>
      </c>
      <c r="U143" s="90"/>
      <c r="V143" s="91"/>
      <c r="W143" s="91"/>
      <c r="X143" s="91"/>
      <c r="Y143" s="91"/>
      <c r="Z143" s="92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3"/>
      <c r="AL143" s="91"/>
      <c r="AM143" s="409"/>
      <c r="AN143" s="83"/>
      <c r="AO143" s="84"/>
      <c r="AP143" s="145"/>
      <c r="AQ143" s="83"/>
      <c r="AR143" s="83"/>
      <c r="AS143" s="145"/>
      <c r="AT143" s="83"/>
      <c r="AU143" s="83"/>
      <c r="AV143" s="83"/>
      <c r="AW143" s="323"/>
      <c r="AX143" s="323"/>
      <c r="BK143" s="188"/>
      <c r="CC143" s="367"/>
    </row>
    <row r="144" spans="2:81" ht="15" customHeight="1">
      <c r="B144" s="98"/>
      <c r="C144" s="108">
        <v>143</v>
      </c>
      <c r="D144" s="99" t="s">
        <v>446</v>
      </c>
      <c r="E144" s="100" t="s">
        <v>447</v>
      </c>
      <c r="F144" s="101" t="s">
        <v>14</v>
      </c>
      <c r="G144" s="102" t="s">
        <v>5</v>
      </c>
      <c r="H144" s="102" t="s">
        <v>13</v>
      </c>
      <c r="I144" s="103" t="s">
        <v>0</v>
      </c>
      <c r="J144" s="104"/>
      <c r="K144" s="83"/>
      <c r="L144" s="105">
        <v>45</v>
      </c>
      <c r="M144" s="89">
        <v>60</v>
      </c>
      <c r="N144" s="89">
        <v>75</v>
      </c>
      <c r="O144" s="89">
        <v>90</v>
      </c>
      <c r="P144" s="89">
        <v>120</v>
      </c>
      <c r="Q144" s="89">
        <v>150</v>
      </c>
      <c r="R144" s="187" t="s">
        <v>218</v>
      </c>
      <c r="S144" s="106" t="s">
        <v>9</v>
      </c>
      <c r="T144" s="107" t="s">
        <v>10</v>
      </c>
      <c r="U144" s="90"/>
      <c r="V144" s="91"/>
      <c r="W144" s="91"/>
      <c r="X144" s="91"/>
      <c r="Y144" s="91"/>
      <c r="Z144" s="92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3"/>
      <c r="AL144" s="91"/>
      <c r="AM144" s="409"/>
      <c r="AN144" s="83"/>
      <c r="AO144" s="84"/>
      <c r="AP144" s="145"/>
      <c r="AQ144" s="83"/>
      <c r="AR144" s="83"/>
      <c r="AS144" s="145"/>
      <c r="AT144" s="83"/>
      <c r="AU144" s="83"/>
      <c r="AV144" s="83"/>
      <c r="AW144" s="323"/>
      <c r="AX144" s="323"/>
      <c r="BK144" s="188"/>
      <c r="CC144" s="367"/>
    </row>
    <row r="145" spans="2:81" ht="15" customHeight="1">
      <c r="B145" s="98"/>
      <c r="C145" s="108">
        <v>144</v>
      </c>
      <c r="D145" s="99" t="s">
        <v>446</v>
      </c>
      <c r="E145" s="100" t="s">
        <v>447</v>
      </c>
      <c r="F145" s="101" t="s">
        <v>14</v>
      </c>
      <c r="G145" s="102" t="s">
        <v>5</v>
      </c>
      <c r="H145" s="102" t="s">
        <v>13</v>
      </c>
      <c r="I145" s="103" t="s">
        <v>0</v>
      </c>
      <c r="J145" s="104"/>
      <c r="K145" s="83"/>
      <c r="L145" s="105">
        <v>45</v>
      </c>
      <c r="M145" s="89">
        <v>60</v>
      </c>
      <c r="N145" s="89">
        <v>75</v>
      </c>
      <c r="O145" s="89">
        <v>90</v>
      </c>
      <c r="P145" s="89">
        <v>120</v>
      </c>
      <c r="Q145" s="89">
        <v>150</v>
      </c>
      <c r="R145" s="187" t="s">
        <v>218</v>
      </c>
      <c r="S145" s="106" t="s">
        <v>9</v>
      </c>
      <c r="T145" s="107" t="s">
        <v>10</v>
      </c>
      <c r="U145" s="90"/>
      <c r="V145" s="91"/>
      <c r="W145" s="91"/>
      <c r="X145" s="91"/>
      <c r="Y145" s="91"/>
      <c r="Z145" s="92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3"/>
      <c r="AL145" s="91"/>
      <c r="AM145" s="409"/>
      <c r="AN145" s="83"/>
      <c r="AO145" s="84"/>
      <c r="AP145" s="145"/>
      <c r="AQ145" s="83"/>
      <c r="AR145" s="83"/>
      <c r="AS145" s="145"/>
      <c r="AT145" s="83"/>
      <c r="AU145" s="83"/>
      <c r="AV145" s="83"/>
      <c r="AW145" s="323"/>
      <c r="AX145" s="323"/>
      <c r="BK145" s="188"/>
      <c r="CC145" s="367"/>
    </row>
    <row r="146" spans="2:81" ht="15" customHeight="1">
      <c r="B146" s="98"/>
      <c r="C146" s="108">
        <v>145</v>
      </c>
      <c r="D146" s="99" t="s">
        <v>446</v>
      </c>
      <c r="E146" s="100" t="s">
        <v>447</v>
      </c>
      <c r="F146" s="101" t="s">
        <v>14</v>
      </c>
      <c r="G146" s="102" t="s">
        <v>5</v>
      </c>
      <c r="H146" s="102" t="s">
        <v>13</v>
      </c>
      <c r="I146" s="103" t="s">
        <v>0</v>
      </c>
      <c r="J146" s="104"/>
      <c r="K146" s="83"/>
      <c r="L146" s="105">
        <v>45</v>
      </c>
      <c r="M146" s="89">
        <v>60</v>
      </c>
      <c r="N146" s="89">
        <v>75</v>
      </c>
      <c r="O146" s="89">
        <v>90</v>
      </c>
      <c r="P146" s="89">
        <v>120</v>
      </c>
      <c r="Q146" s="89">
        <v>150</v>
      </c>
      <c r="R146" s="187" t="s">
        <v>218</v>
      </c>
      <c r="S146" s="106" t="s">
        <v>9</v>
      </c>
      <c r="T146" s="107" t="s">
        <v>10</v>
      </c>
      <c r="U146" s="90"/>
      <c r="V146" s="91"/>
      <c r="W146" s="91"/>
      <c r="X146" s="91"/>
      <c r="Y146" s="91"/>
      <c r="Z146" s="92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93"/>
      <c r="AL146" s="91"/>
      <c r="AM146" s="409"/>
      <c r="AN146" s="83"/>
      <c r="AO146" s="84"/>
      <c r="AP146" s="145"/>
      <c r="AQ146" s="83"/>
      <c r="AR146" s="83"/>
      <c r="AS146" s="145"/>
      <c r="AT146" s="83"/>
      <c r="AU146" s="83"/>
      <c r="AV146" s="83"/>
      <c r="AW146" s="323"/>
      <c r="AX146" s="323"/>
      <c r="BK146" s="188"/>
      <c r="CC146" s="367"/>
    </row>
    <row r="147" spans="2:81" ht="15" customHeight="1">
      <c r="B147" s="98"/>
      <c r="C147" s="108">
        <v>146</v>
      </c>
      <c r="D147" s="99" t="s">
        <v>446</v>
      </c>
      <c r="E147" s="100" t="s">
        <v>447</v>
      </c>
      <c r="F147" s="101" t="s">
        <v>14</v>
      </c>
      <c r="G147" s="102" t="s">
        <v>5</v>
      </c>
      <c r="H147" s="102" t="s">
        <v>13</v>
      </c>
      <c r="I147" s="103" t="s">
        <v>0</v>
      </c>
      <c r="J147" s="104"/>
      <c r="K147" s="83"/>
      <c r="L147" s="105">
        <v>45</v>
      </c>
      <c r="M147" s="89">
        <v>60</v>
      </c>
      <c r="N147" s="89">
        <v>75</v>
      </c>
      <c r="O147" s="89">
        <v>90</v>
      </c>
      <c r="P147" s="89">
        <v>120</v>
      </c>
      <c r="Q147" s="89">
        <v>150</v>
      </c>
      <c r="R147" s="187" t="s">
        <v>218</v>
      </c>
      <c r="S147" s="106" t="s">
        <v>9</v>
      </c>
      <c r="T147" s="107" t="s">
        <v>10</v>
      </c>
      <c r="U147" s="90"/>
      <c r="V147" s="91"/>
      <c r="W147" s="91"/>
      <c r="X147" s="91"/>
      <c r="Y147" s="91"/>
      <c r="Z147" s="92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93"/>
      <c r="AL147" s="91"/>
      <c r="AM147" s="409"/>
      <c r="AN147" s="83"/>
      <c r="AO147" s="84"/>
      <c r="AP147" s="145"/>
      <c r="AQ147" s="83"/>
      <c r="AR147" s="83"/>
      <c r="AS147" s="145"/>
      <c r="AT147" s="83"/>
      <c r="AU147" s="83"/>
      <c r="AV147" s="83"/>
      <c r="AW147" s="323"/>
      <c r="AX147" s="323"/>
      <c r="BK147" s="188"/>
      <c r="CC147" s="367"/>
    </row>
    <row r="148" spans="2:81" ht="15" customHeight="1">
      <c r="B148" s="98"/>
      <c r="C148" s="108">
        <v>147</v>
      </c>
      <c r="D148" s="99" t="s">
        <v>446</v>
      </c>
      <c r="E148" s="100" t="s">
        <v>447</v>
      </c>
      <c r="F148" s="101" t="s">
        <v>14</v>
      </c>
      <c r="G148" s="102" t="s">
        <v>5</v>
      </c>
      <c r="H148" s="102" t="s">
        <v>13</v>
      </c>
      <c r="I148" s="103" t="s">
        <v>0</v>
      </c>
      <c r="J148" s="104"/>
      <c r="K148" s="83"/>
      <c r="L148" s="105">
        <v>45</v>
      </c>
      <c r="M148" s="89">
        <v>60</v>
      </c>
      <c r="N148" s="89">
        <v>75</v>
      </c>
      <c r="O148" s="89">
        <v>90</v>
      </c>
      <c r="P148" s="89">
        <v>120</v>
      </c>
      <c r="Q148" s="89">
        <v>150</v>
      </c>
      <c r="R148" s="187" t="s">
        <v>218</v>
      </c>
      <c r="S148" s="106" t="s">
        <v>9</v>
      </c>
      <c r="T148" s="107" t="s">
        <v>10</v>
      </c>
      <c r="U148" s="90"/>
      <c r="V148" s="91"/>
      <c r="W148" s="91"/>
      <c r="X148" s="91"/>
      <c r="Y148" s="91"/>
      <c r="Z148" s="92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93"/>
      <c r="AL148" s="91"/>
      <c r="AM148" s="409"/>
      <c r="AN148" s="83"/>
      <c r="AO148" s="84"/>
      <c r="AP148" s="145"/>
      <c r="AQ148" s="83"/>
      <c r="AR148" s="83"/>
      <c r="AS148" s="145"/>
      <c r="AT148" s="83"/>
      <c r="AU148" s="83"/>
      <c r="AV148" s="83"/>
      <c r="AW148" s="323"/>
      <c r="AX148" s="323"/>
      <c r="BK148" s="188"/>
      <c r="CC148" s="367"/>
    </row>
    <row r="149" spans="2:81" ht="15" customHeight="1">
      <c r="B149" s="98"/>
      <c r="C149" s="108">
        <v>148</v>
      </c>
      <c r="D149" s="99" t="s">
        <v>446</v>
      </c>
      <c r="E149" s="100" t="s">
        <v>447</v>
      </c>
      <c r="F149" s="101" t="s">
        <v>14</v>
      </c>
      <c r="G149" s="102" t="s">
        <v>5</v>
      </c>
      <c r="H149" s="102" t="s">
        <v>13</v>
      </c>
      <c r="I149" s="103" t="s">
        <v>0</v>
      </c>
      <c r="J149" s="104"/>
      <c r="K149" s="83"/>
      <c r="L149" s="105">
        <v>45</v>
      </c>
      <c r="M149" s="89">
        <v>60</v>
      </c>
      <c r="N149" s="89">
        <v>75</v>
      </c>
      <c r="O149" s="89">
        <v>90</v>
      </c>
      <c r="P149" s="89">
        <v>120</v>
      </c>
      <c r="Q149" s="89">
        <v>150</v>
      </c>
      <c r="R149" s="187" t="s">
        <v>218</v>
      </c>
      <c r="S149" s="106" t="s">
        <v>9</v>
      </c>
      <c r="T149" s="107" t="s">
        <v>10</v>
      </c>
      <c r="U149" s="90"/>
      <c r="V149" s="91"/>
      <c r="W149" s="91"/>
      <c r="X149" s="91"/>
      <c r="Y149" s="91"/>
      <c r="Z149" s="92"/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93"/>
      <c r="AL149" s="91"/>
      <c r="AM149" s="409"/>
      <c r="AN149" s="83"/>
      <c r="AO149" s="84"/>
      <c r="AP149" s="145"/>
      <c r="AQ149" s="83"/>
      <c r="AR149" s="83"/>
      <c r="AS149" s="145"/>
      <c r="AT149" s="83"/>
      <c r="AU149" s="83"/>
      <c r="AV149" s="83"/>
      <c r="AW149" s="323"/>
      <c r="AX149" s="323"/>
      <c r="BK149" s="188"/>
      <c r="CC149" s="367"/>
    </row>
    <row r="150" spans="2:81" ht="15" customHeight="1">
      <c r="B150" s="98"/>
      <c r="C150" s="108">
        <v>149</v>
      </c>
      <c r="D150" s="99" t="s">
        <v>446</v>
      </c>
      <c r="E150" s="100" t="s">
        <v>447</v>
      </c>
      <c r="F150" s="101" t="s">
        <v>14</v>
      </c>
      <c r="G150" s="102" t="s">
        <v>5</v>
      </c>
      <c r="H150" s="102" t="s">
        <v>13</v>
      </c>
      <c r="I150" s="103" t="s">
        <v>0</v>
      </c>
      <c r="J150" s="104"/>
      <c r="K150" s="83"/>
      <c r="L150" s="105">
        <v>45</v>
      </c>
      <c r="M150" s="89">
        <v>60</v>
      </c>
      <c r="N150" s="89">
        <v>75</v>
      </c>
      <c r="O150" s="89">
        <v>90</v>
      </c>
      <c r="P150" s="89">
        <v>120</v>
      </c>
      <c r="Q150" s="89">
        <v>150</v>
      </c>
      <c r="R150" s="187" t="s">
        <v>218</v>
      </c>
      <c r="S150" s="106" t="s">
        <v>9</v>
      </c>
      <c r="T150" s="107" t="s">
        <v>10</v>
      </c>
      <c r="U150" s="90"/>
      <c r="V150" s="91"/>
      <c r="W150" s="91"/>
      <c r="X150" s="91"/>
      <c r="Y150" s="91"/>
      <c r="Z150" s="92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93"/>
      <c r="AL150" s="91"/>
      <c r="AM150" s="409"/>
      <c r="AN150" s="83"/>
      <c r="AO150" s="84"/>
      <c r="AP150" s="145"/>
      <c r="AQ150" s="83"/>
      <c r="AR150" s="83"/>
      <c r="AS150" s="145"/>
      <c r="AT150" s="83"/>
      <c r="AU150" s="83"/>
      <c r="AV150" s="83"/>
      <c r="AW150" s="323"/>
      <c r="AX150" s="323"/>
      <c r="BK150" s="188"/>
      <c r="CC150" s="367"/>
    </row>
    <row r="151" spans="2:81" ht="15" customHeight="1">
      <c r="B151" s="98"/>
      <c r="C151" s="108">
        <v>150</v>
      </c>
      <c r="D151" s="99" t="s">
        <v>446</v>
      </c>
      <c r="E151" s="100" t="s">
        <v>447</v>
      </c>
      <c r="F151" s="101" t="s">
        <v>14</v>
      </c>
      <c r="G151" s="102" t="s">
        <v>5</v>
      </c>
      <c r="H151" s="102" t="s">
        <v>13</v>
      </c>
      <c r="I151" s="103" t="s">
        <v>0</v>
      </c>
      <c r="J151" s="104"/>
      <c r="K151" s="83"/>
      <c r="L151" s="105">
        <v>45</v>
      </c>
      <c r="M151" s="89">
        <v>60</v>
      </c>
      <c r="N151" s="89">
        <v>75</v>
      </c>
      <c r="O151" s="89">
        <v>90</v>
      </c>
      <c r="P151" s="89">
        <v>120</v>
      </c>
      <c r="Q151" s="89">
        <v>150</v>
      </c>
      <c r="R151" s="187" t="s">
        <v>218</v>
      </c>
      <c r="S151" s="106" t="s">
        <v>9</v>
      </c>
      <c r="T151" s="107" t="s">
        <v>10</v>
      </c>
      <c r="U151" s="90"/>
      <c r="V151" s="91"/>
      <c r="W151" s="91"/>
      <c r="X151" s="91"/>
      <c r="Y151" s="91"/>
      <c r="Z151" s="92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3"/>
      <c r="AL151" s="91"/>
      <c r="AM151" s="409"/>
      <c r="AN151" s="83"/>
      <c r="AO151" s="84"/>
      <c r="AP151" s="145"/>
      <c r="AQ151" s="83"/>
      <c r="AR151" s="83"/>
      <c r="AS151" s="145"/>
      <c r="AT151" s="83"/>
      <c r="AU151" s="83"/>
      <c r="AV151" s="83"/>
      <c r="AW151" s="323"/>
      <c r="AX151" s="323"/>
      <c r="BK151" s="188"/>
      <c r="CC151" s="367"/>
    </row>
    <row r="152" spans="2:81" ht="15" customHeight="1">
      <c r="B152" s="98"/>
      <c r="C152" s="108">
        <v>151</v>
      </c>
      <c r="D152" s="99" t="s">
        <v>446</v>
      </c>
      <c r="E152" s="100" t="s">
        <v>447</v>
      </c>
      <c r="F152" s="101" t="s">
        <v>14</v>
      </c>
      <c r="G152" s="102" t="s">
        <v>5</v>
      </c>
      <c r="H152" s="102" t="s">
        <v>13</v>
      </c>
      <c r="I152" s="103" t="s">
        <v>0</v>
      </c>
      <c r="J152" s="104"/>
      <c r="K152" s="83"/>
      <c r="L152" s="105">
        <v>45</v>
      </c>
      <c r="M152" s="89">
        <v>60</v>
      </c>
      <c r="N152" s="89">
        <v>75</v>
      </c>
      <c r="O152" s="89">
        <v>90</v>
      </c>
      <c r="P152" s="89">
        <v>120</v>
      </c>
      <c r="Q152" s="89">
        <v>150</v>
      </c>
      <c r="R152" s="187" t="s">
        <v>218</v>
      </c>
      <c r="S152" s="106" t="s">
        <v>9</v>
      </c>
      <c r="T152" s="107" t="s">
        <v>10</v>
      </c>
      <c r="U152" s="90"/>
      <c r="V152" s="91"/>
      <c r="W152" s="91"/>
      <c r="X152" s="91"/>
      <c r="Y152" s="91"/>
      <c r="Z152" s="92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93"/>
      <c r="AL152" s="91"/>
      <c r="AM152" s="409"/>
      <c r="AN152" s="83"/>
      <c r="AO152" s="84"/>
      <c r="AP152" s="145"/>
      <c r="AQ152" s="83"/>
      <c r="AR152" s="83"/>
      <c r="AS152" s="145"/>
      <c r="AT152" s="83"/>
      <c r="AU152" s="83"/>
      <c r="AV152" s="83"/>
      <c r="AW152" s="323"/>
      <c r="AX152" s="323"/>
      <c r="BK152" s="188"/>
      <c r="CC152" s="367"/>
    </row>
    <row r="153" spans="2:81" ht="15" customHeight="1">
      <c r="B153" s="98"/>
      <c r="C153" s="108">
        <v>152</v>
      </c>
      <c r="D153" s="99" t="s">
        <v>446</v>
      </c>
      <c r="E153" s="100" t="s">
        <v>447</v>
      </c>
      <c r="F153" s="101" t="s">
        <v>14</v>
      </c>
      <c r="G153" s="102" t="s">
        <v>5</v>
      </c>
      <c r="H153" s="102" t="s">
        <v>13</v>
      </c>
      <c r="I153" s="103" t="s">
        <v>0</v>
      </c>
      <c r="J153" s="104"/>
      <c r="K153" s="83"/>
      <c r="L153" s="105">
        <v>45</v>
      </c>
      <c r="M153" s="89">
        <v>60</v>
      </c>
      <c r="N153" s="89">
        <v>75</v>
      </c>
      <c r="O153" s="89">
        <v>90</v>
      </c>
      <c r="P153" s="89">
        <v>120</v>
      </c>
      <c r="Q153" s="89">
        <v>150</v>
      </c>
      <c r="R153" s="187" t="s">
        <v>218</v>
      </c>
      <c r="S153" s="106" t="s">
        <v>9</v>
      </c>
      <c r="T153" s="107" t="s">
        <v>10</v>
      </c>
      <c r="U153" s="90"/>
      <c r="V153" s="91"/>
      <c r="W153" s="91"/>
      <c r="X153" s="91"/>
      <c r="Y153" s="91"/>
      <c r="Z153" s="92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3"/>
      <c r="AL153" s="91"/>
      <c r="AM153" s="409"/>
      <c r="AN153" s="83"/>
      <c r="AO153" s="84"/>
      <c r="AP153" s="145"/>
      <c r="AQ153" s="83"/>
      <c r="AR153" s="83"/>
      <c r="AS153" s="145"/>
      <c r="AT153" s="83"/>
      <c r="AU153" s="83"/>
      <c r="AV153" s="83"/>
      <c r="AW153" s="323"/>
      <c r="AX153" s="323"/>
      <c r="BK153" s="188"/>
      <c r="CC153" s="367"/>
    </row>
    <row r="154" spans="2:81" ht="15" customHeight="1">
      <c r="B154" s="98"/>
      <c r="C154" s="108">
        <v>153</v>
      </c>
      <c r="D154" s="99" t="s">
        <v>446</v>
      </c>
      <c r="E154" s="100" t="s">
        <v>447</v>
      </c>
      <c r="F154" s="101" t="s">
        <v>14</v>
      </c>
      <c r="G154" s="102" t="s">
        <v>5</v>
      </c>
      <c r="H154" s="102" t="s">
        <v>13</v>
      </c>
      <c r="I154" s="103" t="s">
        <v>0</v>
      </c>
      <c r="J154" s="104"/>
      <c r="K154" s="83"/>
      <c r="L154" s="105">
        <v>45</v>
      </c>
      <c r="M154" s="89">
        <v>60</v>
      </c>
      <c r="N154" s="89">
        <v>75</v>
      </c>
      <c r="O154" s="89">
        <v>90</v>
      </c>
      <c r="P154" s="89">
        <v>120</v>
      </c>
      <c r="Q154" s="89">
        <v>150</v>
      </c>
      <c r="R154" s="187" t="s">
        <v>218</v>
      </c>
      <c r="S154" s="106" t="s">
        <v>9</v>
      </c>
      <c r="T154" s="107" t="s">
        <v>10</v>
      </c>
      <c r="U154" s="90"/>
      <c r="V154" s="91"/>
      <c r="W154" s="91"/>
      <c r="X154" s="91"/>
      <c r="Y154" s="91"/>
      <c r="Z154" s="92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93"/>
      <c r="AL154" s="91"/>
      <c r="AM154" s="409"/>
      <c r="AN154" s="83"/>
      <c r="AO154" s="84"/>
      <c r="AP154" s="145"/>
      <c r="AQ154" s="83"/>
      <c r="AR154" s="83"/>
      <c r="AS154" s="145"/>
      <c r="AT154" s="83"/>
      <c r="AU154" s="83"/>
      <c r="AV154" s="83"/>
      <c r="AW154" s="323"/>
      <c r="AX154" s="323"/>
      <c r="BK154" s="188"/>
      <c r="CC154" s="367"/>
    </row>
    <row r="155" spans="2:81" ht="15" customHeight="1">
      <c r="B155" s="98"/>
      <c r="C155" s="108">
        <v>154</v>
      </c>
      <c r="D155" s="99" t="s">
        <v>446</v>
      </c>
      <c r="E155" s="100" t="s">
        <v>447</v>
      </c>
      <c r="F155" s="101" t="s">
        <v>14</v>
      </c>
      <c r="G155" s="102" t="s">
        <v>5</v>
      </c>
      <c r="H155" s="102" t="s">
        <v>13</v>
      </c>
      <c r="I155" s="103" t="s">
        <v>0</v>
      </c>
      <c r="J155" s="104"/>
      <c r="K155" s="83"/>
      <c r="L155" s="105">
        <v>45</v>
      </c>
      <c r="M155" s="89">
        <v>60</v>
      </c>
      <c r="N155" s="89">
        <v>75</v>
      </c>
      <c r="O155" s="89">
        <v>90</v>
      </c>
      <c r="P155" s="89">
        <v>120</v>
      </c>
      <c r="Q155" s="89">
        <v>150</v>
      </c>
      <c r="R155" s="187" t="s">
        <v>218</v>
      </c>
      <c r="S155" s="106" t="s">
        <v>9</v>
      </c>
      <c r="T155" s="107" t="s">
        <v>10</v>
      </c>
      <c r="U155" s="90"/>
      <c r="V155" s="91"/>
      <c r="W155" s="91"/>
      <c r="X155" s="91"/>
      <c r="Y155" s="91"/>
      <c r="Z155" s="92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93"/>
      <c r="AL155" s="91"/>
      <c r="AM155" s="409"/>
      <c r="AN155" s="83"/>
      <c r="AO155" s="84"/>
      <c r="AP155" s="145"/>
      <c r="AQ155" s="83"/>
      <c r="AR155" s="83"/>
      <c r="AS155" s="145"/>
      <c r="AT155" s="83"/>
      <c r="AU155" s="83"/>
      <c r="AV155" s="83"/>
      <c r="AW155" s="323"/>
      <c r="AX155" s="323"/>
      <c r="BK155" s="188"/>
      <c r="CC155" s="367"/>
    </row>
    <row r="156" spans="2:81" ht="15" customHeight="1">
      <c r="B156" s="98"/>
      <c r="C156" s="108">
        <v>155</v>
      </c>
      <c r="D156" s="99" t="s">
        <v>446</v>
      </c>
      <c r="E156" s="100" t="s">
        <v>447</v>
      </c>
      <c r="F156" s="101" t="s">
        <v>14</v>
      </c>
      <c r="G156" s="102" t="s">
        <v>5</v>
      </c>
      <c r="H156" s="102" t="s">
        <v>13</v>
      </c>
      <c r="I156" s="103" t="s">
        <v>0</v>
      </c>
      <c r="J156" s="104"/>
      <c r="K156" s="83"/>
      <c r="L156" s="105">
        <v>45</v>
      </c>
      <c r="M156" s="89">
        <v>60</v>
      </c>
      <c r="N156" s="89">
        <v>75</v>
      </c>
      <c r="O156" s="89">
        <v>90</v>
      </c>
      <c r="P156" s="89">
        <v>120</v>
      </c>
      <c r="Q156" s="89">
        <v>150</v>
      </c>
      <c r="R156" s="187" t="s">
        <v>218</v>
      </c>
      <c r="S156" s="106" t="s">
        <v>9</v>
      </c>
      <c r="T156" s="107" t="s">
        <v>10</v>
      </c>
      <c r="U156" s="90"/>
      <c r="V156" s="91"/>
      <c r="W156" s="91"/>
      <c r="X156" s="91"/>
      <c r="Y156" s="91"/>
      <c r="Z156" s="92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93"/>
      <c r="AL156" s="91"/>
      <c r="AM156" s="409"/>
      <c r="AN156" s="83"/>
      <c r="AO156" s="84"/>
      <c r="AP156" s="145"/>
      <c r="AQ156" s="83"/>
      <c r="AR156" s="83"/>
      <c r="AS156" s="145"/>
      <c r="AT156" s="83"/>
      <c r="AU156" s="83"/>
      <c r="AV156" s="83"/>
      <c r="AW156" s="323"/>
      <c r="AX156" s="323"/>
      <c r="BK156" s="188"/>
      <c r="CC156" s="367"/>
    </row>
    <row r="157" spans="2:81" ht="15" customHeight="1">
      <c r="B157" s="98"/>
      <c r="C157" s="108">
        <v>156</v>
      </c>
      <c r="D157" s="99" t="s">
        <v>446</v>
      </c>
      <c r="E157" s="100" t="s">
        <v>447</v>
      </c>
      <c r="F157" s="101" t="s">
        <v>14</v>
      </c>
      <c r="G157" s="102" t="s">
        <v>5</v>
      </c>
      <c r="H157" s="102" t="s">
        <v>13</v>
      </c>
      <c r="I157" s="103" t="s">
        <v>0</v>
      </c>
      <c r="J157" s="104"/>
      <c r="K157" s="83"/>
      <c r="L157" s="105">
        <v>45</v>
      </c>
      <c r="M157" s="89">
        <v>60</v>
      </c>
      <c r="N157" s="89">
        <v>75</v>
      </c>
      <c r="O157" s="89">
        <v>90</v>
      </c>
      <c r="P157" s="89">
        <v>120</v>
      </c>
      <c r="Q157" s="89">
        <v>150</v>
      </c>
      <c r="R157" s="187" t="s">
        <v>218</v>
      </c>
      <c r="S157" s="106" t="s">
        <v>9</v>
      </c>
      <c r="T157" s="107" t="s">
        <v>10</v>
      </c>
      <c r="U157" s="90"/>
      <c r="V157" s="91"/>
      <c r="W157" s="91"/>
      <c r="X157" s="91"/>
      <c r="Y157" s="91"/>
      <c r="Z157" s="92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3"/>
      <c r="AL157" s="91"/>
      <c r="AM157" s="409"/>
      <c r="AN157" s="83"/>
      <c r="AO157" s="84"/>
      <c r="AP157" s="145"/>
      <c r="AQ157" s="83"/>
      <c r="AR157" s="83"/>
      <c r="AS157" s="145"/>
      <c r="AT157" s="83"/>
      <c r="AU157" s="83"/>
      <c r="AV157" s="83"/>
      <c r="AW157" s="323"/>
      <c r="AX157" s="323"/>
      <c r="BK157" s="188"/>
      <c r="CC157" s="367"/>
    </row>
    <row r="158" spans="2:81" ht="15" customHeight="1">
      <c r="B158" s="98"/>
      <c r="C158" s="108">
        <v>157</v>
      </c>
      <c r="D158" s="99" t="s">
        <v>446</v>
      </c>
      <c r="E158" s="100" t="s">
        <v>447</v>
      </c>
      <c r="F158" s="101" t="s">
        <v>14</v>
      </c>
      <c r="G158" s="102" t="s">
        <v>5</v>
      </c>
      <c r="H158" s="102" t="s">
        <v>13</v>
      </c>
      <c r="I158" s="103" t="s">
        <v>0</v>
      </c>
      <c r="J158" s="104"/>
      <c r="K158" s="83"/>
      <c r="L158" s="105">
        <v>45</v>
      </c>
      <c r="M158" s="89">
        <v>60</v>
      </c>
      <c r="N158" s="89">
        <v>75</v>
      </c>
      <c r="O158" s="89">
        <v>90</v>
      </c>
      <c r="P158" s="89">
        <v>120</v>
      </c>
      <c r="Q158" s="89">
        <v>150</v>
      </c>
      <c r="R158" s="187" t="s">
        <v>218</v>
      </c>
      <c r="S158" s="106" t="s">
        <v>9</v>
      </c>
      <c r="T158" s="107" t="s">
        <v>10</v>
      </c>
      <c r="U158" s="90"/>
      <c r="V158" s="91"/>
      <c r="W158" s="91"/>
      <c r="X158" s="91"/>
      <c r="Y158" s="91"/>
      <c r="Z158" s="92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3"/>
      <c r="AL158" s="91"/>
      <c r="AM158" s="409"/>
      <c r="AN158" s="83"/>
      <c r="AO158" s="84"/>
      <c r="AP158" s="145"/>
      <c r="AQ158" s="83"/>
      <c r="AR158" s="83"/>
      <c r="AS158" s="145"/>
      <c r="AT158" s="83"/>
      <c r="AU158" s="83"/>
      <c r="AV158" s="83"/>
      <c r="AW158" s="323"/>
      <c r="AX158" s="323"/>
      <c r="BK158" s="188"/>
      <c r="CC158" s="367"/>
    </row>
    <row r="159" spans="2:81" ht="15" customHeight="1">
      <c r="B159" s="98"/>
      <c r="C159" s="108">
        <v>158</v>
      </c>
      <c r="D159" s="99" t="s">
        <v>446</v>
      </c>
      <c r="E159" s="100" t="s">
        <v>447</v>
      </c>
      <c r="F159" s="101" t="s">
        <v>14</v>
      </c>
      <c r="G159" s="102" t="s">
        <v>5</v>
      </c>
      <c r="H159" s="102" t="s">
        <v>13</v>
      </c>
      <c r="I159" s="103" t="s">
        <v>0</v>
      </c>
      <c r="J159" s="104"/>
      <c r="K159" s="83"/>
      <c r="L159" s="105">
        <v>45</v>
      </c>
      <c r="M159" s="89">
        <v>60</v>
      </c>
      <c r="N159" s="89">
        <v>75</v>
      </c>
      <c r="O159" s="89">
        <v>90</v>
      </c>
      <c r="P159" s="89">
        <v>120</v>
      </c>
      <c r="Q159" s="89">
        <v>150</v>
      </c>
      <c r="R159" s="187" t="s">
        <v>218</v>
      </c>
      <c r="S159" s="106" t="s">
        <v>9</v>
      </c>
      <c r="T159" s="107" t="s">
        <v>10</v>
      </c>
      <c r="U159" s="90"/>
      <c r="V159" s="91"/>
      <c r="W159" s="91"/>
      <c r="X159" s="91"/>
      <c r="Y159" s="91"/>
      <c r="Z159" s="92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3"/>
      <c r="AL159" s="91"/>
      <c r="AM159" s="409"/>
      <c r="AN159" s="83"/>
      <c r="AO159" s="84"/>
      <c r="AP159" s="145"/>
      <c r="AQ159" s="83"/>
      <c r="AR159" s="83"/>
      <c r="AS159" s="145"/>
      <c r="AT159" s="83"/>
      <c r="AU159" s="83"/>
      <c r="AV159" s="83"/>
      <c r="AW159" s="323"/>
      <c r="AX159" s="323"/>
      <c r="BK159" s="188"/>
      <c r="CC159" s="367"/>
    </row>
    <row r="160" spans="2:81" ht="15" customHeight="1">
      <c r="B160" s="98"/>
      <c r="C160" s="108">
        <v>159</v>
      </c>
      <c r="D160" s="99" t="s">
        <v>446</v>
      </c>
      <c r="E160" s="100" t="s">
        <v>447</v>
      </c>
      <c r="F160" s="101" t="s">
        <v>14</v>
      </c>
      <c r="G160" s="102" t="s">
        <v>5</v>
      </c>
      <c r="H160" s="102" t="s">
        <v>13</v>
      </c>
      <c r="I160" s="103" t="s">
        <v>0</v>
      </c>
      <c r="J160" s="104"/>
      <c r="K160" s="83"/>
      <c r="L160" s="105">
        <v>45</v>
      </c>
      <c r="M160" s="89">
        <v>60</v>
      </c>
      <c r="N160" s="89">
        <v>75</v>
      </c>
      <c r="O160" s="89">
        <v>90</v>
      </c>
      <c r="P160" s="89">
        <v>120</v>
      </c>
      <c r="Q160" s="89">
        <v>150</v>
      </c>
      <c r="R160" s="187" t="s">
        <v>218</v>
      </c>
      <c r="S160" s="106" t="s">
        <v>9</v>
      </c>
      <c r="T160" s="107" t="s">
        <v>10</v>
      </c>
      <c r="U160" s="90"/>
      <c r="V160" s="91"/>
      <c r="W160" s="91"/>
      <c r="X160" s="91"/>
      <c r="Y160" s="91"/>
      <c r="Z160" s="92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3"/>
      <c r="AL160" s="91"/>
      <c r="AM160" s="409"/>
      <c r="AN160" s="83"/>
      <c r="AO160" s="84"/>
      <c r="AP160" s="145"/>
      <c r="AQ160" s="83"/>
      <c r="AR160" s="83"/>
      <c r="AS160" s="145"/>
      <c r="AT160" s="83"/>
      <c r="AU160" s="83"/>
      <c r="AV160" s="83"/>
      <c r="AW160" s="323"/>
      <c r="AX160" s="323"/>
      <c r="BK160" s="188"/>
      <c r="CC160" s="367"/>
    </row>
    <row r="161" spans="2:81" ht="15" customHeight="1">
      <c r="B161" s="98"/>
      <c r="C161" s="108">
        <v>160</v>
      </c>
      <c r="D161" s="99" t="s">
        <v>446</v>
      </c>
      <c r="E161" s="100" t="s">
        <v>447</v>
      </c>
      <c r="F161" s="101" t="s">
        <v>14</v>
      </c>
      <c r="G161" s="102" t="s">
        <v>5</v>
      </c>
      <c r="H161" s="102" t="s">
        <v>13</v>
      </c>
      <c r="I161" s="103" t="s">
        <v>0</v>
      </c>
      <c r="J161" s="104"/>
      <c r="K161" s="83"/>
      <c r="L161" s="105">
        <v>45</v>
      </c>
      <c r="M161" s="89">
        <v>60</v>
      </c>
      <c r="N161" s="89">
        <v>75</v>
      </c>
      <c r="O161" s="89">
        <v>90</v>
      </c>
      <c r="P161" s="89">
        <v>120</v>
      </c>
      <c r="Q161" s="89">
        <v>150</v>
      </c>
      <c r="R161" s="187" t="s">
        <v>218</v>
      </c>
      <c r="S161" s="106" t="s">
        <v>9</v>
      </c>
      <c r="T161" s="107" t="s">
        <v>10</v>
      </c>
      <c r="U161" s="90"/>
      <c r="V161" s="91"/>
      <c r="W161" s="91"/>
      <c r="X161" s="91"/>
      <c r="Y161" s="91"/>
      <c r="Z161" s="92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3"/>
      <c r="AL161" s="91"/>
      <c r="AM161" s="409"/>
      <c r="AN161" s="83"/>
      <c r="AO161" s="84"/>
      <c r="AP161" s="145"/>
      <c r="AQ161" s="83"/>
      <c r="AR161" s="83"/>
      <c r="AS161" s="145"/>
      <c r="AT161" s="83"/>
      <c r="AU161" s="83"/>
      <c r="AV161" s="83"/>
      <c r="AW161" s="323"/>
      <c r="AX161" s="323"/>
      <c r="BK161" s="188"/>
      <c r="CC161" s="367"/>
    </row>
    <row r="162" spans="2:81" ht="15" customHeight="1">
      <c r="B162" s="98"/>
      <c r="C162" s="108">
        <v>161</v>
      </c>
      <c r="D162" s="99" t="s">
        <v>446</v>
      </c>
      <c r="E162" s="100" t="s">
        <v>447</v>
      </c>
      <c r="F162" s="101" t="s">
        <v>14</v>
      </c>
      <c r="G162" s="102" t="s">
        <v>5</v>
      </c>
      <c r="H162" s="102" t="s">
        <v>13</v>
      </c>
      <c r="I162" s="103" t="s">
        <v>0</v>
      </c>
      <c r="J162" s="104"/>
      <c r="K162" s="83"/>
      <c r="L162" s="105">
        <v>45</v>
      </c>
      <c r="M162" s="89">
        <v>60</v>
      </c>
      <c r="N162" s="89">
        <v>75</v>
      </c>
      <c r="O162" s="89">
        <v>90</v>
      </c>
      <c r="P162" s="89">
        <v>120</v>
      </c>
      <c r="Q162" s="89">
        <v>150</v>
      </c>
      <c r="R162" s="187" t="s">
        <v>218</v>
      </c>
      <c r="S162" s="106" t="s">
        <v>9</v>
      </c>
      <c r="T162" s="107" t="s">
        <v>10</v>
      </c>
      <c r="U162" s="90"/>
      <c r="V162" s="91"/>
      <c r="W162" s="91"/>
      <c r="X162" s="91"/>
      <c r="Y162" s="91"/>
      <c r="Z162" s="92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3"/>
      <c r="AL162" s="91"/>
      <c r="AM162" s="409"/>
      <c r="AN162" s="83"/>
      <c r="AO162" s="84"/>
      <c r="AP162" s="145"/>
      <c r="AQ162" s="83"/>
      <c r="AR162" s="83"/>
      <c r="AS162" s="145"/>
      <c r="AT162" s="83"/>
      <c r="AU162" s="83"/>
      <c r="AV162" s="83"/>
      <c r="AW162" s="323"/>
      <c r="AX162" s="323"/>
      <c r="BK162" s="188"/>
      <c r="CC162" s="367"/>
    </row>
    <row r="163" spans="2:81" ht="15" customHeight="1">
      <c r="B163" s="98"/>
      <c r="C163" s="108">
        <v>162</v>
      </c>
      <c r="D163" s="99" t="s">
        <v>446</v>
      </c>
      <c r="E163" s="100" t="s">
        <v>447</v>
      </c>
      <c r="F163" s="101" t="s">
        <v>14</v>
      </c>
      <c r="G163" s="102" t="s">
        <v>5</v>
      </c>
      <c r="H163" s="102" t="s">
        <v>13</v>
      </c>
      <c r="I163" s="103" t="s">
        <v>0</v>
      </c>
      <c r="J163" s="104"/>
      <c r="K163" s="83"/>
      <c r="L163" s="105">
        <v>45</v>
      </c>
      <c r="M163" s="89">
        <v>60</v>
      </c>
      <c r="N163" s="89">
        <v>75</v>
      </c>
      <c r="O163" s="89">
        <v>90</v>
      </c>
      <c r="P163" s="89">
        <v>120</v>
      </c>
      <c r="Q163" s="89">
        <v>150</v>
      </c>
      <c r="R163" s="187" t="s">
        <v>218</v>
      </c>
      <c r="S163" s="106" t="s">
        <v>9</v>
      </c>
      <c r="T163" s="107" t="s">
        <v>10</v>
      </c>
      <c r="U163" s="90"/>
      <c r="V163" s="91"/>
      <c r="W163" s="91"/>
      <c r="X163" s="91"/>
      <c r="Y163" s="91"/>
      <c r="Z163" s="92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3"/>
      <c r="AL163" s="91"/>
      <c r="AM163" s="409"/>
      <c r="AN163" s="83"/>
      <c r="AO163" s="84"/>
      <c r="AP163" s="145"/>
      <c r="AQ163" s="83"/>
      <c r="AR163" s="83"/>
      <c r="AS163" s="145"/>
      <c r="AT163" s="83"/>
      <c r="AU163" s="83"/>
      <c r="AV163" s="83"/>
      <c r="AW163" s="323"/>
      <c r="AX163" s="323"/>
      <c r="BK163" s="188"/>
      <c r="CC163" s="367"/>
    </row>
    <row r="164" spans="2:81" ht="15" customHeight="1">
      <c r="B164" s="98"/>
      <c r="C164" s="108">
        <v>163</v>
      </c>
      <c r="D164" s="99" t="s">
        <v>446</v>
      </c>
      <c r="E164" s="100" t="s">
        <v>447</v>
      </c>
      <c r="F164" s="101" t="s">
        <v>14</v>
      </c>
      <c r="G164" s="102" t="s">
        <v>5</v>
      </c>
      <c r="H164" s="102" t="s">
        <v>13</v>
      </c>
      <c r="I164" s="103" t="s">
        <v>0</v>
      </c>
      <c r="J164" s="104"/>
      <c r="K164" s="83"/>
      <c r="L164" s="105">
        <v>45</v>
      </c>
      <c r="M164" s="89">
        <v>60</v>
      </c>
      <c r="N164" s="89">
        <v>75</v>
      </c>
      <c r="O164" s="89">
        <v>90</v>
      </c>
      <c r="P164" s="89">
        <v>120</v>
      </c>
      <c r="Q164" s="89">
        <v>150</v>
      </c>
      <c r="R164" s="187" t="s">
        <v>218</v>
      </c>
      <c r="S164" s="106" t="s">
        <v>9</v>
      </c>
      <c r="T164" s="107" t="s">
        <v>10</v>
      </c>
      <c r="U164" s="90"/>
      <c r="V164" s="91"/>
      <c r="W164" s="91"/>
      <c r="X164" s="91"/>
      <c r="Y164" s="91"/>
      <c r="Z164" s="92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3"/>
      <c r="AL164" s="91"/>
      <c r="AM164" s="409"/>
      <c r="AN164" s="83"/>
      <c r="AO164" s="84"/>
      <c r="AP164" s="145"/>
      <c r="AQ164" s="83"/>
      <c r="AR164" s="83"/>
      <c r="AS164" s="145"/>
      <c r="AT164" s="83"/>
      <c r="AU164" s="83"/>
      <c r="AV164" s="83"/>
      <c r="AW164" s="323"/>
      <c r="AX164" s="323"/>
      <c r="BK164" s="188"/>
      <c r="CC164" s="367"/>
    </row>
    <row r="165" spans="2:81" ht="15" customHeight="1">
      <c r="B165" s="98"/>
      <c r="C165" s="108">
        <v>164</v>
      </c>
      <c r="D165" s="99" t="s">
        <v>446</v>
      </c>
      <c r="E165" s="100" t="s">
        <v>447</v>
      </c>
      <c r="F165" s="101" t="s">
        <v>14</v>
      </c>
      <c r="G165" s="102" t="s">
        <v>5</v>
      </c>
      <c r="H165" s="102" t="s">
        <v>13</v>
      </c>
      <c r="I165" s="103" t="s">
        <v>0</v>
      </c>
      <c r="J165" s="104"/>
      <c r="K165" s="83"/>
      <c r="L165" s="105">
        <v>45</v>
      </c>
      <c r="M165" s="89">
        <v>60</v>
      </c>
      <c r="N165" s="89">
        <v>75</v>
      </c>
      <c r="O165" s="89">
        <v>90</v>
      </c>
      <c r="P165" s="89">
        <v>120</v>
      </c>
      <c r="Q165" s="89">
        <v>150</v>
      </c>
      <c r="R165" s="187" t="s">
        <v>218</v>
      </c>
      <c r="S165" s="106" t="s">
        <v>9</v>
      </c>
      <c r="T165" s="107" t="s">
        <v>10</v>
      </c>
      <c r="U165" s="90"/>
      <c r="V165" s="91"/>
      <c r="W165" s="91"/>
      <c r="X165" s="91"/>
      <c r="Y165" s="91"/>
      <c r="Z165" s="92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3"/>
      <c r="AL165" s="91"/>
      <c r="AM165" s="409"/>
      <c r="AN165" s="83"/>
      <c r="AO165" s="84"/>
      <c r="AP165" s="145"/>
      <c r="AQ165" s="83"/>
      <c r="AR165" s="83"/>
      <c r="AS165" s="145"/>
      <c r="AT165" s="83"/>
      <c r="AU165" s="83"/>
      <c r="AV165" s="83"/>
      <c r="AW165" s="323"/>
      <c r="AX165" s="323"/>
      <c r="BK165" s="188"/>
      <c r="CC165" s="367"/>
    </row>
    <row r="166" spans="2:81" ht="15" customHeight="1">
      <c r="B166" s="98"/>
      <c r="C166" s="108">
        <v>165</v>
      </c>
      <c r="D166" s="99" t="s">
        <v>446</v>
      </c>
      <c r="E166" s="100" t="s">
        <v>447</v>
      </c>
      <c r="F166" s="101" t="s">
        <v>14</v>
      </c>
      <c r="G166" s="102" t="s">
        <v>5</v>
      </c>
      <c r="H166" s="102" t="s">
        <v>13</v>
      </c>
      <c r="I166" s="103" t="s">
        <v>0</v>
      </c>
      <c r="J166" s="104"/>
      <c r="K166" s="83"/>
      <c r="L166" s="105">
        <v>45</v>
      </c>
      <c r="M166" s="89">
        <v>60</v>
      </c>
      <c r="N166" s="89">
        <v>75</v>
      </c>
      <c r="O166" s="89">
        <v>90</v>
      </c>
      <c r="P166" s="89">
        <v>120</v>
      </c>
      <c r="Q166" s="89">
        <v>150</v>
      </c>
      <c r="R166" s="187" t="s">
        <v>218</v>
      </c>
      <c r="S166" s="106" t="s">
        <v>9</v>
      </c>
      <c r="T166" s="107" t="s">
        <v>10</v>
      </c>
      <c r="U166" s="90"/>
      <c r="V166" s="91"/>
      <c r="W166" s="91"/>
      <c r="X166" s="91"/>
      <c r="Y166" s="91"/>
      <c r="Z166" s="92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3"/>
      <c r="AL166" s="91"/>
      <c r="AM166" s="409"/>
      <c r="AN166" s="83"/>
      <c r="AO166" s="84"/>
      <c r="AP166" s="145"/>
      <c r="AQ166" s="83"/>
      <c r="AR166" s="83"/>
      <c r="AS166" s="145"/>
      <c r="AT166" s="83"/>
      <c r="AU166" s="83"/>
      <c r="AV166" s="83"/>
      <c r="AW166" s="323"/>
      <c r="AX166" s="323"/>
      <c r="BK166" s="188"/>
      <c r="CC166" s="367"/>
    </row>
    <row r="167" spans="2:81" ht="15" customHeight="1">
      <c r="B167" s="98"/>
      <c r="C167" s="108">
        <v>166</v>
      </c>
      <c r="D167" s="99" t="s">
        <v>446</v>
      </c>
      <c r="E167" s="100" t="s">
        <v>447</v>
      </c>
      <c r="F167" s="101" t="s">
        <v>14</v>
      </c>
      <c r="G167" s="102" t="s">
        <v>5</v>
      </c>
      <c r="H167" s="102" t="s">
        <v>13</v>
      </c>
      <c r="I167" s="103" t="s">
        <v>0</v>
      </c>
      <c r="J167" s="104"/>
      <c r="K167" s="83"/>
      <c r="L167" s="105">
        <v>45</v>
      </c>
      <c r="M167" s="89">
        <v>60</v>
      </c>
      <c r="N167" s="89">
        <v>75</v>
      </c>
      <c r="O167" s="89">
        <v>90</v>
      </c>
      <c r="P167" s="89">
        <v>120</v>
      </c>
      <c r="Q167" s="89">
        <v>150</v>
      </c>
      <c r="R167" s="187" t="s">
        <v>218</v>
      </c>
      <c r="S167" s="106" t="s">
        <v>9</v>
      </c>
      <c r="T167" s="107" t="s">
        <v>10</v>
      </c>
      <c r="U167" s="90"/>
      <c r="V167" s="91"/>
      <c r="W167" s="91"/>
      <c r="X167" s="91"/>
      <c r="Y167" s="91"/>
      <c r="Z167" s="92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3"/>
      <c r="AL167" s="91"/>
      <c r="AM167" s="409"/>
      <c r="AN167" s="83"/>
      <c r="AO167" s="84"/>
      <c r="AP167" s="145"/>
      <c r="AQ167" s="83"/>
      <c r="AR167" s="83"/>
      <c r="AS167" s="145"/>
      <c r="AT167" s="83"/>
      <c r="AU167" s="83"/>
      <c r="AV167" s="83"/>
      <c r="AW167" s="323"/>
      <c r="AX167" s="323"/>
      <c r="BK167" s="188"/>
      <c r="CC167" s="367"/>
    </row>
    <row r="168" spans="2:81" ht="15" customHeight="1">
      <c r="B168" s="98"/>
      <c r="C168" s="108">
        <v>167</v>
      </c>
      <c r="D168" s="99" t="s">
        <v>446</v>
      </c>
      <c r="E168" s="100" t="s">
        <v>447</v>
      </c>
      <c r="F168" s="101" t="s">
        <v>14</v>
      </c>
      <c r="G168" s="102" t="s">
        <v>5</v>
      </c>
      <c r="H168" s="102" t="s">
        <v>13</v>
      </c>
      <c r="I168" s="103" t="s">
        <v>0</v>
      </c>
      <c r="J168" s="104"/>
      <c r="K168" s="83"/>
      <c r="L168" s="105">
        <v>45</v>
      </c>
      <c r="M168" s="89">
        <v>60</v>
      </c>
      <c r="N168" s="89">
        <v>75</v>
      </c>
      <c r="O168" s="89">
        <v>90</v>
      </c>
      <c r="P168" s="89">
        <v>120</v>
      </c>
      <c r="Q168" s="89">
        <v>150</v>
      </c>
      <c r="R168" s="187" t="s">
        <v>218</v>
      </c>
      <c r="S168" s="106" t="s">
        <v>9</v>
      </c>
      <c r="T168" s="107" t="s">
        <v>10</v>
      </c>
      <c r="U168" s="90"/>
      <c r="V168" s="91"/>
      <c r="W168" s="91"/>
      <c r="X168" s="91"/>
      <c r="Y168" s="91"/>
      <c r="Z168" s="92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3"/>
      <c r="AL168" s="91"/>
      <c r="AM168" s="409"/>
      <c r="AN168" s="83"/>
      <c r="AO168" s="84"/>
      <c r="AP168" s="145"/>
      <c r="AQ168" s="83"/>
      <c r="AR168" s="83"/>
      <c r="AS168" s="145"/>
      <c r="AT168" s="83"/>
      <c r="AU168" s="83"/>
      <c r="AV168" s="83"/>
      <c r="AW168" s="323"/>
      <c r="AX168" s="323"/>
      <c r="BK168" s="188"/>
      <c r="CC168" s="367"/>
    </row>
    <row r="169" spans="2:81" ht="15" customHeight="1">
      <c r="B169" s="98"/>
      <c r="C169" s="108">
        <v>168</v>
      </c>
      <c r="D169" s="99" t="s">
        <v>446</v>
      </c>
      <c r="E169" s="100" t="s">
        <v>447</v>
      </c>
      <c r="F169" s="101" t="s">
        <v>14</v>
      </c>
      <c r="G169" s="102" t="s">
        <v>5</v>
      </c>
      <c r="H169" s="102" t="s">
        <v>13</v>
      </c>
      <c r="I169" s="103" t="s">
        <v>0</v>
      </c>
      <c r="J169" s="104"/>
      <c r="K169" s="83"/>
      <c r="L169" s="105">
        <v>45</v>
      </c>
      <c r="M169" s="89">
        <v>60</v>
      </c>
      <c r="N169" s="89">
        <v>75</v>
      </c>
      <c r="O169" s="89">
        <v>90</v>
      </c>
      <c r="P169" s="89">
        <v>120</v>
      </c>
      <c r="Q169" s="89">
        <v>150</v>
      </c>
      <c r="R169" s="187" t="s">
        <v>218</v>
      </c>
      <c r="S169" s="106" t="s">
        <v>9</v>
      </c>
      <c r="T169" s="107" t="s">
        <v>10</v>
      </c>
      <c r="U169" s="90"/>
      <c r="V169" s="91"/>
      <c r="W169" s="91"/>
      <c r="X169" s="91"/>
      <c r="Y169" s="91"/>
      <c r="Z169" s="92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93"/>
      <c r="AL169" s="91"/>
      <c r="AM169" s="409"/>
      <c r="AN169" s="83"/>
      <c r="AO169" s="84"/>
      <c r="AP169" s="145"/>
      <c r="AQ169" s="83"/>
      <c r="AR169" s="83"/>
      <c r="AS169" s="145"/>
      <c r="AT169" s="83"/>
      <c r="AU169" s="83"/>
      <c r="AV169" s="83"/>
      <c r="AW169" s="323"/>
      <c r="AX169" s="323"/>
      <c r="BK169" s="188"/>
      <c r="CC169" s="367"/>
    </row>
    <row r="170" spans="2:81" ht="15" customHeight="1">
      <c r="B170" s="98"/>
      <c r="C170" s="108">
        <v>169</v>
      </c>
      <c r="D170" s="99" t="s">
        <v>446</v>
      </c>
      <c r="E170" s="100" t="s">
        <v>447</v>
      </c>
      <c r="F170" s="101" t="s">
        <v>14</v>
      </c>
      <c r="G170" s="102" t="s">
        <v>5</v>
      </c>
      <c r="H170" s="102" t="s">
        <v>13</v>
      </c>
      <c r="I170" s="103" t="s">
        <v>0</v>
      </c>
      <c r="J170" s="104"/>
      <c r="K170" s="83"/>
      <c r="L170" s="105">
        <v>45</v>
      </c>
      <c r="M170" s="89">
        <v>60</v>
      </c>
      <c r="N170" s="89">
        <v>75</v>
      </c>
      <c r="O170" s="89">
        <v>90</v>
      </c>
      <c r="P170" s="89">
        <v>120</v>
      </c>
      <c r="Q170" s="89">
        <v>150</v>
      </c>
      <c r="R170" s="187" t="s">
        <v>218</v>
      </c>
      <c r="S170" s="106" t="s">
        <v>9</v>
      </c>
      <c r="T170" s="107" t="s">
        <v>10</v>
      </c>
      <c r="U170" s="90"/>
      <c r="V170" s="91"/>
      <c r="W170" s="91"/>
      <c r="X170" s="91"/>
      <c r="Y170" s="91"/>
      <c r="Z170" s="92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3"/>
      <c r="AL170" s="91"/>
      <c r="AM170" s="409"/>
      <c r="AN170" s="83"/>
      <c r="AO170" s="84"/>
      <c r="AP170" s="145"/>
      <c r="AQ170" s="83"/>
      <c r="AR170" s="83"/>
      <c r="AS170" s="145"/>
      <c r="AT170" s="83"/>
      <c r="AU170" s="83"/>
      <c r="AV170" s="83"/>
      <c r="AW170" s="323"/>
      <c r="AX170" s="323"/>
      <c r="BK170" s="188"/>
      <c r="CC170" s="367"/>
    </row>
    <row r="171" spans="2:81" ht="15" customHeight="1">
      <c r="B171" s="98"/>
      <c r="C171" s="108">
        <v>170</v>
      </c>
      <c r="D171" s="99" t="s">
        <v>446</v>
      </c>
      <c r="E171" s="100" t="s">
        <v>447</v>
      </c>
      <c r="F171" s="101" t="s">
        <v>14</v>
      </c>
      <c r="G171" s="102" t="s">
        <v>5</v>
      </c>
      <c r="H171" s="102" t="s">
        <v>13</v>
      </c>
      <c r="I171" s="103" t="s">
        <v>0</v>
      </c>
      <c r="J171" s="104"/>
      <c r="K171" s="83"/>
      <c r="L171" s="105">
        <v>45</v>
      </c>
      <c r="M171" s="89">
        <v>60</v>
      </c>
      <c r="N171" s="89">
        <v>75</v>
      </c>
      <c r="O171" s="89">
        <v>90</v>
      </c>
      <c r="P171" s="89">
        <v>120</v>
      </c>
      <c r="Q171" s="89">
        <v>150</v>
      </c>
      <c r="R171" s="187" t="s">
        <v>218</v>
      </c>
      <c r="S171" s="106" t="s">
        <v>9</v>
      </c>
      <c r="T171" s="107" t="s">
        <v>10</v>
      </c>
      <c r="U171" s="90"/>
      <c r="V171" s="91"/>
      <c r="W171" s="91"/>
      <c r="X171" s="91"/>
      <c r="Y171" s="91"/>
      <c r="Z171" s="92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93"/>
      <c r="AL171" s="91"/>
      <c r="AM171" s="409"/>
      <c r="AN171" s="83"/>
      <c r="AO171" s="84"/>
      <c r="AP171" s="145"/>
      <c r="AQ171" s="83"/>
      <c r="AR171" s="83"/>
      <c r="AS171" s="145"/>
      <c r="AT171" s="83"/>
      <c r="AU171" s="83"/>
      <c r="AV171" s="83"/>
      <c r="AW171" s="323"/>
      <c r="AX171" s="323"/>
      <c r="BK171" s="188"/>
      <c r="CC171" s="367"/>
    </row>
    <row r="172" spans="2:81" ht="15" customHeight="1">
      <c r="B172" s="98"/>
      <c r="C172" s="108">
        <v>171</v>
      </c>
      <c r="D172" s="99" t="s">
        <v>446</v>
      </c>
      <c r="E172" s="100" t="s">
        <v>447</v>
      </c>
      <c r="F172" s="101" t="s">
        <v>14</v>
      </c>
      <c r="G172" s="102" t="s">
        <v>5</v>
      </c>
      <c r="H172" s="102" t="s">
        <v>13</v>
      </c>
      <c r="I172" s="103" t="s">
        <v>0</v>
      </c>
      <c r="J172" s="104"/>
      <c r="K172" s="83"/>
      <c r="L172" s="105">
        <v>45</v>
      </c>
      <c r="M172" s="89">
        <v>60</v>
      </c>
      <c r="N172" s="89">
        <v>75</v>
      </c>
      <c r="O172" s="89">
        <v>90</v>
      </c>
      <c r="P172" s="89">
        <v>120</v>
      </c>
      <c r="Q172" s="89">
        <v>150</v>
      </c>
      <c r="R172" s="187" t="s">
        <v>218</v>
      </c>
      <c r="S172" s="106" t="s">
        <v>9</v>
      </c>
      <c r="T172" s="107" t="s">
        <v>10</v>
      </c>
      <c r="U172" s="90"/>
      <c r="V172" s="91"/>
      <c r="W172" s="91"/>
      <c r="X172" s="91"/>
      <c r="Y172" s="91"/>
      <c r="Z172" s="92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3"/>
      <c r="AL172" s="91"/>
      <c r="AM172" s="409"/>
      <c r="AN172" s="83"/>
      <c r="AO172" s="84"/>
      <c r="AP172" s="145"/>
      <c r="AQ172" s="83"/>
      <c r="AR172" s="83"/>
      <c r="AS172" s="145"/>
      <c r="AT172" s="83"/>
      <c r="AU172" s="83"/>
      <c r="AV172" s="83"/>
      <c r="AW172" s="323"/>
      <c r="AX172" s="323"/>
      <c r="BK172" s="188"/>
      <c r="CC172" s="367"/>
    </row>
    <row r="173" spans="2:81" ht="15" customHeight="1">
      <c r="B173" s="98"/>
      <c r="C173" s="108">
        <v>172</v>
      </c>
      <c r="D173" s="99" t="s">
        <v>446</v>
      </c>
      <c r="E173" s="100" t="s">
        <v>447</v>
      </c>
      <c r="F173" s="101" t="s">
        <v>14</v>
      </c>
      <c r="G173" s="102" t="s">
        <v>5</v>
      </c>
      <c r="H173" s="102" t="s">
        <v>13</v>
      </c>
      <c r="I173" s="103" t="s">
        <v>0</v>
      </c>
      <c r="J173" s="104"/>
      <c r="K173" s="83"/>
      <c r="L173" s="105">
        <v>45</v>
      </c>
      <c r="M173" s="89">
        <v>60</v>
      </c>
      <c r="N173" s="89">
        <v>75</v>
      </c>
      <c r="O173" s="89">
        <v>90</v>
      </c>
      <c r="P173" s="89">
        <v>120</v>
      </c>
      <c r="Q173" s="89">
        <v>150</v>
      </c>
      <c r="R173" s="187" t="s">
        <v>218</v>
      </c>
      <c r="S173" s="106" t="s">
        <v>9</v>
      </c>
      <c r="T173" s="107" t="s">
        <v>10</v>
      </c>
      <c r="U173" s="90"/>
      <c r="V173" s="91"/>
      <c r="W173" s="91"/>
      <c r="X173" s="91"/>
      <c r="Y173" s="91"/>
      <c r="Z173" s="92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3"/>
      <c r="AL173" s="91"/>
      <c r="AM173" s="409"/>
      <c r="AN173" s="83"/>
      <c r="AO173" s="84"/>
      <c r="AP173" s="145"/>
      <c r="AQ173" s="83"/>
      <c r="AR173" s="83"/>
      <c r="AS173" s="145"/>
      <c r="AT173" s="83"/>
      <c r="AU173" s="83"/>
      <c r="AV173" s="83"/>
      <c r="AW173" s="323"/>
      <c r="AX173" s="323"/>
      <c r="BK173" s="188"/>
      <c r="CC173" s="367"/>
    </row>
    <row r="174" spans="2:81" ht="15" customHeight="1">
      <c r="B174" s="98"/>
      <c r="C174" s="108">
        <v>173</v>
      </c>
      <c r="D174" s="99" t="s">
        <v>446</v>
      </c>
      <c r="E174" s="100" t="s">
        <v>447</v>
      </c>
      <c r="F174" s="101" t="s">
        <v>14</v>
      </c>
      <c r="G174" s="102" t="s">
        <v>5</v>
      </c>
      <c r="H174" s="102" t="s">
        <v>13</v>
      </c>
      <c r="I174" s="103" t="s">
        <v>0</v>
      </c>
      <c r="J174" s="104"/>
      <c r="K174" s="83"/>
      <c r="L174" s="105">
        <v>45</v>
      </c>
      <c r="M174" s="89">
        <v>60</v>
      </c>
      <c r="N174" s="89">
        <v>75</v>
      </c>
      <c r="O174" s="89">
        <v>90</v>
      </c>
      <c r="P174" s="89">
        <v>120</v>
      </c>
      <c r="Q174" s="89">
        <v>150</v>
      </c>
      <c r="R174" s="187" t="s">
        <v>218</v>
      </c>
      <c r="S174" s="106" t="s">
        <v>9</v>
      </c>
      <c r="T174" s="107" t="s">
        <v>10</v>
      </c>
      <c r="U174" s="90"/>
      <c r="V174" s="91"/>
      <c r="W174" s="91"/>
      <c r="X174" s="91"/>
      <c r="Y174" s="91"/>
      <c r="Z174" s="92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3"/>
      <c r="AL174" s="91"/>
      <c r="AM174" s="409"/>
      <c r="AN174" s="83"/>
      <c r="AO174" s="84"/>
      <c r="AP174" s="145"/>
      <c r="AQ174" s="83"/>
      <c r="AR174" s="83"/>
      <c r="AS174" s="145"/>
      <c r="AT174" s="83"/>
      <c r="AU174" s="83"/>
      <c r="AV174" s="83"/>
      <c r="AW174" s="323"/>
      <c r="AX174" s="323"/>
      <c r="BK174" s="188"/>
      <c r="CC174" s="367"/>
    </row>
    <row r="175" spans="2:81" ht="15" customHeight="1">
      <c r="B175" s="98"/>
      <c r="C175" s="108">
        <v>174</v>
      </c>
      <c r="D175" s="99" t="s">
        <v>446</v>
      </c>
      <c r="E175" s="100" t="s">
        <v>447</v>
      </c>
      <c r="F175" s="101" t="s">
        <v>14</v>
      </c>
      <c r="G175" s="102" t="s">
        <v>5</v>
      </c>
      <c r="H175" s="102" t="s">
        <v>13</v>
      </c>
      <c r="I175" s="103" t="s">
        <v>0</v>
      </c>
      <c r="J175" s="104"/>
      <c r="K175" s="83"/>
      <c r="L175" s="105">
        <v>45</v>
      </c>
      <c r="M175" s="89">
        <v>60</v>
      </c>
      <c r="N175" s="89">
        <v>75</v>
      </c>
      <c r="O175" s="89">
        <v>90</v>
      </c>
      <c r="P175" s="89">
        <v>120</v>
      </c>
      <c r="Q175" s="89">
        <v>150</v>
      </c>
      <c r="R175" s="187" t="s">
        <v>218</v>
      </c>
      <c r="S175" s="106" t="s">
        <v>9</v>
      </c>
      <c r="T175" s="107" t="s">
        <v>10</v>
      </c>
      <c r="U175" s="90"/>
      <c r="V175" s="91"/>
      <c r="W175" s="91"/>
      <c r="X175" s="91"/>
      <c r="Y175" s="91"/>
      <c r="Z175" s="92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3"/>
      <c r="AL175" s="91"/>
      <c r="AM175" s="409"/>
      <c r="AN175" s="83"/>
      <c r="AO175" s="84"/>
      <c r="AP175" s="145"/>
      <c r="AQ175" s="83"/>
      <c r="AR175" s="83"/>
      <c r="AS175" s="145"/>
      <c r="AT175" s="83"/>
      <c r="AU175" s="83"/>
      <c r="AV175" s="83"/>
      <c r="AW175" s="323"/>
      <c r="AX175" s="323"/>
      <c r="BK175" s="188"/>
      <c r="CC175" s="367"/>
    </row>
    <row r="176" spans="2:81" ht="15" customHeight="1">
      <c r="B176" s="98"/>
      <c r="C176" s="108">
        <v>175</v>
      </c>
      <c r="D176" s="99" t="s">
        <v>446</v>
      </c>
      <c r="E176" s="100" t="s">
        <v>447</v>
      </c>
      <c r="F176" s="101" t="s">
        <v>14</v>
      </c>
      <c r="G176" s="102" t="s">
        <v>5</v>
      </c>
      <c r="H176" s="102" t="s">
        <v>13</v>
      </c>
      <c r="I176" s="103" t="s">
        <v>0</v>
      </c>
      <c r="J176" s="104"/>
      <c r="K176" s="83"/>
      <c r="L176" s="105">
        <v>45</v>
      </c>
      <c r="M176" s="89">
        <v>60</v>
      </c>
      <c r="N176" s="89">
        <v>75</v>
      </c>
      <c r="O176" s="89">
        <v>90</v>
      </c>
      <c r="P176" s="89">
        <v>120</v>
      </c>
      <c r="Q176" s="89">
        <v>150</v>
      </c>
      <c r="R176" s="187" t="s">
        <v>218</v>
      </c>
      <c r="S176" s="106" t="s">
        <v>9</v>
      </c>
      <c r="T176" s="107" t="s">
        <v>10</v>
      </c>
      <c r="U176" s="90"/>
      <c r="V176" s="91"/>
      <c r="W176" s="91"/>
      <c r="X176" s="91"/>
      <c r="Y176" s="91"/>
      <c r="Z176" s="92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3"/>
      <c r="AL176" s="91"/>
      <c r="AM176" s="409"/>
      <c r="AN176" s="83"/>
      <c r="AO176" s="84"/>
      <c r="AP176" s="145"/>
      <c r="AQ176" s="83"/>
      <c r="AR176" s="83"/>
      <c r="AS176" s="145"/>
      <c r="AT176" s="83"/>
      <c r="AU176" s="83"/>
      <c r="AV176" s="83"/>
      <c r="AW176" s="323"/>
      <c r="AX176" s="323"/>
      <c r="BK176" s="188"/>
      <c r="CC176" s="367"/>
    </row>
    <row r="177" spans="2:81" ht="15" customHeight="1">
      <c r="B177" s="98"/>
      <c r="C177" s="108">
        <v>176</v>
      </c>
      <c r="D177" s="99" t="s">
        <v>446</v>
      </c>
      <c r="E177" s="100" t="s">
        <v>447</v>
      </c>
      <c r="F177" s="101" t="s">
        <v>14</v>
      </c>
      <c r="G177" s="102" t="s">
        <v>5</v>
      </c>
      <c r="H177" s="102" t="s">
        <v>13</v>
      </c>
      <c r="I177" s="103" t="s">
        <v>0</v>
      </c>
      <c r="J177" s="104"/>
      <c r="K177" s="83"/>
      <c r="L177" s="105">
        <v>45</v>
      </c>
      <c r="M177" s="89">
        <v>60</v>
      </c>
      <c r="N177" s="89">
        <v>75</v>
      </c>
      <c r="O177" s="89">
        <v>90</v>
      </c>
      <c r="P177" s="89">
        <v>120</v>
      </c>
      <c r="Q177" s="89">
        <v>150</v>
      </c>
      <c r="R177" s="187" t="s">
        <v>218</v>
      </c>
      <c r="S177" s="106" t="s">
        <v>9</v>
      </c>
      <c r="T177" s="107" t="s">
        <v>10</v>
      </c>
      <c r="U177" s="90"/>
      <c r="V177" s="91"/>
      <c r="W177" s="91"/>
      <c r="X177" s="91"/>
      <c r="Y177" s="91"/>
      <c r="Z177" s="92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3"/>
      <c r="AL177" s="91"/>
      <c r="AM177" s="409"/>
      <c r="AN177" s="83"/>
      <c r="AO177" s="84"/>
      <c r="AP177" s="145"/>
      <c r="AQ177" s="83"/>
      <c r="AR177" s="83"/>
      <c r="AS177" s="145"/>
      <c r="AT177" s="83"/>
      <c r="AU177" s="83"/>
      <c r="AV177" s="83"/>
      <c r="AW177" s="323"/>
      <c r="AX177" s="323"/>
      <c r="BK177" s="188"/>
      <c r="CC177" s="367"/>
    </row>
    <row r="178" spans="2:81" ht="15" customHeight="1">
      <c r="B178" s="98"/>
      <c r="C178" s="108">
        <v>177</v>
      </c>
      <c r="D178" s="99" t="s">
        <v>446</v>
      </c>
      <c r="E178" s="100" t="s">
        <v>447</v>
      </c>
      <c r="F178" s="101" t="s">
        <v>14</v>
      </c>
      <c r="G178" s="102" t="s">
        <v>5</v>
      </c>
      <c r="H178" s="102" t="s">
        <v>13</v>
      </c>
      <c r="I178" s="103" t="s">
        <v>0</v>
      </c>
      <c r="J178" s="104"/>
      <c r="K178" s="83"/>
      <c r="L178" s="105">
        <v>45</v>
      </c>
      <c r="M178" s="89">
        <v>60</v>
      </c>
      <c r="N178" s="89">
        <v>75</v>
      </c>
      <c r="O178" s="89">
        <v>90</v>
      </c>
      <c r="P178" s="89">
        <v>120</v>
      </c>
      <c r="Q178" s="89">
        <v>150</v>
      </c>
      <c r="R178" s="187" t="s">
        <v>218</v>
      </c>
      <c r="S178" s="106" t="s">
        <v>9</v>
      </c>
      <c r="T178" s="107" t="s">
        <v>10</v>
      </c>
      <c r="U178" s="90"/>
      <c r="V178" s="91"/>
      <c r="W178" s="91"/>
      <c r="X178" s="91"/>
      <c r="Y178" s="91"/>
      <c r="Z178" s="92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3"/>
      <c r="AL178" s="91"/>
      <c r="AM178" s="409"/>
      <c r="AN178" s="83"/>
      <c r="AO178" s="84"/>
      <c r="AP178" s="145"/>
      <c r="AQ178" s="83"/>
      <c r="AR178" s="83"/>
      <c r="AS178" s="145"/>
      <c r="AT178" s="83"/>
      <c r="AU178" s="83"/>
      <c r="AV178" s="83"/>
      <c r="AW178" s="323"/>
      <c r="AX178" s="323"/>
      <c r="BK178" s="188"/>
      <c r="CC178" s="367"/>
    </row>
    <row r="179" spans="2:81" ht="15" customHeight="1">
      <c r="B179" s="98"/>
      <c r="C179" s="108">
        <v>178</v>
      </c>
      <c r="D179" s="99" t="s">
        <v>446</v>
      </c>
      <c r="E179" s="100" t="s">
        <v>447</v>
      </c>
      <c r="F179" s="101" t="s">
        <v>14</v>
      </c>
      <c r="G179" s="102" t="s">
        <v>5</v>
      </c>
      <c r="H179" s="102" t="s">
        <v>13</v>
      </c>
      <c r="I179" s="103" t="s">
        <v>0</v>
      </c>
      <c r="J179" s="104"/>
      <c r="K179" s="83"/>
      <c r="L179" s="105">
        <v>45</v>
      </c>
      <c r="M179" s="89">
        <v>60</v>
      </c>
      <c r="N179" s="89">
        <v>75</v>
      </c>
      <c r="O179" s="89">
        <v>90</v>
      </c>
      <c r="P179" s="89">
        <v>120</v>
      </c>
      <c r="Q179" s="89">
        <v>150</v>
      </c>
      <c r="R179" s="187" t="s">
        <v>218</v>
      </c>
      <c r="S179" s="106" t="s">
        <v>9</v>
      </c>
      <c r="T179" s="107" t="s">
        <v>10</v>
      </c>
      <c r="U179" s="90"/>
      <c r="V179" s="91"/>
      <c r="W179" s="91"/>
      <c r="X179" s="91"/>
      <c r="Y179" s="91"/>
      <c r="Z179" s="92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3"/>
      <c r="AL179" s="91"/>
      <c r="AM179" s="409"/>
      <c r="AN179" s="83"/>
      <c r="AO179" s="84"/>
      <c r="AP179" s="145"/>
      <c r="AQ179" s="83"/>
      <c r="AR179" s="83"/>
      <c r="AS179" s="145"/>
      <c r="AT179" s="83"/>
      <c r="AU179" s="83"/>
      <c r="AV179" s="83"/>
      <c r="AW179" s="323"/>
      <c r="AX179" s="323"/>
      <c r="BK179" s="188"/>
      <c r="CC179" s="367"/>
    </row>
    <row r="180" spans="2:81" ht="15" customHeight="1">
      <c r="B180" s="98"/>
      <c r="C180" s="108">
        <v>179</v>
      </c>
      <c r="D180" s="99" t="s">
        <v>446</v>
      </c>
      <c r="E180" s="100" t="s">
        <v>447</v>
      </c>
      <c r="F180" s="101" t="s">
        <v>14</v>
      </c>
      <c r="G180" s="102" t="s">
        <v>5</v>
      </c>
      <c r="H180" s="102" t="s">
        <v>13</v>
      </c>
      <c r="I180" s="103" t="s">
        <v>0</v>
      </c>
      <c r="J180" s="104"/>
      <c r="K180" s="83"/>
      <c r="L180" s="105">
        <v>45</v>
      </c>
      <c r="M180" s="89">
        <v>60</v>
      </c>
      <c r="N180" s="89">
        <v>75</v>
      </c>
      <c r="O180" s="89">
        <v>90</v>
      </c>
      <c r="P180" s="89">
        <v>120</v>
      </c>
      <c r="Q180" s="89">
        <v>150</v>
      </c>
      <c r="R180" s="187" t="s">
        <v>218</v>
      </c>
      <c r="S180" s="106" t="s">
        <v>9</v>
      </c>
      <c r="T180" s="107" t="s">
        <v>10</v>
      </c>
      <c r="U180" s="90"/>
      <c r="V180" s="91"/>
      <c r="W180" s="91"/>
      <c r="X180" s="91"/>
      <c r="Y180" s="91"/>
      <c r="Z180" s="92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3"/>
      <c r="AL180" s="91"/>
      <c r="AM180" s="409"/>
      <c r="AN180" s="83"/>
      <c r="AO180" s="84"/>
      <c r="AP180" s="145"/>
      <c r="AQ180" s="83"/>
      <c r="AR180" s="83"/>
      <c r="AS180" s="145"/>
      <c r="AT180" s="83"/>
      <c r="AU180" s="83"/>
      <c r="AV180" s="83"/>
      <c r="AW180" s="323"/>
      <c r="AX180" s="323"/>
      <c r="BK180" s="188"/>
      <c r="CC180" s="367"/>
    </row>
    <row r="181" spans="2:81" ht="15" customHeight="1">
      <c r="B181" s="98"/>
      <c r="C181" s="108">
        <v>180</v>
      </c>
      <c r="D181" s="99" t="s">
        <v>446</v>
      </c>
      <c r="E181" s="100" t="s">
        <v>447</v>
      </c>
      <c r="F181" s="101" t="s">
        <v>14</v>
      </c>
      <c r="G181" s="102" t="s">
        <v>5</v>
      </c>
      <c r="H181" s="102" t="s">
        <v>13</v>
      </c>
      <c r="I181" s="103" t="s">
        <v>0</v>
      </c>
      <c r="J181" s="104"/>
      <c r="K181" s="83"/>
      <c r="L181" s="105">
        <v>45</v>
      </c>
      <c r="M181" s="89">
        <v>60</v>
      </c>
      <c r="N181" s="89">
        <v>75</v>
      </c>
      <c r="O181" s="89">
        <v>90</v>
      </c>
      <c r="P181" s="89">
        <v>120</v>
      </c>
      <c r="Q181" s="89">
        <v>150</v>
      </c>
      <c r="R181" s="187" t="s">
        <v>218</v>
      </c>
      <c r="S181" s="106" t="s">
        <v>9</v>
      </c>
      <c r="T181" s="107" t="s">
        <v>10</v>
      </c>
      <c r="U181" s="90"/>
      <c r="V181" s="91"/>
      <c r="W181" s="91"/>
      <c r="X181" s="91"/>
      <c r="Y181" s="91"/>
      <c r="Z181" s="92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93"/>
      <c r="AL181" s="91"/>
      <c r="AM181" s="409"/>
      <c r="AN181" s="83"/>
      <c r="AO181" s="84"/>
      <c r="AP181" s="145"/>
      <c r="AQ181" s="83"/>
      <c r="AR181" s="83"/>
      <c r="AS181" s="145"/>
      <c r="AT181" s="83"/>
      <c r="AU181" s="83"/>
      <c r="AV181" s="83"/>
      <c r="AW181" s="323"/>
      <c r="AX181" s="323"/>
      <c r="BK181" s="188"/>
      <c r="CC181" s="367"/>
    </row>
    <row r="182" spans="2:81" ht="15" customHeight="1">
      <c r="B182" s="98"/>
      <c r="C182" s="108">
        <v>181</v>
      </c>
      <c r="D182" s="99" t="s">
        <v>446</v>
      </c>
      <c r="E182" s="100" t="s">
        <v>447</v>
      </c>
      <c r="F182" s="101" t="s">
        <v>14</v>
      </c>
      <c r="G182" s="102" t="s">
        <v>5</v>
      </c>
      <c r="H182" s="102" t="s">
        <v>13</v>
      </c>
      <c r="I182" s="103" t="s">
        <v>0</v>
      </c>
      <c r="J182" s="104"/>
      <c r="K182" s="83"/>
      <c r="L182" s="105">
        <v>45</v>
      </c>
      <c r="M182" s="89">
        <v>60</v>
      </c>
      <c r="N182" s="89">
        <v>75</v>
      </c>
      <c r="O182" s="89">
        <v>90</v>
      </c>
      <c r="P182" s="89">
        <v>120</v>
      </c>
      <c r="Q182" s="89">
        <v>150</v>
      </c>
      <c r="R182" s="187" t="s">
        <v>218</v>
      </c>
      <c r="S182" s="106" t="s">
        <v>9</v>
      </c>
      <c r="T182" s="107" t="s">
        <v>10</v>
      </c>
      <c r="U182" s="90"/>
      <c r="V182" s="91"/>
      <c r="W182" s="91"/>
      <c r="X182" s="91"/>
      <c r="Y182" s="91"/>
      <c r="Z182" s="92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3"/>
      <c r="AL182" s="91"/>
      <c r="AM182" s="409"/>
      <c r="AN182" s="83"/>
      <c r="AO182" s="84"/>
      <c r="AP182" s="145"/>
      <c r="AQ182" s="83"/>
      <c r="AR182" s="83"/>
      <c r="AS182" s="145"/>
      <c r="AT182" s="83"/>
      <c r="AU182" s="83"/>
      <c r="AV182" s="83"/>
      <c r="AW182" s="323"/>
      <c r="AX182" s="323"/>
      <c r="BK182" s="188"/>
      <c r="CC182" s="367"/>
    </row>
    <row r="183" spans="2:81" ht="15" customHeight="1">
      <c r="B183" s="98"/>
      <c r="C183" s="108">
        <v>182</v>
      </c>
      <c r="D183" s="99" t="s">
        <v>446</v>
      </c>
      <c r="E183" s="100" t="s">
        <v>447</v>
      </c>
      <c r="F183" s="101" t="s">
        <v>14</v>
      </c>
      <c r="G183" s="102" t="s">
        <v>5</v>
      </c>
      <c r="H183" s="102" t="s">
        <v>13</v>
      </c>
      <c r="I183" s="103" t="s">
        <v>0</v>
      </c>
      <c r="J183" s="104"/>
      <c r="K183" s="83"/>
      <c r="L183" s="105">
        <v>45</v>
      </c>
      <c r="M183" s="89">
        <v>60</v>
      </c>
      <c r="N183" s="89">
        <v>75</v>
      </c>
      <c r="O183" s="89">
        <v>90</v>
      </c>
      <c r="P183" s="89">
        <v>120</v>
      </c>
      <c r="Q183" s="89">
        <v>150</v>
      </c>
      <c r="R183" s="187" t="s">
        <v>218</v>
      </c>
      <c r="S183" s="106" t="s">
        <v>9</v>
      </c>
      <c r="T183" s="107" t="s">
        <v>10</v>
      </c>
      <c r="U183" s="90"/>
      <c r="V183" s="91"/>
      <c r="W183" s="91"/>
      <c r="X183" s="91"/>
      <c r="Y183" s="91"/>
      <c r="Z183" s="92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93"/>
      <c r="AL183" s="91"/>
      <c r="AM183" s="409"/>
      <c r="AN183" s="83"/>
      <c r="AO183" s="84"/>
      <c r="AP183" s="145"/>
      <c r="AQ183" s="83"/>
      <c r="AR183" s="83"/>
      <c r="AS183" s="145"/>
      <c r="AT183" s="83"/>
      <c r="AU183" s="83"/>
      <c r="AV183" s="83"/>
      <c r="AW183" s="323"/>
      <c r="AX183" s="323"/>
      <c r="BK183" s="188"/>
      <c r="CC183" s="367"/>
    </row>
    <row r="184" spans="2:81" ht="15" customHeight="1">
      <c r="B184" s="98"/>
      <c r="C184" s="108">
        <v>183</v>
      </c>
      <c r="D184" s="99" t="s">
        <v>446</v>
      </c>
      <c r="E184" s="100" t="s">
        <v>447</v>
      </c>
      <c r="F184" s="101" t="s">
        <v>14</v>
      </c>
      <c r="G184" s="102" t="s">
        <v>5</v>
      </c>
      <c r="H184" s="102" t="s">
        <v>13</v>
      </c>
      <c r="I184" s="103" t="s">
        <v>0</v>
      </c>
      <c r="J184" s="104"/>
      <c r="K184" s="83"/>
      <c r="L184" s="105">
        <v>45</v>
      </c>
      <c r="M184" s="89">
        <v>60</v>
      </c>
      <c r="N184" s="89">
        <v>75</v>
      </c>
      <c r="O184" s="89">
        <v>90</v>
      </c>
      <c r="P184" s="89">
        <v>120</v>
      </c>
      <c r="Q184" s="89">
        <v>150</v>
      </c>
      <c r="R184" s="187" t="s">
        <v>218</v>
      </c>
      <c r="S184" s="106" t="s">
        <v>9</v>
      </c>
      <c r="T184" s="107" t="s">
        <v>10</v>
      </c>
      <c r="U184" s="90"/>
      <c r="V184" s="91"/>
      <c r="W184" s="91"/>
      <c r="X184" s="91"/>
      <c r="Y184" s="91"/>
      <c r="Z184" s="92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93"/>
      <c r="AL184" s="91"/>
      <c r="AM184" s="409"/>
      <c r="AN184" s="83"/>
      <c r="AO184" s="84"/>
      <c r="AP184" s="145"/>
      <c r="AQ184" s="83"/>
      <c r="AR184" s="83"/>
      <c r="AS184" s="145"/>
      <c r="AT184" s="83"/>
      <c r="AU184" s="83"/>
      <c r="AV184" s="83"/>
      <c r="AW184" s="323"/>
      <c r="AX184" s="323"/>
      <c r="BK184" s="188"/>
      <c r="CC184" s="367"/>
    </row>
    <row r="185" spans="2:81" ht="15" customHeight="1">
      <c r="B185" s="98"/>
      <c r="C185" s="108">
        <v>184</v>
      </c>
      <c r="D185" s="99" t="s">
        <v>446</v>
      </c>
      <c r="E185" s="100" t="s">
        <v>447</v>
      </c>
      <c r="F185" s="101" t="s">
        <v>14</v>
      </c>
      <c r="G185" s="102" t="s">
        <v>5</v>
      </c>
      <c r="H185" s="102" t="s">
        <v>13</v>
      </c>
      <c r="I185" s="103" t="s">
        <v>0</v>
      </c>
      <c r="J185" s="104"/>
      <c r="K185" s="83"/>
      <c r="L185" s="105">
        <v>45</v>
      </c>
      <c r="M185" s="89">
        <v>60</v>
      </c>
      <c r="N185" s="89">
        <v>75</v>
      </c>
      <c r="O185" s="89">
        <v>90</v>
      </c>
      <c r="P185" s="89">
        <v>120</v>
      </c>
      <c r="Q185" s="89">
        <v>150</v>
      </c>
      <c r="R185" s="187" t="s">
        <v>218</v>
      </c>
      <c r="S185" s="106" t="s">
        <v>9</v>
      </c>
      <c r="T185" s="107" t="s">
        <v>10</v>
      </c>
      <c r="U185" s="90"/>
      <c r="V185" s="91"/>
      <c r="W185" s="91"/>
      <c r="X185" s="91"/>
      <c r="Y185" s="91"/>
      <c r="Z185" s="92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3"/>
      <c r="AL185" s="91"/>
      <c r="AM185" s="409"/>
      <c r="AN185" s="83"/>
      <c r="AO185" s="84"/>
      <c r="AP185" s="145"/>
      <c r="AQ185" s="83"/>
      <c r="AR185" s="83"/>
      <c r="AS185" s="145"/>
      <c r="AT185" s="83"/>
      <c r="AU185" s="83"/>
      <c r="AV185" s="83"/>
      <c r="AW185" s="323"/>
      <c r="AX185" s="323"/>
      <c r="BK185" s="188"/>
      <c r="CC185" s="367"/>
    </row>
    <row r="186" spans="2:81" ht="15" customHeight="1">
      <c r="B186" s="98"/>
      <c r="C186" s="108">
        <v>185</v>
      </c>
      <c r="D186" s="99" t="s">
        <v>446</v>
      </c>
      <c r="E186" s="100" t="s">
        <v>447</v>
      </c>
      <c r="F186" s="101" t="s">
        <v>14</v>
      </c>
      <c r="G186" s="102" t="s">
        <v>5</v>
      </c>
      <c r="H186" s="102" t="s">
        <v>13</v>
      </c>
      <c r="I186" s="103" t="s">
        <v>0</v>
      </c>
      <c r="J186" s="104"/>
      <c r="K186" s="83"/>
      <c r="L186" s="105">
        <v>45</v>
      </c>
      <c r="M186" s="89">
        <v>60</v>
      </c>
      <c r="N186" s="89">
        <v>75</v>
      </c>
      <c r="O186" s="89">
        <v>90</v>
      </c>
      <c r="P186" s="89">
        <v>120</v>
      </c>
      <c r="Q186" s="89">
        <v>150</v>
      </c>
      <c r="R186" s="187" t="s">
        <v>218</v>
      </c>
      <c r="S186" s="106" t="s">
        <v>9</v>
      </c>
      <c r="T186" s="107" t="s">
        <v>10</v>
      </c>
      <c r="U186" s="90"/>
      <c r="V186" s="91"/>
      <c r="W186" s="91"/>
      <c r="X186" s="91"/>
      <c r="Y186" s="91"/>
      <c r="Z186" s="92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3"/>
      <c r="AL186" s="91"/>
      <c r="AM186" s="409"/>
      <c r="AN186" s="83"/>
      <c r="AO186" s="84"/>
      <c r="AP186" s="145"/>
      <c r="AQ186" s="83"/>
      <c r="AR186" s="83"/>
      <c r="AS186" s="145"/>
      <c r="AT186" s="83"/>
      <c r="AU186" s="83"/>
      <c r="AV186" s="83"/>
      <c r="AW186" s="323"/>
      <c r="AX186" s="323"/>
      <c r="BK186" s="188"/>
      <c r="CC186" s="367"/>
    </row>
    <row r="187" spans="2:81" ht="15" customHeight="1">
      <c r="B187" s="98"/>
      <c r="C187" s="108">
        <v>186</v>
      </c>
      <c r="D187" s="99" t="s">
        <v>446</v>
      </c>
      <c r="E187" s="100" t="s">
        <v>447</v>
      </c>
      <c r="F187" s="101" t="s">
        <v>14</v>
      </c>
      <c r="G187" s="102" t="s">
        <v>5</v>
      </c>
      <c r="H187" s="102" t="s">
        <v>13</v>
      </c>
      <c r="I187" s="103" t="s">
        <v>0</v>
      </c>
      <c r="J187" s="104"/>
      <c r="K187" s="83"/>
      <c r="L187" s="105">
        <v>45</v>
      </c>
      <c r="M187" s="89">
        <v>60</v>
      </c>
      <c r="N187" s="89">
        <v>75</v>
      </c>
      <c r="O187" s="89">
        <v>90</v>
      </c>
      <c r="P187" s="89">
        <v>120</v>
      </c>
      <c r="Q187" s="89">
        <v>150</v>
      </c>
      <c r="R187" s="187" t="s">
        <v>218</v>
      </c>
      <c r="S187" s="106" t="s">
        <v>9</v>
      </c>
      <c r="T187" s="107" t="s">
        <v>10</v>
      </c>
      <c r="U187" s="90"/>
      <c r="V187" s="91"/>
      <c r="W187" s="91"/>
      <c r="X187" s="91"/>
      <c r="Y187" s="91"/>
      <c r="Z187" s="92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3"/>
      <c r="AL187" s="91"/>
      <c r="AM187" s="409"/>
      <c r="AN187" s="83"/>
      <c r="AO187" s="84"/>
      <c r="AP187" s="145"/>
      <c r="AQ187" s="83"/>
      <c r="AR187" s="83"/>
      <c r="AS187" s="145"/>
      <c r="AT187" s="83"/>
      <c r="AU187" s="83"/>
      <c r="AV187" s="83"/>
      <c r="AW187" s="323"/>
      <c r="AX187" s="323"/>
      <c r="BK187" s="188"/>
      <c r="CC187" s="367"/>
    </row>
    <row r="188" spans="2:81" ht="15" customHeight="1">
      <c r="B188" s="98"/>
      <c r="C188" s="108">
        <v>187</v>
      </c>
      <c r="D188" s="99" t="s">
        <v>446</v>
      </c>
      <c r="E188" s="100" t="s">
        <v>447</v>
      </c>
      <c r="F188" s="101" t="s">
        <v>14</v>
      </c>
      <c r="G188" s="102" t="s">
        <v>5</v>
      </c>
      <c r="H188" s="102" t="s">
        <v>13</v>
      </c>
      <c r="I188" s="103" t="s">
        <v>0</v>
      </c>
      <c r="J188" s="104"/>
      <c r="K188" s="83"/>
      <c r="L188" s="105">
        <v>45</v>
      </c>
      <c r="M188" s="89">
        <v>60</v>
      </c>
      <c r="N188" s="89">
        <v>75</v>
      </c>
      <c r="O188" s="89">
        <v>90</v>
      </c>
      <c r="P188" s="89">
        <v>120</v>
      </c>
      <c r="Q188" s="89">
        <v>150</v>
      </c>
      <c r="R188" s="187" t="s">
        <v>218</v>
      </c>
      <c r="S188" s="106" t="s">
        <v>9</v>
      </c>
      <c r="T188" s="107" t="s">
        <v>10</v>
      </c>
      <c r="U188" s="90"/>
      <c r="V188" s="91"/>
      <c r="W188" s="91"/>
      <c r="X188" s="91"/>
      <c r="Y188" s="91"/>
      <c r="Z188" s="92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3"/>
      <c r="AL188" s="91"/>
      <c r="AM188" s="409"/>
      <c r="AN188" s="83"/>
      <c r="AO188" s="84"/>
      <c r="AP188" s="145"/>
      <c r="AQ188" s="83"/>
      <c r="AR188" s="83"/>
      <c r="AS188" s="145"/>
      <c r="AT188" s="83"/>
      <c r="AU188" s="83"/>
      <c r="AV188" s="83"/>
      <c r="AW188" s="323"/>
      <c r="AX188" s="323"/>
      <c r="BK188" s="188"/>
      <c r="CC188" s="367"/>
    </row>
    <row r="189" spans="2:81" ht="15" customHeight="1">
      <c r="B189" s="98"/>
      <c r="C189" s="108">
        <v>188</v>
      </c>
      <c r="D189" s="99" t="s">
        <v>446</v>
      </c>
      <c r="E189" s="100" t="s">
        <v>447</v>
      </c>
      <c r="F189" s="101" t="s">
        <v>14</v>
      </c>
      <c r="G189" s="102" t="s">
        <v>5</v>
      </c>
      <c r="H189" s="102" t="s">
        <v>13</v>
      </c>
      <c r="I189" s="103" t="s">
        <v>0</v>
      </c>
      <c r="J189" s="104"/>
      <c r="K189" s="83"/>
      <c r="L189" s="105">
        <v>45</v>
      </c>
      <c r="M189" s="89">
        <v>60</v>
      </c>
      <c r="N189" s="89">
        <v>75</v>
      </c>
      <c r="O189" s="89">
        <v>90</v>
      </c>
      <c r="P189" s="89">
        <v>120</v>
      </c>
      <c r="Q189" s="89">
        <v>150</v>
      </c>
      <c r="R189" s="187" t="s">
        <v>218</v>
      </c>
      <c r="S189" s="106" t="s">
        <v>9</v>
      </c>
      <c r="T189" s="107" t="s">
        <v>10</v>
      </c>
      <c r="U189" s="90"/>
      <c r="V189" s="91"/>
      <c r="W189" s="91"/>
      <c r="X189" s="91"/>
      <c r="Y189" s="91"/>
      <c r="Z189" s="92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3"/>
      <c r="AL189" s="91"/>
      <c r="AM189" s="409"/>
      <c r="AN189" s="83"/>
      <c r="AO189" s="84"/>
      <c r="AP189" s="145"/>
      <c r="AQ189" s="83"/>
      <c r="AR189" s="83"/>
      <c r="AS189" s="145"/>
      <c r="AT189" s="83"/>
      <c r="AU189" s="83"/>
      <c r="AV189" s="83"/>
      <c r="AW189" s="323"/>
      <c r="AX189" s="323"/>
      <c r="BK189" s="188"/>
      <c r="CC189" s="367"/>
    </row>
    <row r="190" spans="2:81" ht="15" customHeight="1">
      <c r="B190" s="98"/>
      <c r="C190" s="108">
        <v>189</v>
      </c>
      <c r="D190" s="99" t="s">
        <v>446</v>
      </c>
      <c r="E190" s="100" t="s">
        <v>447</v>
      </c>
      <c r="F190" s="101" t="s">
        <v>14</v>
      </c>
      <c r="G190" s="102" t="s">
        <v>5</v>
      </c>
      <c r="H190" s="102" t="s">
        <v>13</v>
      </c>
      <c r="I190" s="103" t="s">
        <v>0</v>
      </c>
      <c r="J190" s="104"/>
      <c r="K190" s="83"/>
      <c r="L190" s="105">
        <v>45</v>
      </c>
      <c r="M190" s="89">
        <v>60</v>
      </c>
      <c r="N190" s="89">
        <v>75</v>
      </c>
      <c r="O190" s="89">
        <v>90</v>
      </c>
      <c r="P190" s="89">
        <v>120</v>
      </c>
      <c r="Q190" s="89">
        <v>150</v>
      </c>
      <c r="R190" s="187" t="s">
        <v>218</v>
      </c>
      <c r="S190" s="106" t="s">
        <v>9</v>
      </c>
      <c r="T190" s="107" t="s">
        <v>10</v>
      </c>
      <c r="U190" s="90"/>
      <c r="V190" s="91"/>
      <c r="W190" s="91"/>
      <c r="X190" s="91"/>
      <c r="Y190" s="91"/>
      <c r="Z190" s="92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3"/>
      <c r="AL190" s="91"/>
      <c r="AM190" s="409"/>
      <c r="AN190" s="83"/>
      <c r="AO190" s="84"/>
      <c r="AP190" s="145"/>
      <c r="AQ190" s="83"/>
      <c r="AR190" s="83"/>
      <c r="AS190" s="145"/>
      <c r="AT190" s="83"/>
      <c r="AU190" s="83"/>
      <c r="AV190" s="83"/>
      <c r="AW190" s="323"/>
      <c r="AX190" s="323"/>
      <c r="BK190" s="188"/>
      <c r="CC190" s="367"/>
    </row>
    <row r="191" spans="2:81" ht="15" customHeight="1">
      <c r="B191" s="98"/>
      <c r="C191" s="108">
        <v>190</v>
      </c>
      <c r="D191" s="99" t="s">
        <v>446</v>
      </c>
      <c r="E191" s="100" t="s">
        <v>447</v>
      </c>
      <c r="F191" s="101" t="s">
        <v>14</v>
      </c>
      <c r="G191" s="102" t="s">
        <v>5</v>
      </c>
      <c r="H191" s="102" t="s">
        <v>13</v>
      </c>
      <c r="I191" s="103" t="s">
        <v>0</v>
      </c>
      <c r="J191" s="104"/>
      <c r="K191" s="83"/>
      <c r="L191" s="105">
        <v>45</v>
      </c>
      <c r="M191" s="89">
        <v>60</v>
      </c>
      <c r="N191" s="89">
        <v>75</v>
      </c>
      <c r="O191" s="89">
        <v>90</v>
      </c>
      <c r="P191" s="89">
        <v>120</v>
      </c>
      <c r="Q191" s="89">
        <v>150</v>
      </c>
      <c r="R191" s="187" t="s">
        <v>218</v>
      </c>
      <c r="S191" s="106" t="s">
        <v>9</v>
      </c>
      <c r="T191" s="107" t="s">
        <v>10</v>
      </c>
      <c r="U191" s="90"/>
      <c r="V191" s="91"/>
      <c r="W191" s="91"/>
      <c r="X191" s="91"/>
      <c r="Y191" s="91"/>
      <c r="Z191" s="92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3"/>
      <c r="AL191" s="91"/>
      <c r="AM191" s="409"/>
      <c r="AN191" s="83"/>
      <c r="AO191" s="84"/>
      <c r="AP191" s="145"/>
      <c r="AQ191" s="83"/>
      <c r="AR191" s="83"/>
      <c r="AS191" s="145"/>
      <c r="AT191" s="83"/>
      <c r="AU191" s="83"/>
      <c r="AV191" s="83"/>
      <c r="AW191" s="323"/>
      <c r="AX191" s="323"/>
      <c r="BK191" s="188"/>
      <c r="CC191" s="367"/>
    </row>
    <row r="192" spans="2:81" ht="15" customHeight="1">
      <c r="B192" s="98"/>
      <c r="C192" s="108">
        <v>191</v>
      </c>
      <c r="D192" s="99" t="s">
        <v>446</v>
      </c>
      <c r="E192" s="100" t="s">
        <v>447</v>
      </c>
      <c r="F192" s="101" t="s">
        <v>14</v>
      </c>
      <c r="G192" s="102" t="s">
        <v>5</v>
      </c>
      <c r="H192" s="102" t="s">
        <v>13</v>
      </c>
      <c r="I192" s="103" t="s">
        <v>0</v>
      </c>
      <c r="J192" s="104"/>
      <c r="K192" s="83"/>
      <c r="L192" s="105">
        <v>45</v>
      </c>
      <c r="M192" s="89">
        <v>60</v>
      </c>
      <c r="N192" s="89">
        <v>75</v>
      </c>
      <c r="O192" s="89">
        <v>90</v>
      </c>
      <c r="P192" s="89">
        <v>120</v>
      </c>
      <c r="Q192" s="89">
        <v>150</v>
      </c>
      <c r="R192" s="187" t="s">
        <v>218</v>
      </c>
      <c r="S192" s="106" t="s">
        <v>9</v>
      </c>
      <c r="T192" s="107" t="s">
        <v>10</v>
      </c>
      <c r="U192" s="90"/>
      <c r="V192" s="91"/>
      <c r="W192" s="91"/>
      <c r="X192" s="91"/>
      <c r="Y192" s="91"/>
      <c r="Z192" s="92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3"/>
      <c r="AL192" s="91"/>
      <c r="AM192" s="409"/>
      <c r="AN192" s="83"/>
      <c r="AO192" s="84"/>
      <c r="AP192" s="145"/>
      <c r="AQ192" s="83"/>
      <c r="AR192" s="83"/>
      <c r="AS192" s="145"/>
      <c r="AT192" s="83"/>
      <c r="AU192" s="83"/>
      <c r="AV192" s="83"/>
      <c r="AW192" s="323"/>
      <c r="AX192" s="323"/>
      <c r="BK192" s="188"/>
      <c r="CC192" s="367"/>
    </row>
    <row r="193" spans="2:81" ht="15" customHeight="1">
      <c r="B193" s="98"/>
      <c r="C193" s="108">
        <v>192</v>
      </c>
      <c r="D193" s="99" t="s">
        <v>446</v>
      </c>
      <c r="E193" s="100" t="s">
        <v>447</v>
      </c>
      <c r="F193" s="101" t="s">
        <v>14</v>
      </c>
      <c r="G193" s="102" t="s">
        <v>5</v>
      </c>
      <c r="H193" s="102" t="s">
        <v>13</v>
      </c>
      <c r="I193" s="103" t="s">
        <v>0</v>
      </c>
      <c r="J193" s="104"/>
      <c r="K193" s="83"/>
      <c r="L193" s="105">
        <v>45</v>
      </c>
      <c r="M193" s="89">
        <v>60</v>
      </c>
      <c r="N193" s="89">
        <v>75</v>
      </c>
      <c r="O193" s="89">
        <v>90</v>
      </c>
      <c r="P193" s="89">
        <v>120</v>
      </c>
      <c r="Q193" s="89">
        <v>150</v>
      </c>
      <c r="R193" s="187" t="s">
        <v>218</v>
      </c>
      <c r="S193" s="106" t="s">
        <v>9</v>
      </c>
      <c r="T193" s="107" t="s">
        <v>10</v>
      </c>
      <c r="U193" s="90"/>
      <c r="V193" s="91"/>
      <c r="W193" s="91"/>
      <c r="X193" s="91"/>
      <c r="Y193" s="91"/>
      <c r="Z193" s="92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3"/>
      <c r="AL193" s="91"/>
      <c r="AM193" s="409"/>
      <c r="AN193" s="83"/>
      <c r="AO193" s="84"/>
      <c r="AP193" s="145"/>
      <c r="AQ193" s="83"/>
      <c r="AR193" s="83"/>
      <c r="AS193" s="145"/>
      <c r="AT193" s="83"/>
      <c r="AU193" s="83"/>
      <c r="AV193" s="83"/>
      <c r="AW193" s="323"/>
      <c r="AX193" s="323"/>
      <c r="BK193" s="188"/>
      <c r="CC193" s="367"/>
    </row>
    <row r="194" spans="2:81" ht="15" customHeight="1">
      <c r="B194" s="98"/>
      <c r="C194" s="108">
        <v>193</v>
      </c>
      <c r="D194" s="99" t="s">
        <v>446</v>
      </c>
      <c r="E194" s="100" t="s">
        <v>447</v>
      </c>
      <c r="F194" s="101" t="s">
        <v>14</v>
      </c>
      <c r="G194" s="102" t="s">
        <v>5</v>
      </c>
      <c r="H194" s="102" t="s">
        <v>13</v>
      </c>
      <c r="I194" s="103" t="s">
        <v>0</v>
      </c>
      <c r="J194" s="104"/>
      <c r="K194" s="83"/>
      <c r="L194" s="105">
        <v>45</v>
      </c>
      <c r="M194" s="89">
        <v>60</v>
      </c>
      <c r="N194" s="89">
        <v>75</v>
      </c>
      <c r="O194" s="89">
        <v>90</v>
      </c>
      <c r="P194" s="89">
        <v>120</v>
      </c>
      <c r="Q194" s="89">
        <v>150</v>
      </c>
      <c r="R194" s="187" t="s">
        <v>218</v>
      </c>
      <c r="S194" s="106" t="s">
        <v>9</v>
      </c>
      <c r="T194" s="107" t="s">
        <v>10</v>
      </c>
      <c r="U194" s="90"/>
      <c r="V194" s="91"/>
      <c r="W194" s="91"/>
      <c r="X194" s="91"/>
      <c r="Y194" s="91"/>
      <c r="Z194" s="92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3"/>
      <c r="AL194" s="91"/>
      <c r="AM194" s="409"/>
      <c r="AN194" s="83"/>
      <c r="AO194" s="84"/>
      <c r="AP194" s="145"/>
      <c r="AQ194" s="83"/>
      <c r="AR194" s="83"/>
      <c r="AS194" s="145"/>
      <c r="AT194" s="83"/>
      <c r="AU194" s="83"/>
      <c r="AV194" s="83"/>
      <c r="AW194" s="323"/>
      <c r="AX194" s="323"/>
      <c r="BK194" s="188"/>
      <c r="CC194" s="367"/>
    </row>
    <row r="195" spans="2:81" ht="15" customHeight="1">
      <c r="B195" s="98"/>
      <c r="C195" s="108">
        <v>194</v>
      </c>
      <c r="D195" s="99" t="s">
        <v>446</v>
      </c>
      <c r="E195" s="100" t="s">
        <v>447</v>
      </c>
      <c r="F195" s="101" t="s">
        <v>14</v>
      </c>
      <c r="G195" s="102" t="s">
        <v>5</v>
      </c>
      <c r="H195" s="102" t="s">
        <v>13</v>
      </c>
      <c r="I195" s="103" t="s">
        <v>0</v>
      </c>
      <c r="J195" s="104"/>
      <c r="K195" s="83"/>
      <c r="L195" s="105">
        <v>45</v>
      </c>
      <c r="M195" s="89">
        <v>60</v>
      </c>
      <c r="N195" s="89">
        <v>75</v>
      </c>
      <c r="O195" s="89">
        <v>90</v>
      </c>
      <c r="P195" s="89">
        <v>120</v>
      </c>
      <c r="Q195" s="89">
        <v>150</v>
      </c>
      <c r="R195" s="187" t="s">
        <v>218</v>
      </c>
      <c r="S195" s="106" t="s">
        <v>9</v>
      </c>
      <c r="T195" s="107" t="s">
        <v>10</v>
      </c>
      <c r="U195" s="90"/>
      <c r="V195" s="91"/>
      <c r="W195" s="91"/>
      <c r="X195" s="91"/>
      <c r="Y195" s="91"/>
      <c r="Z195" s="92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3"/>
      <c r="AL195" s="91"/>
      <c r="AM195" s="409"/>
      <c r="AN195" s="83"/>
      <c r="AO195" s="84"/>
      <c r="AP195" s="145"/>
      <c r="AQ195" s="83"/>
      <c r="AR195" s="83"/>
      <c r="AS195" s="145"/>
      <c r="AT195" s="83"/>
      <c r="AU195" s="83"/>
      <c r="AV195" s="83"/>
      <c r="AW195" s="323"/>
      <c r="AX195" s="323"/>
      <c r="BK195" s="188"/>
      <c r="CC195" s="367"/>
    </row>
    <row r="196" spans="2:81" ht="15" customHeight="1">
      <c r="B196" s="98"/>
      <c r="C196" s="108">
        <v>195</v>
      </c>
      <c r="D196" s="99" t="s">
        <v>446</v>
      </c>
      <c r="E196" s="100" t="s">
        <v>447</v>
      </c>
      <c r="F196" s="101" t="s">
        <v>14</v>
      </c>
      <c r="G196" s="102" t="s">
        <v>5</v>
      </c>
      <c r="H196" s="102" t="s">
        <v>13</v>
      </c>
      <c r="I196" s="103" t="s">
        <v>0</v>
      </c>
      <c r="J196" s="104"/>
      <c r="K196" s="83"/>
      <c r="L196" s="105">
        <v>45</v>
      </c>
      <c r="M196" s="89">
        <v>60</v>
      </c>
      <c r="N196" s="89">
        <v>75</v>
      </c>
      <c r="O196" s="89">
        <v>90</v>
      </c>
      <c r="P196" s="89">
        <v>120</v>
      </c>
      <c r="Q196" s="89">
        <v>150</v>
      </c>
      <c r="R196" s="187" t="s">
        <v>218</v>
      </c>
      <c r="S196" s="106" t="s">
        <v>9</v>
      </c>
      <c r="T196" s="107" t="s">
        <v>10</v>
      </c>
      <c r="U196" s="90"/>
      <c r="V196" s="91"/>
      <c r="W196" s="91"/>
      <c r="X196" s="91"/>
      <c r="Y196" s="91"/>
      <c r="Z196" s="92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3"/>
      <c r="AL196" s="91"/>
      <c r="AM196" s="409"/>
      <c r="AN196" s="83"/>
      <c r="AO196" s="84"/>
      <c r="AP196" s="145"/>
      <c r="AQ196" s="83"/>
      <c r="AR196" s="83"/>
      <c r="AS196" s="145"/>
      <c r="AT196" s="83"/>
      <c r="AU196" s="83"/>
      <c r="AV196" s="83"/>
      <c r="AW196" s="323"/>
      <c r="AX196" s="323"/>
      <c r="BK196" s="188"/>
      <c r="CC196" s="367"/>
    </row>
    <row r="197" spans="2:81" ht="15" customHeight="1">
      <c r="B197" s="98"/>
      <c r="C197" s="108">
        <v>196</v>
      </c>
      <c r="D197" s="99" t="s">
        <v>446</v>
      </c>
      <c r="E197" s="100" t="s">
        <v>447</v>
      </c>
      <c r="F197" s="101" t="s">
        <v>14</v>
      </c>
      <c r="G197" s="102" t="s">
        <v>5</v>
      </c>
      <c r="H197" s="102" t="s">
        <v>13</v>
      </c>
      <c r="I197" s="103" t="s">
        <v>0</v>
      </c>
      <c r="J197" s="104"/>
      <c r="K197" s="83"/>
      <c r="L197" s="105">
        <v>45</v>
      </c>
      <c r="M197" s="89">
        <v>60</v>
      </c>
      <c r="N197" s="89">
        <v>75</v>
      </c>
      <c r="O197" s="89">
        <v>90</v>
      </c>
      <c r="P197" s="89">
        <v>120</v>
      </c>
      <c r="Q197" s="89">
        <v>150</v>
      </c>
      <c r="R197" s="187" t="s">
        <v>218</v>
      </c>
      <c r="S197" s="106" t="s">
        <v>9</v>
      </c>
      <c r="T197" s="107" t="s">
        <v>10</v>
      </c>
      <c r="U197" s="90"/>
      <c r="V197" s="91"/>
      <c r="W197" s="91"/>
      <c r="X197" s="91"/>
      <c r="Y197" s="91"/>
      <c r="Z197" s="92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3"/>
      <c r="AL197" s="91"/>
      <c r="AM197" s="409"/>
      <c r="AN197" s="83"/>
      <c r="AO197" s="84"/>
      <c r="AP197" s="145"/>
      <c r="AQ197" s="83"/>
      <c r="AR197" s="83"/>
      <c r="AS197" s="145"/>
      <c r="AT197" s="83"/>
      <c r="AU197" s="83"/>
      <c r="AV197" s="83"/>
      <c r="AW197" s="323"/>
      <c r="AX197" s="323"/>
      <c r="BK197" s="188"/>
      <c r="CC197" s="367"/>
    </row>
    <row r="198" spans="2:81" ht="15" customHeight="1">
      <c r="B198" s="98"/>
      <c r="C198" s="108">
        <v>197</v>
      </c>
      <c r="D198" s="99" t="s">
        <v>446</v>
      </c>
      <c r="E198" s="100" t="s">
        <v>447</v>
      </c>
      <c r="F198" s="101" t="s">
        <v>14</v>
      </c>
      <c r="G198" s="102" t="s">
        <v>5</v>
      </c>
      <c r="H198" s="102" t="s">
        <v>13</v>
      </c>
      <c r="I198" s="103" t="s">
        <v>0</v>
      </c>
      <c r="J198" s="104"/>
      <c r="K198" s="83"/>
      <c r="L198" s="105">
        <v>45</v>
      </c>
      <c r="M198" s="89">
        <v>60</v>
      </c>
      <c r="N198" s="89">
        <v>75</v>
      </c>
      <c r="O198" s="89">
        <v>90</v>
      </c>
      <c r="P198" s="89">
        <v>120</v>
      </c>
      <c r="Q198" s="89">
        <v>150</v>
      </c>
      <c r="R198" s="187" t="s">
        <v>218</v>
      </c>
      <c r="S198" s="106" t="s">
        <v>9</v>
      </c>
      <c r="T198" s="107" t="s">
        <v>10</v>
      </c>
      <c r="U198" s="90"/>
      <c r="V198" s="91"/>
      <c r="W198" s="91"/>
      <c r="X198" s="91"/>
      <c r="Y198" s="91"/>
      <c r="Z198" s="92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3"/>
      <c r="AL198" s="91"/>
      <c r="AM198" s="409"/>
      <c r="AN198" s="83"/>
      <c r="AO198" s="84"/>
      <c r="AP198" s="145"/>
      <c r="AQ198" s="83"/>
      <c r="AR198" s="83"/>
      <c r="AS198" s="145"/>
      <c r="AT198" s="83"/>
      <c r="AU198" s="83"/>
      <c r="AV198" s="83"/>
      <c r="AW198" s="323"/>
      <c r="AX198" s="323"/>
      <c r="BK198" s="188"/>
      <c r="CC198" s="367"/>
    </row>
    <row r="199" spans="2:81" ht="15" customHeight="1">
      <c r="B199" s="98"/>
      <c r="C199" s="108">
        <v>198</v>
      </c>
      <c r="D199" s="99" t="s">
        <v>446</v>
      </c>
      <c r="E199" s="100" t="s">
        <v>447</v>
      </c>
      <c r="F199" s="101" t="s">
        <v>14</v>
      </c>
      <c r="G199" s="102" t="s">
        <v>5</v>
      </c>
      <c r="H199" s="102" t="s">
        <v>13</v>
      </c>
      <c r="I199" s="103" t="s">
        <v>0</v>
      </c>
      <c r="J199" s="104"/>
      <c r="K199" s="83"/>
      <c r="L199" s="105">
        <v>45</v>
      </c>
      <c r="M199" s="89">
        <v>60</v>
      </c>
      <c r="N199" s="89">
        <v>75</v>
      </c>
      <c r="O199" s="89">
        <v>90</v>
      </c>
      <c r="P199" s="89">
        <v>120</v>
      </c>
      <c r="Q199" s="89">
        <v>150</v>
      </c>
      <c r="R199" s="187" t="s">
        <v>218</v>
      </c>
      <c r="S199" s="106" t="s">
        <v>9</v>
      </c>
      <c r="T199" s="107" t="s">
        <v>10</v>
      </c>
      <c r="U199" s="90"/>
      <c r="V199" s="91"/>
      <c r="W199" s="91"/>
      <c r="X199" s="91"/>
      <c r="Y199" s="91"/>
      <c r="Z199" s="92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3"/>
      <c r="AL199" s="91"/>
      <c r="AM199" s="409"/>
      <c r="AN199" s="83"/>
      <c r="AO199" s="84"/>
      <c r="AP199" s="145"/>
      <c r="AQ199" s="83"/>
      <c r="AR199" s="83"/>
      <c r="AS199" s="145"/>
      <c r="AT199" s="83"/>
      <c r="AU199" s="83"/>
      <c r="AV199" s="83"/>
      <c r="AW199" s="323"/>
      <c r="AX199" s="323"/>
      <c r="BK199" s="188"/>
      <c r="CC199" s="367"/>
    </row>
    <row r="200" spans="2:81" ht="15" customHeight="1">
      <c r="B200" s="98"/>
      <c r="C200" s="108">
        <v>199</v>
      </c>
      <c r="D200" s="99" t="s">
        <v>446</v>
      </c>
      <c r="E200" s="100" t="s">
        <v>447</v>
      </c>
      <c r="F200" s="101" t="s">
        <v>14</v>
      </c>
      <c r="G200" s="102" t="s">
        <v>5</v>
      </c>
      <c r="H200" s="102" t="s">
        <v>13</v>
      </c>
      <c r="I200" s="103" t="s">
        <v>0</v>
      </c>
      <c r="J200" s="104"/>
      <c r="K200" s="83"/>
      <c r="L200" s="105">
        <v>45</v>
      </c>
      <c r="M200" s="89">
        <v>60</v>
      </c>
      <c r="N200" s="89">
        <v>75</v>
      </c>
      <c r="O200" s="89">
        <v>90</v>
      </c>
      <c r="P200" s="89">
        <v>120</v>
      </c>
      <c r="Q200" s="89">
        <v>150</v>
      </c>
      <c r="R200" s="187" t="s">
        <v>218</v>
      </c>
      <c r="S200" s="106" t="s">
        <v>9</v>
      </c>
      <c r="T200" s="107" t="s">
        <v>10</v>
      </c>
      <c r="U200" s="90"/>
      <c r="V200" s="91"/>
      <c r="W200" s="91"/>
      <c r="X200" s="91"/>
      <c r="Y200" s="91"/>
      <c r="Z200" s="92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3"/>
      <c r="AL200" s="91"/>
      <c r="AM200" s="409"/>
      <c r="AN200" s="83"/>
      <c r="AO200" s="84"/>
      <c r="AP200" s="145"/>
      <c r="AQ200" s="83"/>
      <c r="AR200" s="83"/>
      <c r="AS200" s="145"/>
      <c r="AT200" s="83"/>
      <c r="AU200" s="83"/>
      <c r="AV200" s="83"/>
      <c r="AW200" s="323"/>
      <c r="AX200" s="323"/>
      <c r="BK200" s="188"/>
      <c r="CC200" s="367"/>
    </row>
    <row r="201" spans="2:81" ht="15" customHeight="1">
      <c r="B201" s="98"/>
      <c r="C201" s="108">
        <v>200</v>
      </c>
      <c r="D201" s="99" t="s">
        <v>446</v>
      </c>
      <c r="E201" s="100" t="s">
        <v>447</v>
      </c>
      <c r="F201" s="101" t="s">
        <v>14</v>
      </c>
      <c r="G201" s="102" t="s">
        <v>5</v>
      </c>
      <c r="H201" s="102" t="s">
        <v>13</v>
      </c>
      <c r="I201" s="103" t="s">
        <v>0</v>
      </c>
      <c r="J201" s="104"/>
      <c r="K201" s="83"/>
      <c r="L201" s="105">
        <v>45</v>
      </c>
      <c r="M201" s="89">
        <v>60</v>
      </c>
      <c r="N201" s="89">
        <v>75</v>
      </c>
      <c r="O201" s="89">
        <v>90</v>
      </c>
      <c r="P201" s="89">
        <v>120</v>
      </c>
      <c r="Q201" s="89">
        <v>150</v>
      </c>
      <c r="R201" s="187" t="s">
        <v>218</v>
      </c>
      <c r="S201" s="106" t="s">
        <v>9</v>
      </c>
      <c r="T201" s="107" t="s">
        <v>10</v>
      </c>
      <c r="U201" s="90"/>
      <c r="V201" s="91"/>
      <c r="W201" s="91"/>
      <c r="X201" s="91"/>
      <c r="Y201" s="91"/>
      <c r="Z201" s="92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3"/>
      <c r="AL201" s="91"/>
      <c r="AM201" s="409"/>
      <c r="AN201" s="83"/>
      <c r="AO201" s="84"/>
      <c r="AP201" s="145"/>
      <c r="AQ201" s="83"/>
      <c r="AR201" s="83"/>
      <c r="AS201" s="145"/>
      <c r="AT201" s="83"/>
      <c r="AU201" s="83"/>
      <c r="AV201" s="83"/>
      <c r="AW201" s="323"/>
      <c r="AX201" s="323"/>
      <c r="BK201" s="188"/>
      <c r="CC201" s="367"/>
    </row>
    <row r="202" spans="2:81" ht="15" customHeight="1">
      <c r="B202" s="98"/>
      <c r="C202" s="108">
        <v>201</v>
      </c>
      <c r="D202" s="99" t="s">
        <v>446</v>
      </c>
      <c r="E202" s="100" t="s">
        <v>447</v>
      </c>
      <c r="F202" s="101" t="s">
        <v>14</v>
      </c>
      <c r="G202" s="102" t="s">
        <v>5</v>
      </c>
      <c r="H202" s="102" t="s">
        <v>13</v>
      </c>
      <c r="I202" s="103" t="s">
        <v>0</v>
      </c>
      <c r="J202" s="104"/>
      <c r="K202" s="83"/>
      <c r="L202" s="105">
        <v>45</v>
      </c>
      <c r="M202" s="89">
        <v>60</v>
      </c>
      <c r="N202" s="89">
        <v>75</v>
      </c>
      <c r="O202" s="89">
        <v>90</v>
      </c>
      <c r="P202" s="89">
        <v>120</v>
      </c>
      <c r="Q202" s="89">
        <v>150</v>
      </c>
      <c r="R202" s="187" t="s">
        <v>218</v>
      </c>
      <c r="S202" s="106" t="s">
        <v>9</v>
      </c>
      <c r="T202" s="107" t="s">
        <v>10</v>
      </c>
      <c r="U202" s="90"/>
      <c r="V202" s="91"/>
      <c r="W202" s="91"/>
      <c r="X202" s="91"/>
      <c r="Y202" s="91"/>
      <c r="Z202" s="92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3"/>
      <c r="AL202" s="91"/>
      <c r="AM202" s="409"/>
      <c r="AN202" s="83"/>
      <c r="AO202" s="84"/>
      <c r="AP202" s="145"/>
      <c r="AQ202" s="83"/>
      <c r="AR202" s="83"/>
      <c r="AS202" s="145"/>
      <c r="AT202" s="83"/>
      <c r="AU202" s="83"/>
      <c r="AV202" s="83"/>
      <c r="AW202" s="323"/>
      <c r="AX202" s="323"/>
      <c r="BK202" s="188"/>
      <c r="CC202" s="367"/>
    </row>
    <row r="203" spans="2:81" ht="15" customHeight="1">
      <c r="B203" s="98"/>
      <c r="C203" s="108">
        <v>202</v>
      </c>
      <c r="D203" s="99" t="s">
        <v>446</v>
      </c>
      <c r="E203" s="100" t="s">
        <v>447</v>
      </c>
      <c r="F203" s="101" t="s">
        <v>14</v>
      </c>
      <c r="G203" s="102" t="s">
        <v>5</v>
      </c>
      <c r="H203" s="102" t="s">
        <v>13</v>
      </c>
      <c r="I203" s="103" t="s">
        <v>0</v>
      </c>
      <c r="J203" s="104"/>
      <c r="K203" s="83"/>
      <c r="L203" s="105">
        <v>45</v>
      </c>
      <c r="M203" s="89">
        <v>60</v>
      </c>
      <c r="N203" s="89">
        <v>75</v>
      </c>
      <c r="O203" s="89">
        <v>90</v>
      </c>
      <c r="P203" s="89">
        <v>120</v>
      </c>
      <c r="Q203" s="89">
        <v>150</v>
      </c>
      <c r="R203" s="187" t="s">
        <v>218</v>
      </c>
      <c r="S203" s="106" t="s">
        <v>9</v>
      </c>
      <c r="T203" s="107" t="s">
        <v>10</v>
      </c>
      <c r="U203" s="90"/>
      <c r="V203" s="91"/>
      <c r="W203" s="91"/>
      <c r="X203" s="91"/>
      <c r="Y203" s="91"/>
      <c r="Z203" s="92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3"/>
      <c r="AL203" s="91"/>
      <c r="AM203" s="409"/>
      <c r="AN203" s="83"/>
      <c r="AO203" s="84"/>
      <c r="AP203" s="145"/>
      <c r="AQ203" s="83"/>
      <c r="AR203" s="83"/>
      <c r="AS203" s="145"/>
      <c r="AT203" s="83"/>
      <c r="AU203" s="83"/>
      <c r="AV203" s="83"/>
      <c r="AW203" s="323"/>
      <c r="AX203" s="323"/>
      <c r="BK203" s="188"/>
      <c r="CC203" s="367"/>
    </row>
    <row r="204" spans="2:81" ht="15" customHeight="1">
      <c r="B204" s="98"/>
      <c r="C204" s="108">
        <v>203</v>
      </c>
      <c r="D204" s="99" t="s">
        <v>446</v>
      </c>
      <c r="E204" s="100" t="s">
        <v>447</v>
      </c>
      <c r="F204" s="101" t="s">
        <v>14</v>
      </c>
      <c r="G204" s="102" t="s">
        <v>5</v>
      </c>
      <c r="H204" s="102" t="s">
        <v>13</v>
      </c>
      <c r="I204" s="103" t="s">
        <v>0</v>
      </c>
      <c r="J204" s="104"/>
      <c r="K204" s="83"/>
      <c r="L204" s="105">
        <v>45</v>
      </c>
      <c r="M204" s="89">
        <v>60</v>
      </c>
      <c r="N204" s="89">
        <v>75</v>
      </c>
      <c r="O204" s="89">
        <v>90</v>
      </c>
      <c r="P204" s="89">
        <v>120</v>
      </c>
      <c r="Q204" s="89">
        <v>150</v>
      </c>
      <c r="R204" s="187" t="s">
        <v>218</v>
      </c>
      <c r="S204" s="106" t="s">
        <v>9</v>
      </c>
      <c r="T204" s="107" t="s">
        <v>10</v>
      </c>
      <c r="U204" s="90"/>
      <c r="V204" s="91"/>
      <c r="W204" s="91"/>
      <c r="X204" s="91"/>
      <c r="Y204" s="91"/>
      <c r="Z204" s="92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93"/>
      <c r="AL204" s="91"/>
      <c r="AM204" s="409"/>
      <c r="AN204" s="83"/>
      <c r="AO204" s="84"/>
      <c r="AP204" s="145"/>
      <c r="AQ204" s="83"/>
      <c r="AR204" s="83"/>
      <c r="AS204" s="145"/>
      <c r="AT204" s="83"/>
      <c r="AU204" s="83"/>
      <c r="AV204" s="83"/>
      <c r="AW204" s="323"/>
      <c r="AX204" s="323"/>
      <c r="BK204" s="188"/>
      <c r="CC204" s="367"/>
    </row>
    <row r="205" spans="2:81" ht="15" customHeight="1">
      <c r="B205" s="98"/>
      <c r="C205" s="108">
        <v>204</v>
      </c>
      <c r="D205" s="99" t="s">
        <v>446</v>
      </c>
      <c r="E205" s="100" t="s">
        <v>447</v>
      </c>
      <c r="F205" s="101" t="s">
        <v>14</v>
      </c>
      <c r="G205" s="102" t="s">
        <v>5</v>
      </c>
      <c r="H205" s="102" t="s">
        <v>13</v>
      </c>
      <c r="I205" s="103" t="s">
        <v>0</v>
      </c>
      <c r="J205" s="104"/>
      <c r="K205" s="83"/>
      <c r="L205" s="105">
        <v>45</v>
      </c>
      <c r="M205" s="89">
        <v>60</v>
      </c>
      <c r="N205" s="89">
        <v>75</v>
      </c>
      <c r="O205" s="89">
        <v>90</v>
      </c>
      <c r="P205" s="89">
        <v>120</v>
      </c>
      <c r="Q205" s="89">
        <v>150</v>
      </c>
      <c r="R205" s="187" t="s">
        <v>218</v>
      </c>
      <c r="S205" s="106" t="s">
        <v>9</v>
      </c>
      <c r="T205" s="107" t="s">
        <v>10</v>
      </c>
      <c r="U205" s="90"/>
      <c r="V205" s="91"/>
      <c r="W205" s="91"/>
      <c r="X205" s="91"/>
      <c r="Y205" s="91"/>
      <c r="Z205" s="92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93"/>
      <c r="AL205" s="91"/>
      <c r="AM205" s="409"/>
      <c r="AN205" s="83"/>
      <c r="AO205" s="84"/>
      <c r="AP205" s="145"/>
      <c r="AQ205" s="83"/>
      <c r="AR205" s="83"/>
      <c r="AS205" s="145"/>
      <c r="AT205" s="83"/>
      <c r="AU205" s="83"/>
      <c r="AV205" s="83"/>
      <c r="AW205" s="323"/>
      <c r="AX205" s="323"/>
      <c r="BK205" s="188"/>
      <c r="CC205" s="367"/>
    </row>
    <row r="206" spans="2:81" ht="15" customHeight="1">
      <c r="B206" s="98"/>
      <c r="C206" s="108">
        <v>205</v>
      </c>
      <c r="D206" s="99" t="s">
        <v>446</v>
      </c>
      <c r="E206" s="100" t="s">
        <v>447</v>
      </c>
      <c r="F206" s="101" t="s">
        <v>14</v>
      </c>
      <c r="G206" s="102" t="s">
        <v>5</v>
      </c>
      <c r="H206" s="102" t="s">
        <v>13</v>
      </c>
      <c r="I206" s="103" t="s">
        <v>0</v>
      </c>
      <c r="J206" s="104"/>
      <c r="K206" s="83"/>
      <c r="L206" s="105">
        <v>45</v>
      </c>
      <c r="M206" s="89">
        <v>60</v>
      </c>
      <c r="N206" s="89">
        <v>75</v>
      </c>
      <c r="O206" s="89">
        <v>90</v>
      </c>
      <c r="P206" s="89">
        <v>120</v>
      </c>
      <c r="Q206" s="89">
        <v>150</v>
      </c>
      <c r="R206" s="187" t="s">
        <v>218</v>
      </c>
      <c r="S206" s="106" t="s">
        <v>9</v>
      </c>
      <c r="T206" s="107" t="s">
        <v>10</v>
      </c>
      <c r="U206" s="90"/>
      <c r="V206" s="91"/>
      <c r="W206" s="91"/>
      <c r="X206" s="91"/>
      <c r="Y206" s="91"/>
      <c r="Z206" s="92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3"/>
      <c r="AL206" s="91"/>
      <c r="AM206" s="409"/>
      <c r="AN206" s="83"/>
      <c r="AO206" s="84"/>
      <c r="AP206" s="145"/>
      <c r="AQ206" s="83"/>
      <c r="AR206" s="83"/>
      <c r="AS206" s="145"/>
      <c r="AT206" s="83"/>
      <c r="AU206" s="83"/>
      <c r="AV206" s="83"/>
      <c r="AW206" s="323"/>
      <c r="AX206" s="323"/>
      <c r="BK206" s="188"/>
      <c r="CC206" s="367"/>
    </row>
    <row r="207" spans="2:81" ht="15" customHeight="1">
      <c r="B207" s="98"/>
      <c r="C207" s="108">
        <v>206</v>
      </c>
      <c r="D207" s="99" t="s">
        <v>446</v>
      </c>
      <c r="E207" s="100" t="s">
        <v>447</v>
      </c>
      <c r="F207" s="101" t="s">
        <v>14</v>
      </c>
      <c r="G207" s="102" t="s">
        <v>5</v>
      </c>
      <c r="H207" s="102" t="s">
        <v>13</v>
      </c>
      <c r="I207" s="103" t="s">
        <v>0</v>
      </c>
      <c r="J207" s="104"/>
      <c r="K207" s="83"/>
      <c r="L207" s="105">
        <v>45</v>
      </c>
      <c r="M207" s="89">
        <v>60</v>
      </c>
      <c r="N207" s="89">
        <v>75</v>
      </c>
      <c r="O207" s="89">
        <v>90</v>
      </c>
      <c r="P207" s="89">
        <v>120</v>
      </c>
      <c r="Q207" s="89">
        <v>150</v>
      </c>
      <c r="R207" s="187" t="s">
        <v>218</v>
      </c>
      <c r="S207" s="106" t="s">
        <v>9</v>
      </c>
      <c r="T207" s="107" t="s">
        <v>10</v>
      </c>
      <c r="U207" s="90"/>
      <c r="V207" s="91"/>
      <c r="W207" s="91"/>
      <c r="X207" s="91"/>
      <c r="Y207" s="91"/>
      <c r="Z207" s="92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3"/>
      <c r="AL207" s="91"/>
      <c r="AM207" s="409"/>
      <c r="AN207" s="83"/>
      <c r="AO207" s="84"/>
      <c r="AP207" s="145"/>
      <c r="AQ207" s="83"/>
      <c r="AR207" s="83"/>
      <c r="AS207" s="145"/>
      <c r="AT207" s="83"/>
      <c r="AU207" s="83"/>
      <c r="AV207" s="83"/>
      <c r="AW207" s="323"/>
      <c r="AX207" s="323"/>
      <c r="BK207" s="188"/>
      <c r="CC207" s="367"/>
    </row>
    <row r="208" spans="2:81" ht="15" customHeight="1">
      <c r="B208" s="98"/>
      <c r="C208" s="108">
        <v>207</v>
      </c>
      <c r="D208" s="99" t="s">
        <v>446</v>
      </c>
      <c r="E208" s="100" t="s">
        <v>447</v>
      </c>
      <c r="F208" s="101" t="s">
        <v>14</v>
      </c>
      <c r="G208" s="102" t="s">
        <v>5</v>
      </c>
      <c r="H208" s="102" t="s">
        <v>13</v>
      </c>
      <c r="I208" s="103" t="s">
        <v>0</v>
      </c>
      <c r="J208" s="104"/>
      <c r="K208" s="83"/>
      <c r="L208" s="105">
        <v>45</v>
      </c>
      <c r="M208" s="89">
        <v>60</v>
      </c>
      <c r="N208" s="89">
        <v>75</v>
      </c>
      <c r="O208" s="89">
        <v>90</v>
      </c>
      <c r="P208" s="89">
        <v>120</v>
      </c>
      <c r="Q208" s="89">
        <v>150</v>
      </c>
      <c r="R208" s="187" t="s">
        <v>218</v>
      </c>
      <c r="S208" s="106" t="s">
        <v>9</v>
      </c>
      <c r="T208" s="107" t="s">
        <v>10</v>
      </c>
      <c r="U208" s="90"/>
      <c r="V208" s="91"/>
      <c r="W208" s="91"/>
      <c r="X208" s="91"/>
      <c r="Y208" s="91"/>
      <c r="Z208" s="92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93"/>
      <c r="AL208" s="91"/>
      <c r="AM208" s="409"/>
      <c r="AN208" s="83"/>
      <c r="AO208" s="84"/>
      <c r="AP208" s="145"/>
      <c r="AQ208" s="83"/>
      <c r="AR208" s="83"/>
      <c r="AS208" s="145"/>
      <c r="AT208" s="83"/>
      <c r="AU208" s="83"/>
      <c r="AV208" s="83"/>
      <c r="AW208" s="323"/>
      <c r="AX208" s="323"/>
      <c r="BK208" s="188"/>
      <c r="CC208" s="367"/>
    </row>
    <row r="209" spans="2:81" ht="15" customHeight="1">
      <c r="B209" s="98"/>
      <c r="C209" s="108">
        <v>208</v>
      </c>
      <c r="D209" s="99" t="s">
        <v>446</v>
      </c>
      <c r="E209" s="100" t="s">
        <v>447</v>
      </c>
      <c r="F209" s="101" t="s">
        <v>14</v>
      </c>
      <c r="G209" s="102" t="s">
        <v>5</v>
      </c>
      <c r="H209" s="102" t="s">
        <v>13</v>
      </c>
      <c r="I209" s="103" t="s">
        <v>0</v>
      </c>
      <c r="J209" s="104"/>
      <c r="K209" s="83"/>
      <c r="L209" s="105">
        <v>45</v>
      </c>
      <c r="M209" s="89">
        <v>60</v>
      </c>
      <c r="N209" s="89">
        <v>75</v>
      </c>
      <c r="O209" s="89">
        <v>90</v>
      </c>
      <c r="P209" s="89">
        <v>120</v>
      </c>
      <c r="Q209" s="89">
        <v>150</v>
      </c>
      <c r="R209" s="187" t="s">
        <v>218</v>
      </c>
      <c r="S209" s="106" t="s">
        <v>9</v>
      </c>
      <c r="T209" s="107" t="s">
        <v>10</v>
      </c>
      <c r="U209" s="90"/>
      <c r="V209" s="91"/>
      <c r="W209" s="91"/>
      <c r="X209" s="91"/>
      <c r="Y209" s="91"/>
      <c r="Z209" s="92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/>
      <c r="AK209" s="93"/>
      <c r="AL209" s="91"/>
      <c r="AM209" s="409"/>
      <c r="AN209" s="83"/>
      <c r="AO209" s="84"/>
      <c r="AP209" s="145"/>
      <c r="AQ209" s="83"/>
      <c r="AR209" s="83"/>
      <c r="AS209" s="145"/>
      <c r="AT209" s="83"/>
      <c r="AU209" s="83"/>
      <c r="AV209" s="83"/>
      <c r="AW209" s="323"/>
      <c r="AX209" s="323"/>
      <c r="BK209" s="188"/>
      <c r="CC209" s="367"/>
    </row>
    <row r="210" spans="2:81" ht="15" customHeight="1">
      <c r="B210" s="98"/>
      <c r="C210" s="108">
        <v>209</v>
      </c>
      <c r="D210" s="99" t="s">
        <v>446</v>
      </c>
      <c r="E210" s="100" t="s">
        <v>447</v>
      </c>
      <c r="F210" s="101" t="s">
        <v>14</v>
      </c>
      <c r="G210" s="102" t="s">
        <v>5</v>
      </c>
      <c r="H210" s="102" t="s">
        <v>13</v>
      </c>
      <c r="I210" s="103" t="s">
        <v>0</v>
      </c>
      <c r="J210" s="104"/>
      <c r="K210" s="83"/>
      <c r="L210" s="105">
        <v>45</v>
      </c>
      <c r="M210" s="89">
        <v>60</v>
      </c>
      <c r="N210" s="89">
        <v>75</v>
      </c>
      <c r="O210" s="89">
        <v>90</v>
      </c>
      <c r="P210" s="89">
        <v>120</v>
      </c>
      <c r="Q210" s="89">
        <v>150</v>
      </c>
      <c r="R210" s="187" t="s">
        <v>218</v>
      </c>
      <c r="S210" s="106" t="s">
        <v>9</v>
      </c>
      <c r="T210" s="107" t="s">
        <v>10</v>
      </c>
      <c r="U210" s="90"/>
      <c r="V210" s="91"/>
      <c r="W210" s="91"/>
      <c r="X210" s="91"/>
      <c r="Y210" s="91"/>
      <c r="Z210" s="92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3"/>
      <c r="AL210" s="91"/>
      <c r="AM210" s="409"/>
      <c r="AN210" s="83"/>
      <c r="AO210" s="84"/>
      <c r="AP210" s="145"/>
      <c r="AQ210" s="83"/>
      <c r="AR210" s="83"/>
      <c r="AS210" s="145"/>
      <c r="AT210" s="83"/>
      <c r="AU210" s="83"/>
      <c r="AV210" s="83"/>
      <c r="AW210" s="323"/>
      <c r="AX210" s="323"/>
      <c r="BK210" s="188"/>
      <c r="CC210" s="367"/>
    </row>
    <row r="211" spans="2:81" ht="15" customHeight="1">
      <c r="B211" s="98"/>
      <c r="C211" s="108">
        <v>210</v>
      </c>
      <c r="D211" s="99" t="s">
        <v>446</v>
      </c>
      <c r="E211" s="100" t="s">
        <v>447</v>
      </c>
      <c r="F211" s="101" t="s">
        <v>14</v>
      </c>
      <c r="G211" s="102" t="s">
        <v>5</v>
      </c>
      <c r="H211" s="102" t="s">
        <v>13</v>
      </c>
      <c r="I211" s="103" t="s">
        <v>0</v>
      </c>
      <c r="J211" s="104"/>
      <c r="K211" s="83"/>
      <c r="L211" s="105">
        <v>45</v>
      </c>
      <c r="M211" s="89">
        <v>60</v>
      </c>
      <c r="N211" s="89">
        <v>75</v>
      </c>
      <c r="O211" s="89">
        <v>90</v>
      </c>
      <c r="P211" s="89">
        <v>120</v>
      </c>
      <c r="Q211" s="89">
        <v>150</v>
      </c>
      <c r="R211" s="187" t="s">
        <v>218</v>
      </c>
      <c r="S211" s="106" t="s">
        <v>9</v>
      </c>
      <c r="T211" s="107" t="s">
        <v>10</v>
      </c>
      <c r="U211" s="90"/>
      <c r="V211" s="91"/>
      <c r="W211" s="91"/>
      <c r="X211" s="91"/>
      <c r="Y211" s="91"/>
      <c r="Z211" s="92"/>
      <c r="AA211" s="91"/>
      <c r="AB211" s="91"/>
      <c r="AC211" s="91"/>
      <c r="AD211" s="91"/>
      <c r="AE211" s="91"/>
      <c r="AF211" s="91"/>
      <c r="AG211" s="91"/>
      <c r="AH211" s="91"/>
      <c r="AI211" s="91"/>
      <c r="AJ211" s="91"/>
      <c r="AK211" s="93"/>
      <c r="AL211" s="91"/>
      <c r="AM211" s="409"/>
      <c r="AN211" s="83"/>
      <c r="AO211" s="84"/>
      <c r="AP211" s="145"/>
      <c r="AQ211" s="83"/>
      <c r="AR211" s="83"/>
      <c r="AS211" s="145"/>
      <c r="AT211" s="83"/>
      <c r="AU211" s="83"/>
      <c r="AV211" s="83"/>
      <c r="AW211" s="323"/>
      <c r="AX211" s="323"/>
      <c r="BK211" s="188"/>
      <c r="CC211" s="367"/>
    </row>
    <row r="212" spans="2:81" ht="15" customHeight="1">
      <c r="B212" s="98"/>
      <c r="C212" s="108">
        <v>211</v>
      </c>
      <c r="D212" s="99" t="s">
        <v>446</v>
      </c>
      <c r="E212" s="100" t="s">
        <v>447</v>
      </c>
      <c r="F212" s="101" t="s">
        <v>14</v>
      </c>
      <c r="G212" s="102" t="s">
        <v>5</v>
      </c>
      <c r="H212" s="102" t="s">
        <v>13</v>
      </c>
      <c r="I212" s="103" t="s">
        <v>0</v>
      </c>
      <c r="J212" s="104"/>
      <c r="K212" s="83"/>
      <c r="L212" s="105">
        <v>45</v>
      </c>
      <c r="M212" s="89">
        <v>60</v>
      </c>
      <c r="N212" s="89">
        <v>75</v>
      </c>
      <c r="O212" s="89">
        <v>90</v>
      </c>
      <c r="P212" s="89">
        <v>120</v>
      </c>
      <c r="Q212" s="89">
        <v>150</v>
      </c>
      <c r="R212" s="187" t="s">
        <v>218</v>
      </c>
      <c r="S212" s="106" t="s">
        <v>9</v>
      </c>
      <c r="T212" s="107" t="s">
        <v>10</v>
      </c>
      <c r="U212" s="90"/>
      <c r="V212" s="91"/>
      <c r="W212" s="91"/>
      <c r="X212" s="91"/>
      <c r="Y212" s="91"/>
      <c r="Z212" s="92"/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93"/>
      <c r="AL212" s="91"/>
      <c r="AM212" s="409"/>
      <c r="AN212" s="83"/>
      <c r="AO212" s="84"/>
      <c r="AP212" s="145"/>
      <c r="AQ212" s="83"/>
      <c r="AR212" s="83"/>
      <c r="AS212" s="145"/>
      <c r="AT212" s="83"/>
      <c r="AU212" s="83"/>
      <c r="AV212" s="83"/>
      <c r="AW212" s="323"/>
      <c r="AX212" s="323"/>
      <c r="BK212" s="188"/>
      <c r="CC212" s="367"/>
    </row>
    <row r="213" spans="2:81" ht="15" customHeight="1">
      <c r="B213" s="98"/>
      <c r="C213" s="108">
        <v>212</v>
      </c>
      <c r="D213" s="99" t="s">
        <v>446</v>
      </c>
      <c r="E213" s="100" t="s">
        <v>447</v>
      </c>
      <c r="F213" s="101" t="s">
        <v>14</v>
      </c>
      <c r="G213" s="102" t="s">
        <v>5</v>
      </c>
      <c r="H213" s="102" t="s">
        <v>13</v>
      </c>
      <c r="I213" s="103" t="s">
        <v>0</v>
      </c>
      <c r="J213" s="104"/>
      <c r="K213" s="83"/>
      <c r="L213" s="105">
        <v>45</v>
      </c>
      <c r="M213" s="89">
        <v>60</v>
      </c>
      <c r="N213" s="89">
        <v>75</v>
      </c>
      <c r="O213" s="89">
        <v>90</v>
      </c>
      <c r="P213" s="89">
        <v>120</v>
      </c>
      <c r="Q213" s="89">
        <v>150</v>
      </c>
      <c r="R213" s="187" t="s">
        <v>218</v>
      </c>
      <c r="S213" s="106" t="s">
        <v>9</v>
      </c>
      <c r="T213" s="107" t="s">
        <v>10</v>
      </c>
      <c r="U213" s="90"/>
      <c r="V213" s="91"/>
      <c r="W213" s="91"/>
      <c r="X213" s="91"/>
      <c r="Y213" s="91"/>
      <c r="Z213" s="92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93"/>
      <c r="AL213" s="91"/>
      <c r="AM213" s="409"/>
      <c r="AN213" s="83"/>
      <c r="AO213" s="84"/>
      <c r="AP213" s="145"/>
      <c r="AQ213" s="83"/>
      <c r="AR213" s="83"/>
      <c r="AS213" s="145"/>
      <c r="AT213" s="83"/>
      <c r="AU213" s="83"/>
      <c r="AV213" s="83"/>
      <c r="AW213" s="323"/>
      <c r="AX213" s="323"/>
      <c r="BK213" s="188"/>
      <c r="CC213" s="367"/>
    </row>
    <row r="214" spans="2:81" ht="15" customHeight="1">
      <c r="B214" s="98"/>
      <c r="C214" s="108">
        <v>213</v>
      </c>
      <c r="D214" s="99" t="s">
        <v>446</v>
      </c>
      <c r="E214" s="100" t="s">
        <v>447</v>
      </c>
      <c r="F214" s="101" t="s">
        <v>14</v>
      </c>
      <c r="G214" s="102" t="s">
        <v>5</v>
      </c>
      <c r="H214" s="102" t="s">
        <v>13</v>
      </c>
      <c r="I214" s="103" t="s">
        <v>0</v>
      </c>
      <c r="J214" s="104"/>
      <c r="K214" s="83"/>
      <c r="L214" s="105">
        <v>45</v>
      </c>
      <c r="M214" s="89">
        <v>60</v>
      </c>
      <c r="N214" s="89">
        <v>75</v>
      </c>
      <c r="O214" s="89">
        <v>90</v>
      </c>
      <c r="P214" s="89">
        <v>120</v>
      </c>
      <c r="Q214" s="89">
        <v>150</v>
      </c>
      <c r="R214" s="187" t="s">
        <v>218</v>
      </c>
      <c r="S214" s="106" t="s">
        <v>9</v>
      </c>
      <c r="T214" s="107" t="s">
        <v>10</v>
      </c>
      <c r="U214" s="90"/>
      <c r="V214" s="91"/>
      <c r="W214" s="91"/>
      <c r="X214" s="91"/>
      <c r="Y214" s="91"/>
      <c r="Z214" s="92"/>
      <c r="AA214" s="91"/>
      <c r="AB214" s="91"/>
      <c r="AC214" s="91"/>
      <c r="AD214" s="91"/>
      <c r="AE214" s="91"/>
      <c r="AF214" s="91"/>
      <c r="AG214" s="91"/>
      <c r="AH214" s="91"/>
      <c r="AI214" s="91"/>
      <c r="AJ214" s="91"/>
      <c r="AK214" s="93"/>
      <c r="AL214" s="91"/>
      <c r="AM214" s="409"/>
      <c r="AN214" s="83"/>
      <c r="AO214" s="84"/>
      <c r="AP214" s="145"/>
      <c r="AQ214" s="83"/>
      <c r="AR214" s="83"/>
      <c r="AS214" s="145"/>
      <c r="AT214" s="83"/>
      <c r="AU214" s="83"/>
      <c r="AV214" s="83"/>
      <c r="AW214" s="323"/>
      <c r="AX214" s="323"/>
      <c r="BK214" s="188"/>
      <c r="CC214" s="367"/>
    </row>
    <row r="215" spans="2:81" ht="15" customHeight="1">
      <c r="B215" s="98"/>
      <c r="C215" s="108">
        <v>214</v>
      </c>
      <c r="D215" s="99" t="s">
        <v>446</v>
      </c>
      <c r="E215" s="100" t="s">
        <v>447</v>
      </c>
      <c r="F215" s="101" t="s">
        <v>14</v>
      </c>
      <c r="G215" s="102" t="s">
        <v>5</v>
      </c>
      <c r="H215" s="102" t="s">
        <v>13</v>
      </c>
      <c r="I215" s="103" t="s">
        <v>0</v>
      </c>
      <c r="J215" s="104"/>
      <c r="K215" s="83"/>
      <c r="L215" s="105">
        <v>45</v>
      </c>
      <c r="M215" s="89">
        <v>60</v>
      </c>
      <c r="N215" s="89">
        <v>75</v>
      </c>
      <c r="O215" s="89">
        <v>90</v>
      </c>
      <c r="P215" s="89">
        <v>120</v>
      </c>
      <c r="Q215" s="89">
        <v>150</v>
      </c>
      <c r="R215" s="187" t="s">
        <v>218</v>
      </c>
      <c r="S215" s="106" t="s">
        <v>9</v>
      </c>
      <c r="T215" s="107" t="s">
        <v>10</v>
      </c>
      <c r="U215" s="90"/>
      <c r="V215" s="91"/>
      <c r="W215" s="91"/>
      <c r="X215" s="91"/>
      <c r="Y215" s="91"/>
      <c r="Z215" s="92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93"/>
      <c r="AL215" s="91"/>
      <c r="AM215" s="409"/>
      <c r="AN215" s="83"/>
      <c r="AO215" s="84"/>
      <c r="AP215" s="145"/>
      <c r="AQ215" s="83"/>
      <c r="AR215" s="83"/>
      <c r="AS215" s="145"/>
      <c r="AT215" s="83"/>
      <c r="AU215" s="83"/>
      <c r="AV215" s="83"/>
      <c r="AW215" s="323"/>
      <c r="AX215" s="323"/>
      <c r="BK215" s="188"/>
      <c r="CC215" s="367"/>
    </row>
    <row r="216" spans="2:81">
      <c r="B216" s="98"/>
      <c r="C216" s="108">
        <v>215</v>
      </c>
      <c r="D216" s="99" t="s">
        <v>446</v>
      </c>
      <c r="E216" s="100" t="s">
        <v>447</v>
      </c>
      <c r="F216" s="101" t="s">
        <v>14</v>
      </c>
      <c r="G216" s="102" t="s">
        <v>5</v>
      </c>
      <c r="H216" s="102" t="s">
        <v>13</v>
      </c>
      <c r="I216" s="103" t="s">
        <v>0</v>
      </c>
      <c r="J216" s="104"/>
      <c r="K216" s="83"/>
      <c r="L216" s="105">
        <v>45</v>
      </c>
      <c r="M216" s="89">
        <v>60</v>
      </c>
      <c r="N216" s="89">
        <v>75</v>
      </c>
      <c r="O216" s="89">
        <v>90</v>
      </c>
      <c r="P216" s="89">
        <v>120</v>
      </c>
      <c r="Q216" s="89">
        <v>150</v>
      </c>
      <c r="R216" s="187" t="s">
        <v>218</v>
      </c>
      <c r="S216" s="106" t="s">
        <v>9</v>
      </c>
      <c r="T216" s="107" t="s">
        <v>10</v>
      </c>
      <c r="U216" s="90"/>
      <c r="V216" s="91"/>
      <c r="W216" s="91"/>
      <c r="X216" s="91"/>
      <c r="Y216" s="91"/>
      <c r="Z216" s="92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93"/>
      <c r="AL216" s="91"/>
      <c r="AM216" s="409"/>
      <c r="AN216" s="83"/>
      <c r="AO216" s="84"/>
      <c r="AP216" s="145"/>
      <c r="AQ216" s="83"/>
      <c r="AR216" s="83"/>
      <c r="AS216" s="145"/>
      <c r="AT216" s="83"/>
      <c r="AU216" s="83"/>
      <c r="AV216" s="83"/>
      <c r="AW216" s="323"/>
      <c r="AX216" s="323"/>
      <c r="BK216" s="188"/>
      <c r="CC216" s="367"/>
    </row>
    <row r="217" spans="2:81">
      <c r="B217" s="98"/>
      <c r="C217" s="108">
        <v>216</v>
      </c>
      <c r="D217" s="99" t="s">
        <v>446</v>
      </c>
      <c r="E217" s="100" t="s">
        <v>447</v>
      </c>
      <c r="F217" s="101" t="s">
        <v>14</v>
      </c>
      <c r="G217" s="102" t="s">
        <v>5</v>
      </c>
      <c r="H217" s="102" t="s">
        <v>13</v>
      </c>
      <c r="I217" s="103" t="s">
        <v>0</v>
      </c>
      <c r="J217" s="104"/>
      <c r="K217" s="83"/>
      <c r="L217" s="105">
        <v>45</v>
      </c>
      <c r="M217" s="89">
        <v>60</v>
      </c>
      <c r="N217" s="89">
        <v>75</v>
      </c>
      <c r="O217" s="89">
        <v>90</v>
      </c>
      <c r="P217" s="89">
        <v>120</v>
      </c>
      <c r="Q217" s="89">
        <v>150</v>
      </c>
      <c r="R217" s="187" t="s">
        <v>218</v>
      </c>
      <c r="S217" s="106" t="s">
        <v>9</v>
      </c>
      <c r="T217" s="107" t="s">
        <v>10</v>
      </c>
      <c r="U217" s="90"/>
      <c r="V217" s="91"/>
      <c r="W217" s="91"/>
      <c r="X217" s="91"/>
      <c r="Y217" s="91"/>
      <c r="Z217" s="92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93"/>
      <c r="AL217" s="91"/>
      <c r="AM217" s="409"/>
      <c r="AN217" s="83"/>
      <c r="AO217" s="84"/>
      <c r="AP217" s="145"/>
      <c r="AQ217" s="83"/>
      <c r="AR217" s="83"/>
      <c r="AS217" s="145"/>
      <c r="AT217" s="83"/>
      <c r="AU217" s="83"/>
      <c r="AV217" s="83"/>
      <c r="AW217" s="323"/>
      <c r="AX217" s="323"/>
      <c r="BK217" s="188"/>
      <c r="CC217" s="367"/>
    </row>
    <row r="218" spans="2:81">
      <c r="B218" s="98"/>
      <c r="C218" s="108">
        <v>217</v>
      </c>
      <c r="D218" s="99" t="s">
        <v>446</v>
      </c>
      <c r="E218" s="100" t="s">
        <v>447</v>
      </c>
      <c r="F218" s="101" t="s">
        <v>14</v>
      </c>
      <c r="G218" s="102" t="s">
        <v>5</v>
      </c>
      <c r="H218" s="102" t="s">
        <v>13</v>
      </c>
      <c r="I218" s="103" t="s">
        <v>0</v>
      </c>
      <c r="J218" s="104"/>
      <c r="K218" s="83"/>
      <c r="L218" s="105">
        <v>45</v>
      </c>
      <c r="M218" s="89">
        <v>60</v>
      </c>
      <c r="N218" s="89">
        <v>75</v>
      </c>
      <c r="O218" s="89">
        <v>90</v>
      </c>
      <c r="P218" s="89">
        <v>120</v>
      </c>
      <c r="Q218" s="89">
        <v>150</v>
      </c>
      <c r="R218" s="187" t="s">
        <v>218</v>
      </c>
      <c r="S218" s="106" t="s">
        <v>9</v>
      </c>
      <c r="T218" s="107" t="s">
        <v>10</v>
      </c>
      <c r="U218" s="90"/>
      <c r="V218" s="91"/>
      <c r="W218" s="91"/>
      <c r="X218" s="91"/>
      <c r="Y218" s="91"/>
      <c r="Z218" s="92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93"/>
      <c r="AL218" s="91"/>
      <c r="AM218" s="409"/>
      <c r="AN218" s="83"/>
      <c r="AO218" s="84"/>
      <c r="AP218" s="145"/>
      <c r="AQ218" s="83"/>
      <c r="AR218" s="83"/>
      <c r="AS218" s="145"/>
      <c r="AT218" s="83"/>
      <c r="AU218" s="83"/>
      <c r="AV218" s="83"/>
      <c r="AW218" s="323"/>
      <c r="AX218" s="323"/>
      <c r="BK218" s="188"/>
      <c r="CC218" s="367"/>
    </row>
    <row r="219" spans="2:81">
      <c r="B219" s="98"/>
      <c r="C219" s="108">
        <v>218</v>
      </c>
      <c r="D219" s="99" t="s">
        <v>446</v>
      </c>
      <c r="E219" s="100" t="s">
        <v>447</v>
      </c>
      <c r="F219" s="101" t="s">
        <v>14</v>
      </c>
      <c r="G219" s="102" t="s">
        <v>5</v>
      </c>
      <c r="H219" s="102" t="s">
        <v>13</v>
      </c>
      <c r="I219" s="103" t="s">
        <v>0</v>
      </c>
      <c r="J219" s="104"/>
      <c r="K219" s="83"/>
      <c r="L219" s="105">
        <v>45</v>
      </c>
      <c r="M219" s="89">
        <v>60</v>
      </c>
      <c r="N219" s="89">
        <v>75</v>
      </c>
      <c r="O219" s="89">
        <v>90</v>
      </c>
      <c r="P219" s="89">
        <v>120</v>
      </c>
      <c r="Q219" s="89">
        <v>150</v>
      </c>
      <c r="R219" s="187" t="s">
        <v>218</v>
      </c>
      <c r="S219" s="106" t="s">
        <v>9</v>
      </c>
      <c r="T219" s="107" t="s">
        <v>10</v>
      </c>
      <c r="U219" s="90"/>
      <c r="V219" s="91"/>
      <c r="W219" s="91"/>
      <c r="X219" s="91"/>
      <c r="Y219" s="91"/>
      <c r="Z219" s="92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93"/>
      <c r="AL219" s="91"/>
      <c r="AM219" s="409"/>
      <c r="AN219" s="83"/>
      <c r="AO219" s="84"/>
      <c r="AP219" s="145"/>
      <c r="AQ219" s="83"/>
      <c r="AR219" s="83"/>
      <c r="AS219" s="145"/>
      <c r="AT219" s="83"/>
      <c r="AU219" s="83"/>
      <c r="AV219" s="83"/>
      <c r="AW219" s="323"/>
      <c r="AX219" s="323"/>
      <c r="BK219" s="188"/>
      <c r="CC219" s="367"/>
    </row>
    <row r="220" spans="2:81">
      <c r="B220" s="98"/>
      <c r="C220" s="108">
        <v>219</v>
      </c>
      <c r="D220" s="99" t="s">
        <v>446</v>
      </c>
      <c r="E220" s="100" t="s">
        <v>447</v>
      </c>
      <c r="F220" s="101" t="s">
        <v>14</v>
      </c>
      <c r="G220" s="102" t="s">
        <v>5</v>
      </c>
      <c r="H220" s="102" t="s">
        <v>13</v>
      </c>
      <c r="I220" s="103" t="s">
        <v>0</v>
      </c>
      <c r="J220" s="104"/>
      <c r="K220" s="83"/>
      <c r="L220" s="105">
        <v>45</v>
      </c>
      <c r="M220" s="89">
        <v>60</v>
      </c>
      <c r="N220" s="89">
        <v>75</v>
      </c>
      <c r="O220" s="89">
        <v>90</v>
      </c>
      <c r="P220" s="89">
        <v>120</v>
      </c>
      <c r="Q220" s="89">
        <v>150</v>
      </c>
      <c r="R220" s="187" t="s">
        <v>218</v>
      </c>
      <c r="S220" s="106" t="s">
        <v>9</v>
      </c>
      <c r="T220" s="107" t="s">
        <v>10</v>
      </c>
      <c r="U220" s="90"/>
      <c r="V220" s="91"/>
      <c r="W220" s="91"/>
      <c r="X220" s="91"/>
      <c r="Y220" s="91"/>
      <c r="Z220" s="92"/>
      <c r="AA220" s="91"/>
      <c r="AB220" s="91"/>
      <c r="AC220" s="91"/>
      <c r="AD220" s="91"/>
      <c r="AE220" s="91"/>
      <c r="AF220" s="91"/>
      <c r="AG220" s="91"/>
      <c r="AH220" s="91"/>
      <c r="AI220" s="91"/>
      <c r="AJ220" s="91"/>
      <c r="AK220" s="93"/>
      <c r="AL220" s="91"/>
      <c r="AM220" s="409"/>
      <c r="AN220" s="83"/>
      <c r="AO220" s="84"/>
      <c r="AP220" s="145"/>
      <c r="AQ220" s="83"/>
      <c r="AR220" s="83"/>
      <c r="AS220" s="145"/>
      <c r="AT220" s="83"/>
      <c r="AU220" s="83"/>
      <c r="AV220" s="83"/>
      <c r="AW220" s="323"/>
      <c r="AX220" s="323"/>
      <c r="BK220" s="188"/>
      <c r="CC220" s="367"/>
    </row>
    <row r="221" spans="2:81">
      <c r="B221" s="98"/>
      <c r="C221" s="108">
        <v>220</v>
      </c>
      <c r="D221" s="99" t="s">
        <v>446</v>
      </c>
      <c r="E221" s="100" t="s">
        <v>447</v>
      </c>
      <c r="F221" s="101" t="s">
        <v>14</v>
      </c>
      <c r="G221" s="102" t="s">
        <v>5</v>
      </c>
      <c r="H221" s="102" t="s">
        <v>13</v>
      </c>
      <c r="I221" s="103" t="s">
        <v>0</v>
      </c>
      <c r="J221" s="104"/>
      <c r="K221" s="83"/>
      <c r="L221" s="105">
        <v>45</v>
      </c>
      <c r="M221" s="89">
        <v>60</v>
      </c>
      <c r="N221" s="89">
        <v>75</v>
      </c>
      <c r="O221" s="89">
        <v>90</v>
      </c>
      <c r="P221" s="89">
        <v>120</v>
      </c>
      <c r="Q221" s="89">
        <v>150</v>
      </c>
      <c r="R221" s="187" t="s">
        <v>218</v>
      </c>
      <c r="S221" s="106" t="s">
        <v>9</v>
      </c>
      <c r="T221" s="107" t="s">
        <v>10</v>
      </c>
      <c r="U221" s="90"/>
      <c r="V221" s="91"/>
      <c r="W221" s="91"/>
      <c r="X221" s="91"/>
      <c r="Y221" s="91"/>
      <c r="Z221" s="92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93"/>
      <c r="AL221" s="91"/>
      <c r="AM221" s="409"/>
      <c r="AN221" s="83"/>
      <c r="AO221" s="84"/>
      <c r="AP221" s="145"/>
      <c r="AQ221" s="83"/>
      <c r="AR221" s="83"/>
      <c r="AS221" s="145"/>
      <c r="AT221" s="83"/>
      <c r="AU221" s="83"/>
      <c r="AV221" s="83"/>
      <c r="AW221" s="323"/>
      <c r="AX221" s="323"/>
      <c r="BK221" s="188"/>
      <c r="CC221" s="367"/>
    </row>
    <row r="222" spans="2:81">
      <c r="B222" s="98"/>
      <c r="C222" s="108">
        <v>221</v>
      </c>
      <c r="D222" s="99" t="s">
        <v>446</v>
      </c>
      <c r="E222" s="100" t="s">
        <v>447</v>
      </c>
      <c r="F222" s="101" t="s">
        <v>14</v>
      </c>
      <c r="G222" s="102" t="s">
        <v>5</v>
      </c>
      <c r="H222" s="102" t="s">
        <v>13</v>
      </c>
      <c r="I222" s="103" t="s">
        <v>0</v>
      </c>
      <c r="J222" s="104"/>
      <c r="K222" s="83"/>
      <c r="L222" s="105">
        <v>45</v>
      </c>
      <c r="M222" s="89">
        <v>60</v>
      </c>
      <c r="N222" s="89">
        <v>75</v>
      </c>
      <c r="O222" s="89">
        <v>90</v>
      </c>
      <c r="P222" s="89">
        <v>120</v>
      </c>
      <c r="Q222" s="89">
        <v>150</v>
      </c>
      <c r="R222" s="187" t="s">
        <v>218</v>
      </c>
      <c r="S222" s="106" t="s">
        <v>9</v>
      </c>
      <c r="T222" s="107" t="s">
        <v>10</v>
      </c>
      <c r="U222" s="90"/>
      <c r="V222" s="91"/>
      <c r="W222" s="91"/>
      <c r="X222" s="91"/>
      <c r="Y222" s="91"/>
      <c r="Z222" s="92"/>
      <c r="AA222" s="91"/>
      <c r="AB222" s="91"/>
      <c r="AC222" s="91"/>
      <c r="AD222" s="91"/>
      <c r="AE222" s="91"/>
      <c r="AF222" s="91"/>
      <c r="AG222" s="91"/>
      <c r="AH222" s="91"/>
      <c r="AI222" s="91"/>
      <c r="AJ222" s="91"/>
      <c r="AK222" s="93"/>
      <c r="AL222" s="91"/>
      <c r="AM222" s="409"/>
      <c r="AN222" s="83"/>
      <c r="AO222" s="84"/>
      <c r="AP222" s="145"/>
      <c r="AQ222" s="83"/>
      <c r="AR222" s="83"/>
      <c r="AS222" s="145"/>
      <c r="AT222" s="83"/>
      <c r="AU222" s="83"/>
      <c r="AV222" s="83"/>
      <c r="AW222" s="323"/>
      <c r="AX222" s="323"/>
      <c r="BK222" s="188"/>
      <c r="CC222" s="367"/>
    </row>
    <row r="223" spans="2:81">
      <c r="B223" s="98"/>
      <c r="C223" s="108">
        <v>222</v>
      </c>
      <c r="D223" s="99" t="s">
        <v>446</v>
      </c>
      <c r="E223" s="100" t="s">
        <v>447</v>
      </c>
      <c r="F223" s="101" t="s">
        <v>14</v>
      </c>
      <c r="G223" s="102" t="s">
        <v>5</v>
      </c>
      <c r="H223" s="102" t="s">
        <v>13</v>
      </c>
      <c r="I223" s="103" t="s">
        <v>0</v>
      </c>
      <c r="J223" s="104"/>
      <c r="K223" s="83"/>
      <c r="L223" s="105">
        <v>45</v>
      </c>
      <c r="M223" s="89">
        <v>60</v>
      </c>
      <c r="N223" s="89">
        <v>75</v>
      </c>
      <c r="O223" s="89">
        <v>90</v>
      </c>
      <c r="P223" s="89">
        <v>120</v>
      </c>
      <c r="Q223" s="89">
        <v>150</v>
      </c>
      <c r="R223" s="187" t="s">
        <v>218</v>
      </c>
      <c r="S223" s="106" t="s">
        <v>9</v>
      </c>
      <c r="T223" s="107" t="s">
        <v>10</v>
      </c>
      <c r="U223" s="90"/>
      <c r="V223" s="91"/>
      <c r="W223" s="91"/>
      <c r="X223" s="91"/>
      <c r="Y223" s="91"/>
      <c r="Z223" s="92"/>
      <c r="AA223" s="91"/>
      <c r="AB223" s="91"/>
      <c r="AC223" s="91"/>
      <c r="AD223" s="91"/>
      <c r="AE223" s="91"/>
      <c r="AF223" s="91"/>
      <c r="AG223" s="91"/>
      <c r="AH223" s="91"/>
      <c r="AI223" s="91"/>
      <c r="AJ223" s="91"/>
      <c r="AK223" s="93"/>
      <c r="AL223" s="91"/>
      <c r="AM223" s="409"/>
      <c r="AN223" s="83"/>
      <c r="AO223" s="84"/>
      <c r="AP223" s="145"/>
      <c r="AQ223" s="83"/>
      <c r="AR223" s="83"/>
      <c r="AS223" s="145"/>
      <c r="AT223" s="83"/>
      <c r="AU223" s="83"/>
      <c r="AV223" s="83"/>
      <c r="AW223" s="323"/>
      <c r="AX223" s="323"/>
      <c r="BK223" s="188"/>
    </row>
    <row r="224" spans="2:81">
      <c r="B224" s="98"/>
      <c r="C224" s="108">
        <v>223</v>
      </c>
      <c r="D224" s="99" t="s">
        <v>446</v>
      </c>
      <c r="E224" s="100" t="s">
        <v>447</v>
      </c>
      <c r="F224" s="101" t="s">
        <v>14</v>
      </c>
      <c r="G224" s="102" t="s">
        <v>5</v>
      </c>
      <c r="H224" s="102" t="s">
        <v>13</v>
      </c>
      <c r="I224" s="103" t="s">
        <v>0</v>
      </c>
      <c r="J224" s="104"/>
      <c r="K224" s="83"/>
      <c r="L224" s="105">
        <v>45</v>
      </c>
      <c r="M224" s="89">
        <v>60</v>
      </c>
      <c r="N224" s="89">
        <v>75</v>
      </c>
      <c r="O224" s="89">
        <v>90</v>
      </c>
      <c r="P224" s="89">
        <v>120</v>
      </c>
      <c r="Q224" s="89">
        <v>150</v>
      </c>
      <c r="R224" s="187" t="s">
        <v>218</v>
      </c>
      <c r="S224" s="106" t="s">
        <v>9</v>
      </c>
      <c r="T224" s="107" t="s">
        <v>10</v>
      </c>
      <c r="U224" s="90"/>
      <c r="V224" s="91"/>
      <c r="W224" s="91"/>
      <c r="X224" s="91"/>
      <c r="Y224" s="91"/>
      <c r="Z224" s="92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/>
      <c r="AK224" s="93"/>
      <c r="AL224" s="91"/>
      <c r="AM224" s="409"/>
      <c r="AN224" s="83"/>
      <c r="AO224" s="84"/>
      <c r="AP224" s="145"/>
      <c r="AQ224" s="83"/>
      <c r="AR224" s="83"/>
      <c r="AS224" s="145"/>
      <c r="AT224" s="83"/>
      <c r="AU224" s="83"/>
      <c r="AV224" s="83"/>
      <c r="AW224" s="323"/>
      <c r="AX224" s="323"/>
      <c r="BK224" s="188"/>
    </row>
    <row r="225" spans="2:63">
      <c r="B225" s="98"/>
      <c r="C225" s="108">
        <v>224</v>
      </c>
      <c r="D225" s="99" t="s">
        <v>446</v>
      </c>
      <c r="E225" s="100" t="s">
        <v>447</v>
      </c>
      <c r="F225" s="101" t="s">
        <v>14</v>
      </c>
      <c r="G225" s="102" t="s">
        <v>5</v>
      </c>
      <c r="H225" s="102" t="s">
        <v>13</v>
      </c>
      <c r="I225" s="103" t="s">
        <v>0</v>
      </c>
      <c r="J225" s="104"/>
      <c r="K225" s="83"/>
      <c r="L225" s="105">
        <v>45</v>
      </c>
      <c r="M225" s="89">
        <v>60</v>
      </c>
      <c r="N225" s="89">
        <v>75</v>
      </c>
      <c r="O225" s="89">
        <v>90</v>
      </c>
      <c r="P225" s="89">
        <v>120</v>
      </c>
      <c r="Q225" s="89">
        <v>150</v>
      </c>
      <c r="R225" s="187" t="s">
        <v>218</v>
      </c>
      <c r="S225" s="106" t="s">
        <v>9</v>
      </c>
      <c r="T225" s="107" t="s">
        <v>10</v>
      </c>
      <c r="U225" s="90"/>
      <c r="V225" s="91"/>
      <c r="W225" s="91"/>
      <c r="X225" s="91"/>
      <c r="Y225" s="91"/>
      <c r="Z225" s="92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93"/>
      <c r="AL225" s="91"/>
      <c r="AM225" s="409"/>
      <c r="AN225" s="83"/>
      <c r="AO225" s="84"/>
      <c r="AP225" s="145"/>
      <c r="AQ225" s="83"/>
      <c r="AR225" s="83"/>
      <c r="AS225" s="145"/>
      <c r="AT225" s="83"/>
      <c r="AU225" s="83"/>
      <c r="AV225" s="83"/>
      <c r="AW225" s="323"/>
      <c r="AX225" s="323"/>
      <c r="BK225" s="188"/>
    </row>
    <row r="226" spans="2:63">
      <c r="B226" s="98"/>
      <c r="C226" s="108">
        <v>225</v>
      </c>
      <c r="D226" s="99" t="s">
        <v>446</v>
      </c>
      <c r="E226" s="100" t="s">
        <v>447</v>
      </c>
      <c r="F226" s="101" t="s">
        <v>14</v>
      </c>
      <c r="G226" s="102" t="s">
        <v>5</v>
      </c>
      <c r="H226" s="102" t="s">
        <v>13</v>
      </c>
      <c r="I226" s="103" t="s">
        <v>0</v>
      </c>
      <c r="J226" s="104"/>
      <c r="K226" s="83"/>
      <c r="L226" s="105">
        <v>45</v>
      </c>
      <c r="M226" s="89">
        <v>60</v>
      </c>
      <c r="N226" s="89">
        <v>75</v>
      </c>
      <c r="O226" s="89">
        <v>90</v>
      </c>
      <c r="P226" s="89">
        <v>120</v>
      </c>
      <c r="Q226" s="89">
        <v>150</v>
      </c>
      <c r="R226" s="187" t="s">
        <v>218</v>
      </c>
      <c r="S226" s="106" t="s">
        <v>9</v>
      </c>
      <c r="T226" s="107" t="s">
        <v>10</v>
      </c>
      <c r="U226" s="90"/>
      <c r="V226" s="91"/>
      <c r="W226" s="91"/>
      <c r="X226" s="91"/>
      <c r="Y226" s="91"/>
      <c r="Z226" s="92"/>
      <c r="AA226" s="91"/>
      <c r="AB226" s="91"/>
      <c r="AC226" s="91"/>
      <c r="AD226" s="91"/>
      <c r="AE226" s="91"/>
      <c r="AF226" s="91"/>
      <c r="AG226" s="91"/>
      <c r="AH226" s="91"/>
      <c r="AI226" s="91"/>
      <c r="AJ226" s="91"/>
      <c r="AK226" s="93"/>
      <c r="AL226" s="91"/>
      <c r="AM226" s="409"/>
      <c r="AN226" s="83"/>
      <c r="AO226" s="84"/>
      <c r="AP226" s="145"/>
      <c r="AQ226" s="83"/>
      <c r="AR226" s="83"/>
      <c r="AS226" s="145"/>
      <c r="AT226" s="83"/>
      <c r="AU226" s="83"/>
      <c r="AV226" s="83"/>
      <c r="AW226" s="323"/>
      <c r="AX226" s="323"/>
      <c r="BK226" s="188"/>
    </row>
    <row r="227" spans="2:63">
      <c r="B227" s="98"/>
      <c r="C227" s="108">
        <v>226</v>
      </c>
      <c r="D227" s="99" t="s">
        <v>446</v>
      </c>
      <c r="E227" s="100" t="s">
        <v>447</v>
      </c>
      <c r="F227" s="101" t="s">
        <v>14</v>
      </c>
      <c r="G227" s="102" t="s">
        <v>5</v>
      </c>
      <c r="H227" s="102" t="s">
        <v>13</v>
      </c>
      <c r="I227" s="103" t="s">
        <v>0</v>
      </c>
      <c r="J227" s="104"/>
      <c r="K227" s="83"/>
      <c r="L227" s="105">
        <v>45</v>
      </c>
      <c r="M227" s="89">
        <v>60</v>
      </c>
      <c r="N227" s="89">
        <v>75</v>
      </c>
      <c r="O227" s="89">
        <v>90</v>
      </c>
      <c r="P227" s="89">
        <v>120</v>
      </c>
      <c r="Q227" s="89">
        <v>150</v>
      </c>
      <c r="R227" s="187" t="s">
        <v>218</v>
      </c>
      <c r="S227" s="106" t="s">
        <v>9</v>
      </c>
      <c r="T227" s="107" t="s">
        <v>10</v>
      </c>
      <c r="U227" s="90"/>
      <c r="V227" s="91"/>
      <c r="W227" s="91"/>
      <c r="X227" s="91"/>
      <c r="Y227" s="91"/>
      <c r="Z227" s="92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3"/>
      <c r="AL227" s="91"/>
      <c r="AM227" s="409"/>
      <c r="AN227" s="83"/>
      <c r="AO227" s="84"/>
      <c r="AP227" s="145"/>
      <c r="AQ227" s="83"/>
      <c r="AR227" s="83"/>
      <c r="AS227" s="145"/>
      <c r="AT227" s="83"/>
      <c r="AU227" s="83"/>
      <c r="AV227" s="83"/>
      <c r="AW227" s="323"/>
      <c r="AX227" s="323"/>
      <c r="BK227" s="188"/>
    </row>
    <row r="228" spans="2:63">
      <c r="B228" s="98"/>
      <c r="C228" s="108">
        <v>227</v>
      </c>
      <c r="D228" s="99" t="s">
        <v>446</v>
      </c>
      <c r="E228" s="100" t="s">
        <v>447</v>
      </c>
      <c r="F228" s="101" t="s">
        <v>14</v>
      </c>
      <c r="G228" s="102" t="s">
        <v>5</v>
      </c>
      <c r="H228" s="102" t="s">
        <v>13</v>
      </c>
      <c r="I228" s="103" t="s">
        <v>0</v>
      </c>
      <c r="J228" s="104"/>
      <c r="K228" s="83"/>
      <c r="L228" s="105">
        <v>45</v>
      </c>
      <c r="M228" s="89">
        <v>60</v>
      </c>
      <c r="N228" s="89">
        <v>75</v>
      </c>
      <c r="O228" s="89">
        <v>90</v>
      </c>
      <c r="P228" s="89">
        <v>120</v>
      </c>
      <c r="Q228" s="89">
        <v>150</v>
      </c>
      <c r="R228" s="187" t="s">
        <v>218</v>
      </c>
      <c r="S228" s="106" t="s">
        <v>9</v>
      </c>
      <c r="T228" s="107" t="s">
        <v>10</v>
      </c>
      <c r="U228" s="90"/>
      <c r="V228" s="91"/>
      <c r="W228" s="91"/>
      <c r="X228" s="91"/>
      <c r="Y228" s="91"/>
      <c r="Z228" s="92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93"/>
      <c r="AL228" s="91"/>
      <c r="AM228" s="409"/>
      <c r="AN228" s="83"/>
      <c r="AO228" s="84"/>
      <c r="AP228" s="145"/>
      <c r="AQ228" s="83"/>
      <c r="AR228" s="83"/>
      <c r="AS228" s="145"/>
      <c r="AT228" s="83"/>
      <c r="AU228" s="83"/>
      <c r="AV228" s="83"/>
      <c r="AW228" s="323"/>
      <c r="AX228" s="323"/>
      <c r="BK228" s="188"/>
    </row>
    <row r="229" spans="2:63">
      <c r="B229" s="98"/>
      <c r="C229" s="108">
        <v>228</v>
      </c>
      <c r="D229" s="99" t="s">
        <v>446</v>
      </c>
      <c r="E229" s="100" t="s">
        <v>447</v>
      </c>
      <c r="F229" s="101" t="s">
        <v>14</v>
      </c>
      <c r="G229" s="102" t="s">
        <v>5</v>
      </c>
      <c r="H229" s="102" t="s">
        <v>13</v>
      </c>
      <c r="I229" s="103" t="s">
        <v>0</v>
      </c>
      <c r="J229" s="104"/>
      <c r="K229" s="83"/>
      <c r="L229" s="105">
        <v>45</v>
      </c>
      <c r="M229" s="89">
        <v>60</v>
      </c>
      <c r="N229" s="89">
        <v>75</v>
      </c>
      <c r="O229" s="89">
        <v>90</v>
      </c>
      <c r="P229" s="89">
        <v>120</v>
      </c>
      <c r="Q229" s="89">
        <v>150</v>
      </c>
      <c r="R229" s="187" t="s">
        <v>218</v>
      </c>
      <c r="S229" s="106" t="s">
        <v>9</v>
      </c>
      <c r="T229" s="107" t="s">
        <v>10</v>
      </c>
      <c r="U229" s="90"/>
      <c r="V229" s="91"/>
      <c r="W229" s="91"/>
      <c r="X229" s="91"/>
      <c r="Y229" s="91"/>
      <c r="Z229" s="92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93"/>
      <c r="AL229" s="91"/>
      <c r="AM229" s="409"/>
      <c r="AN229" s="83"/>
      <c r="AO229" s="84"/>
      <c r="AP229" s="145"/>
      <c r="AQ229" s="83"/>
      <c r="AR229" s="83"/>
      <c r="AS229" s="145"/>
      <c r="AT229" s="83"/>
      <c r="AU229" s="83"/>
      <c r="AV229" s="83"/>
      <c r="AW229" s="323"/>
      <c r="AX229" s="323"/>
      <c r="BK229" s="188"/>
    </row>
    <row r="230" spans="2:63">
      <c r="B230" s="98"/>
      <c r="C230" s="108">
        <v>229</v>
      </c>
      <c r="D230" s="99" t="s">
        <v>446</v>
      </c>
      <c r="E230" s="100" t="s">
        <v>447</v>
      </c>
      <c r="F230" s="101" t="s">
        <v>14</v>
      </c>
      <c r="G230" s="102" t="s">
        <v>5</v>
      </c>
      <c r="H230" s="102" t="s">
        <v>13</v>
      </c>
      <c r="I230" s="103" t="s">
        <v>0</v>
      </c>
      <c r="J230" s="104"/>
      <c r="K230" s="83"/>
      <c r="L230" s="105">
        <v>45</v>
      </c>
      <c r="M230" s="89">
        <v>60</v>
      </c>
      <c r="N230" s="89">
        <v>75</v>
      </c>
      <c r="O230" s="89">
        <v>90</v>
      </c>
      <c r="P230" s="89">
        <v>120</v>
      </c>
      <c r="Q230" s="89">
        <v>150</v>
      </c>
      <c r="R230" s="187" t="s">
        <v>218</v>
      </c>
      <c r="S230" s="106" t="s">
        <v>9</v>
      </c>
      <c r="T230" s="107" t="s">
        <v>10</v>
      </c>
      <c r="U230" s="90"/>
      <c r="V230" s="91"/>
      <c r="W230" s="91"/>
      <c r="X230" s="91"/>
      <c r="Y230" s="91"/>
      <c r="Z230" s="92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93"/>
      <c r="AL230" s="91"/>
      <c r="AM230" s="409"/>
      <c r="AN230" s="83"/>
      <c r="AO230" s="84"/>
      <c r="AP230" s="145"/>
      <c r="AQ230" s="83"/>
      <c r="AR230" s="83"/>
      <c r="AS230" s="145"/>
      <c r="AT230" s="83"/>
      <c r="AU230" s="83"/>
      <c r="AV230" s="83"/>
      <c r="AW230" s="323"/>
      <c r="AX230" s="323"/>
      <c r="BK230" s="188"/>
    </row>
    <row r="231" spans="2:63">
      <c r="B231" s="98"/>
      <c r="C231" s="108">
        <v>230</v>
      </c>
      <c r="D231" s="99" t="s">
        <v>446</v>
      </c>
      <c r="E231" s="100" t="s">
        <v>447</v>
      </c>
      <c r="F231" s="101" t="s">
        <v>14</v>
      </c>
      <c r="G231" s="102" t="s">
        <v>5</v>
      </c>
      <c r="H231" s="102" t="s">
        <v>13</v>
      </c>
      <c r="I231" s="103" t="s">
        <v>0</v>
      </c>
      <c r="J231" s="104"/>
      <c r="K231" s="83"/>
      <c r="L231" s="105">
        <v>45</v>
      </c>
      <c r="M231" s="89">
        <v>60</v>
      </c>
      <c r="N231" s="89">
        <v>75</v>
      </c>
      <c r="O231" s="89">
        <v>90</v>
      </c>
      <c r="P231" s="89">
        <v>120</v>
      </c>
      <c r="Q231" s="89">
        <v>150</v>
      </c>
      <c r="R231" s="187" t="s">
        <v>218</v>
      </c>
      <c r="S231" s="106" t="s">
        <v>9</v>
      </c>
      <c r="T231" s="107" t="s">
        <v>10</v>
      </c>
      <c r="U231" s="90"/>
      <c r="V231" s="91"/>
      <c r="W231" s="91"/>
      <c r="X231" s="91"/>
      <c r="Y231" s="91"/>
      <c r="Z231" s="92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93"/>
      <c r="AL231" s="91"/>
      <c r="AM231" s="409"/>
      <c r="AN231" s="83"/>
      <c r="AO231" s="84"/>
      <c r="AP231" s="145"/>
      <c r="AQ231" s="83"/>
      <c r="AR231" s="83"/>
      <c r="AS231" s="145"/>
      <c r="AT231" s="83"/>
      <c r="AU231" s="83"/>
      <c r="AV231" s="83"/>
      <c r="AW231" s="323"/>
      <c r="AX231" s="323"/>
      <c r="BK231" s="188"/>
    </row>
    <row r="232" spans="2:63">
      <c r="AW232" s="248"/>
      <c r="AX232" s="324"/>
    </row>
    <row r="233" spans="2:63">
      <c r="AW233" s="248"/>
      <c r="AX233" s="324"/>
    </row>
    <row r="234" spans="2:63">
      <c r="AW234" s="248"/>
      <c r="AX234" s="324"/>
    </row>
    <row r="235" spans="2:63">
      <c r="AW235" s="248"/>
      <c r="AX235" s="324"/>
    </row>
    <row r="236" spans="2:63">
      <c r="AW236" s="248"/>
      <c r="AX236" s="324"/>
    </row>
    <row r="237" spans="2:63">
      <c r="AW237" s="248"/>
      <c r="AX237" s="324"/>
    </row>
    <row r="238" spans="2:63">
      <c r="AW238" s="248"/>
      <c r="AX238" s="324"/>
    </row>
    <row r="239" spans="2:63">
      <c r="AW239" s="248"/>
      <c r="AX239" s="324"/>
    </row>
    <row r="240" spans="2:63">
      <c r="AW240" s="248"/>
      <c r="AX240" s="324"/>
    </row>
  </sheetData>
  <dataConsolidate/>
  <mergeCells count="5">
    <mergeCell ref="D1:I1"/>
    <mergeCell ref="S1:T1"/>
    <mergeCell ref="L1:R1"/>
    <mergeCell ref="U1:W1"/>
    <mergeCell ref="X1:Z1"/>
  </mergeCells>
  <phoneticPr fontId="4"/>
  <conditionalFormatting sqref="L2:L231">
    <cfRule type="expression" dxfId="18" priority="4575" stopIfTrue="1">
      <formula>BB2=1</formula>
    </cfRule>
  </conditionalFormatting>
  <conditionalFormatting sqref="M2:M231">
    <cfRule type="expression" dxfId="17" priority="4576" stopIfTrue="1">
      <formula>BB2=2</formula>
    </cfRule>
  </conditionalFormatting>
  <conditionalFormatting sqref="N2:N231">
    <cfRule type="expression" dxfId="16" priority="4577" stopIfTrue="1">
      <formula>BB2=3</formula>
    </cfRule>
  </conditionalFormatting>
  <conditionalFormatting sqref="F2:F231">
    <cfRule type="expression" dxfId="15" priority="4527" stopIfTrue="1">
      <formula>AZ2=1</formula>
    </cfRule>
  </conditionalFormatting>
  <conditionalFormatting sqref="G2:G231">
    <cfRule type="expression" dxfId="14" priority="4562" stopIfTrue="1">
      <formula>AZ2=2</formula>
    </cfRule>
  </conditionalFormatting>
  <conditionalFormatting sqref="H2:H231">
    <cfRule type="expression" dxfId="13" priority="4563" stopIfTrue="1">
      <formula>AZ2=3</formula>
    </cfRule>
  </conditionalFormatting>
  <conditionalFormatting sqref="I2:I231">
    <cfRule type="expression" dxfId="12" priority="4564" stopIfTrue="1">
      <formula>AZ2=4</formula>
    </cfRule>
  </conditionalFormatting>
  <conditionalFormatting sqref="O2:O231">
    <cfRule type="expression" dxfId="11" priority="4509" stopIfTrue="1">
      <formula>BB2=4</formula>
    </cfRule>
  </conditionalFormatting>
  <conditionalFormatting sqref="R2:R231">
    <cfRule type="expression" dxfId="10" priority="4516" stopIfTrue="1">
      <formula>BB2=7</formula>
    </cfRule>
  </conditionalFormatting>
  <conditionalFormatting sqref="P2:P231">
    <cfRule type="expression" dxfId="9" priority="4511" stopIfTrue="1">
      <formula>BB2=5</formula>
    </cfRule>
  </conditionalFormatting>
  <conditionalFormatting sqref="Q2:Q231">
    <cfRule type="expression" dxfId="8" priority="4515" stopIfTrue="1">
      <formula>BB2=6</formula>
    </cfRule>
  </conditionalFormatting>
  <conditionalFormatting sqref="K2:K231">
    <cfRule type="expression" dxfId="7" priority="4506" stopIfTrue="1">
      <formula>AND(LEN(K2)=0,BB2&gt;0)</formula>
    </cfRule>
  </conditionalFormatting>
  <conditionalFormatting sqref="C2:AX231">
    <cfRule type="expression" dxfId="6" priority="4578" stopIfTrue="1">
      <formula>$B2="●"</formula>
    </cfRule>
  </conditionalFormatting>
  <conditionalFormatting sqref="F2:I231">
    <cfRule type="expression" dxfId="5" priority="4505" stopIfTrue="1">
      <formula>AND(LEN($AZ2)=0,$J2&gt;0)</formula>
    </cfRule>
  </conditionalFormatting>
  <conditionalFormatting sqref="AU2:AU231">
    <cfRule type="expression" dxfId="4" priority="1" stopIfTrue="1">
      <formula>OR(AND($AU2="",$AA2="●",$BZ$2="ON"),AND($AU2="",$AB2="●",$BZ$3="ON"),AND($AU2="",$AC2="●",$BZ$4="ON"),AND($AU2="",$AD2="●",$BZ$5="ON"),AND($AU2="",$AE2="●",$BZ$6="ON"),AND($AU2="",$AF2="●",$BZ$7="ON"),AND($AU2="",$AG2="●",$BZ$8="ON"),AND($AU2="",$AH2="●",$BZ$9="ON"),AND($AU2="",$AI2="●",$BZ$10="ON"))</formula>
    </cfRule>
  </conditionalFormatting>
  <conditionalFormatting sqref="E2:E231">
    <cfRule type="expression" dxfId="3" priority="4507" stopIfTrue="1">
      <formula>AND(LEN(AY2)=0,AZ2&gt;0)</formula>
    </cfRule>
    <cfRule type="expression" dxfId="2" priority="4574" stopIfTrue="1">
      <formula>AY2=2</formula>
    </cfRule>
  </conditionalFormatting>
  <conditionalFormatting sqref="D2:D231">
    <cfRule type="expression" dxfId="1" priority="4508" stopIfTrue="1">
      <formula>AND(LEN(AY2)=0,AZ2&gt;0)</formula>
    </cfRule>
    <cfRule type="expression" dxfId="0" priority="4565" stopIfTrue="1">
      <formula>AY2=1</formula>
    </cfRule>
  </conditionalFormatting>
  <dataValidations count="8">
    <dataValidation allowBlank="1" showInputMessage="1" sqref="A1:A1048576 AW2:AX78 AU86:AU91 AW86:AX91 AU2:AU78"/>
    <dataValidation type="list" allowBlank="1" showInputMessage="1" showErrorMessage="1" sqref="AJ2:AJ78 AJ86:AJ91">
      <formula1>"3000"</formula1>
    </dataValidation>
    <dataValidation type="list" allowBlank="1" showInputMessage="1" showErrorMessage="1" sqref="AQ2:AQ78 AQ86:AQ91">
      <formula1>管理シート!#REF!</formula1>
    </dataValidation>
    <dataValidation type="list" allowBlank="1" showInputMessage="1" showErrorMessage="1" sqref="AR2:AR78 AR86:AR91">
      <formula1>管理シート!#REF!</formula1>
    </dataValidation>
    <dataValidation type="list" allowBlank="1" showInputMessage="1" showErrorMessage="1" sqref="AP2:AP220">
      <formula1>$AP$1</formula1>
    </dataValidation>
    <dataValidation type="list" allowBlank="1" showInputMessage="1" showErrorMessage="1" sqref="AT2:AT220">
      <formula1>OFFSET($CE$2,,,COUNTA($CE$2:$CE$10))</formula1>
    </dataValidation>
    <dataValidation type="list" allowBlank="1" showInputMessage="1" showErrorMessage="1" sqref="AS2:AS220">
      <formula1>OFFSET($CD$2,,,COUNTA($CD$2:$CD$10))</formula1>
    </dataValidation>
    <dataValidation type="list" allowBlank="1" showInputMessage="1" sqref="AV2:AV220">
      <formula1>OFFSET($CF$2,,,COUNTA($CF$2:$CF$22))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legacyDrawing r:id="rId2"/>
  <controls>
    <control shapeId="1028" r:id="rId3" name="CommandButton2"/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23"/>
  <sheetViews>
    <sheetView workbookViewId="0">
      <selection activeCell="C27" sqref="C27"/>
    </sheetView>
  </sheetViews>
  <sheetFormatPr defaultRowHeight="13.5"/>
  <sheetData>
    <row r="1" spans="1:1">
      <c r="A1" t="s">
        <v>121</v>
      </c>
    </row>
    <row r="2" spans="1:1">
      <c r="A2" t="s">
        <v>122</v>
      </c>
    </row>
    <row r="3" spans="1:1">
      <c r="A3" t="s">
        <v>123</v>
      </c>
    </row>
    <row r="5" spans="1:1">
      <c r="A5" t="s">
        <v>124</v>
      </c>
    </row>
    <row r="7" spans="1:1">
      <c r="A7" t="s">
        <v>125</v>
      </c>
    </row>
    <row r="9" spans="1:1">
      <c r="A9" t="s">
        <v>126</v>
      </c>
    </row>
    <row r="10" spans="1:1">
      <c r="A10" t="s">
        <v>127</v>
      </c>
    </row>
    <row r="14" spans="1:1">
      <c r="A14" t="s">
        <v>128</v>
      </c>
    </row>
    <row r="15" spans="1:1">
      <c r="A15" t="s">
        <v>129</v>
      </c>
    </row>
    <row r="16" spans="1:1">
      <c r="A16" t="s">
        <v>130</v>
      </c>
    </row>
    <row r="17" spans="1:1">
      <c r="A17" t="s">
        <v>131</v>
      </c>
    </row>
    <row r="18" spans="1:1">
      <c r="A18" t="s">
        <v>132</v>
      </c>
    </row>
    <row r="19" spans="1:1">
      <c r="A19" t="s">
        <v>133</v>
      </c>
    </row>
    <row r="20" spans="1:1">
      <c r="A20" t="s">
        <v>134</v>
      </c>
    </row>
    <row r="21" spans="1:1">
      <c r="A21" t="s">
        <v>135</v>
      </c>
    </row>
    <row r="22" spans="1:1">
      <c r="A22" t="s">
        <v>136</v>
      </c>
    </row>
    <row r="23" spans="1:1">
      <c r="A23" t="s">
        <v>137</v>
      </c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B2"/>
  <sheetViews>
    <sheetView topLeftCell="A3" workbookViewId="0">
      <selection activeCell="B46" sqref="B46"/>
    </sheetView>
  </sheetViews>
  <sheetFormatPr defaultRowHeight="13.5"/>
  <sheetData>
    <row r="2" spans="2:2">
      <c r="B2" t="s">
        <v>139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AT322"/>
  <sheetViews>
    <sheetView zoomScale="80" zoomScaleNormal="80" zoomScaleSheetLayoutView="70" workbookViewId="0">
      <selection activeCell="I4" sqref="I4:K4"/>
    </sheetView>
  </sheetViews>
  <sheetFormatPr defaultColWidth="2.625" defaultRowHeight="22.5" customHeight="1"/>
  <cols>
    <col min="1" max="10" width="2.625" style="113"/>
    <col min="11" max="12" width="2.625" style="113" customWidth="1"/>
    <col min="13" max="16" width="2.625" style="113"/>
    <col min="17" max="17" width="2.625" style="113" customWidth="1"/>
    <col min="18" max="18" width="2.625" style="113"/>
    <col min="19" max="19" width="2.625" style="113" customWidth="1"/>
    <col min="20" max="20" width="2.625" style="113"/>
    <col min="21" max="21" width="2.625" style="113" customWidth="1"/>
    <col min="22" max="22" width="2.625" style="113"/>
    <col min="23" max="23" width="2.625" style="113" customWidth="1"/>
    <col min="24" max="31" width="2.625" style="113"/>
    <col min="32" max="32" width="3" style="113" bestFit="1" customWidth="1"/>
    <col min="33" max="39" width="2.625" style="113"/>
    <col min="40" max="40" width="4" style="113" bestFit="1" customWidth="1"/>
    <col min="41" max="45" width="2.625" style="113"/>
    <col min="46" max="46" width="2.625" style="113" customWidth="1"/>
    <col min="47" max="16384" width="2.625" style="113"/>
  </cols>
  <sheetData>
    <row r="1" spans="1:46" ht="22.5" customHeight="1">
      <c r="AD1" s="113" t="s">
        <v>142</v>
      </c>
      <c r="AF1" s="585" t="str">
        <f>TEXT(精算表!W1,"eee")</f>
        <v>31</v>
      </c>
      <c r="AG1" s="585"/>
      <c r="AH1" s="113" t="s">
        <v>143</v>
      </c>
      <c r="AI1" s="585">
        <f>MONTH(精算表!W1)</f>
        <v>10</v>
      </c>
      <c r="AJ1" s="585"/>
      <c r="AK1" s="585"/>
      <c r="AL1" s="578" t="s">
        <v>144</v>
      </c>
      <c r="AM1" s="578"/>
      <c r="AN1" s="585">
        <f>DAY(精算表!W1)</f>
        <v>17</v>
      </c>
      <c r="AO1" s="585"/>
      <c r="AP1" s="578" t="s">
        <v>145</v>
      </c>
      <c r="AQ1" s="578"/>
    </row>
    <row r="2" spans="1:46" ht="22.5" customHeight="1" thickBot="1">
      <c r="A2" s="579">
        <v>1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</row>
    <row r="3" spans="1:46" ht="22.5" customHeight="1" thickBot="1">
      <c r="A3" s="580" t="s">
        <v>146</v>
      </c>
      <c r="B3" s="581"/>
      <c r="C3" s="582" t="s">
        <v>147</v>
      </c>
      <c r="D3" s="581"/>
      <c r="E3" s="582" t="s">
        <v>154</v>
      </c>
      <c r="F3" s="583"/>
      <c r="G3" s="583" t="s">
        <v>6</v>
      </c>
      <c r="H3" s="581"/>
      <c r="I3" s="583" t="s">
        <v>148</v>
      </c>
      <c r="J3" s="583"/>
      <c r="K3" s="581"/>
      <c r="L3" s="72" t="s">
        <v>2</v>
      </c>
      <c r="M3" s="72" t="s">
        <v>149</v>
      </c>
      <c r="N3" s="75" t="s">
        <v>150</v>
      </c>
      <c r="O3" s="582" t="s">
        <v>172</v>
      </c>
      <c r="P3" s="583"/>
      <c r="Q3" s="583"/>
      <c r="R3" s="583"/>
      <c r="S3" s="583"/>
      <c r="T3" s="583"/>
      <c r="U3" s="583"/>
      <c r="V3" s="583"/>
      <c r="W3" s="583"/>
      <c r="X3" s="583"/>
      <c r="Y3" s="583"/>
      <c r="Z3" s="583"/>
      <c r="AA3" s="583"/>
      <c r="AB3" s="583"/>
      <c r="AC3" s="583"/>
      <c r="AD3" s="583"/>
      <c r="AE3" s="583"/>
      <c r="AF3" s="581"/>
      <c r="AG3" s="583" t="s">
        <v>151</v>
      </c>
      <c r="AH3" s="583"/>
      <c r="AI3" s="583"/>
      <c r="AJ3" s="583"/>
      <c r="AK3" s="583"/>
      <c r="AL3" s="583"/>
      <c r="AM3" s="583"/>
      <c r="AN3" s="583"/>
      <c r="AO3" s="583"/>
      <c r="AP3" s="583"/>
      <c r="AQ3" s="584"/>
      <c r="AT3" s="114"/>
    </row>
    <row r="4" spans="1:46" ht="22.5" customHeight="1">
      <c r="A4" s="570">
        <v>1</v>
      </c>
      <c r="B4" s="571"/>
      <c r="C4" s="73" t="str">
        <f>IF(足元帳!AY2=1,"N",IF(足元帳!AY2=2,"R",""))</f>
        <v/>
      </c>
      <c r="D4" s="74" t="str">
        <f>IF(足元帳!AZ2&gt;0,VLOOKUP(足元帳!AZ2,管理シート!$CF$32:$CG$34,2,FALSE),"")</f>
        <v/>
      </c>
      <c r="E4" s="572" t="str">
        <f>IF(足元帳!BB2&gt;0,VLOOKUP(足元帳!BB2,管理シート!#REF!,2,FALSE),"")</f>
        <v/>
      </c>
      <c r="F4" s="573"/>
      <c r="G4" s="574">
        <f>足元帳!J2</f>
        <v>0</v>
      </c>
      <c r="H4" s="575"/>
      <c r="I4" s="574">
        <f>足元帳!K2</f>
        <v>0</v>
      </c>
      <c r="J4" s="576"/>
      <c r="K4" s="575"/>
      <c r="L4" s="73" t="str">
        <f ca="1">IF(足元帳!AB2="●","無",IF(足元帳!AC2="●","半",IF(AG4="周年","半",IF(AG4="プレ6","半",IF(AG4="6割","半","")))))</f>
        <v/>
      </c>
      <c r="M4" s="115" t="str">
        <f>IF(足元帳!AM2="","","○")&amp;IF(足元帳!AL2="","","○")</f>
        <v/>
      </c>
      <c r="N4" s="115" t="str">
        <f>IF(足元帳!AN2="","","○")</f>
        <v/>
      </c>
      <c r="O4" s="577" t="str">
        <f>IF(足元帳!U2="","",足元帳!U2)</f>
        <v/>
      </c>
      <c r="P4" s="564"/>
      <c r="Q4" s="564"/>
      <c r="R4" s="564" t="str">
        <f>IF(足元帳!V2="","",足元帳!V2)</f>
        <v/>
      </c>
      <c r="S4" s="564"/>
      <c r="T4" s="564"/>
      <c r="U4" s="564" t="str">
        <f>IF(足元帳!W2="","",足元帳!W2)</f>
        <v/>
      </c>
      <c r="V4" s="564"/>
      <c r="W4" s="564"/>
      <c r="X4" s="564" t="str">
        <f>IF(足元帳!X2="","",足元帳!X2)</f>
        <v/>
      </c>
      <c r="Y4" s="564"/>
      <c r="Z4" s="564"/>
      <c r="AA4" s="564" t="str">
        <f>IF(足元帳!Y2="","",足元帳!Y2)</f>
        <v/>
      </c>
      <c r="AB4" s="564"/>
      <c r="AC4" s="564"/>
      <c r="AD4" s="565" t="str">
        <f>IF(足元帳!Z2="","",足元帳!Z2)</f>
        <v/>
      </c>
      <c r="AE4" s="565"/>
      <c r="AF4" s="566"/>
      <c r="AG4" s="567" t="str">
        <f ca="1">IF(ISERROR(MATCH("●",足元帳!AD2:AM2,0)),IF(足元帳!AM2="","",足元帳!$AM$1&amp;足元帳!AM2),INDIRECT("足元帳!R1C"&amp;MATCH("●",足元帳!AD2:AM2,0)+29,FALSE))</f>
        <v/>
      </c>
      <c r="AH4" s="568"/>
      <c r="AI4" s="568"/>
      <c r="AJ4" s="568"/>
      <c r="AK4" s="564" t="str">
        <f>IF(足元帳!AT2="","",足元帳!AT2)</f>
        <v/>
      </c>
      <c r="AL4" s="564"/>
      <c r="AM4" s="564"/>
      <c r="AN4" s="564"/>
      <c r="AO4" s="564"/>
      <c r="AP4" s="564"/>
      <c r="AQ4" s="569"/>
    </row>
    <row r="5" spans="1:46" ht="22.5" customHeight="1">
      <c r="A5" s="586">
        <f>A4+1</f>
        <v>2</v>
      </c>
      <c r="B5" s="566"/>
      <c r="C5" s="73" t="str">
        <f>IF(足元帳!AY3=1,"N",IF(足元帳!AY3=2,"R",""))</f>
        <v/>
      </c>
      <c r="D5" s="74" t="str">
        <f>IF(足元帳!AZ3&gt;0,VLOOKUP(足元帳!AZ3,管理シート!$CF$32:$CG$34,2,FALSE),"")</f>
        <v/>
      </c>
      <c r="E5" s="572" t="str">
        <f>IF(足元帳!BB3&gt;0,VLOOKUP(足元帳!BB3,管理シート!#REF!,2,FALSE),"")</f>
        <v/>
      </c>
      <c r="F5" s="573"/>
      <c r="G5" s="574">
        <f>足元帳!J3</f>
        <v>0</v>
      </c>
      <c r="H5" s="575"/>
      <c r="I5" s="574">
        <f>足元帳!K3</f>
        <v>0</v>
      </c>
      <c r="J5" s="576"/>
      <c r="K5" s="575"/>
      <c r="L5" s="73" t="str">
        <f ca="1">IF(足元帳!AB3="●","無",IF(足元帳!AC3="●","半",IF(AG5="周年","半",IF(AG5="プレ6","半",IF(AG5="6割","半","")))))</f>
        <v/>
      </c>
      <c r="M5" s="115" t="str">
        <f>IF(足元帳!AM3="","","○")&amp;IF(足元帳!AL3="","","○")</f>
        <v/>
      </c>
      <c r="N5" s="115" t="str">
        <f>IF(足元帳!AN3="","","○")</f>
        <v/>
      </c>
      <c r="O5" s="587" t="str">
        <f>IF(足元帳!U3="","",足元帳!U3)</f>
        <v/>
      </c>
      <c r="P5" s="565"/>
      <c r="Q5" s="565"/>
      <c r="R5" s="565" t="str">
        <f>IF(足元帳!V3="","",足元帳!V3)</f>
        <v/>
      </c>
      <c r="S5" s="565"/>
      <c r="T5" s="565"/>
      <c r="U5" s="565" t="str">
        <f>IF(足元帳!W3="","",足元帳!W3)</f>
        <v/>
      </c>
      <c r="V5" s="565"/>
      <c r="W5" s="565"/>
      <c r="X5" s="565" t="str">
        <f>IF(足元帳!X3="","",足元帳!X3)</f>
        <v/>
      </c>
      <c r="Y5" s="565"/>
      <c r="Z5" s="565"/>
      <c r="AA5" s="565" t="str">
        <f>IF(足元帳!Y3="","",足元帳!Y3)</f>
        <v/>
      </c>
      <c r="AB5" s="565"/>
      <c r="AC5" s="565"/>
      <c r="AD5" s="565" t="str">
        <f>IF(足元帳!Z3="","",足元帳!Z3)</f>
        <v/>
      </c>
      <c r="AE5" s="565"/>
      <c r="AF5" s="566"/>
      <c r="AG5" s="587" t="str">
        <f ca="1">IF(ISERROR(MATCH("●",足元帳!AD3:AM3,0)),IF(足元帳!AM3="","",足元帳!$AM$1&amp;足元帳!AM3),INDIRECT("足元帳!R1C"&amp;MATCH("●",足元帳!AD3:AM3,0)+29,FALSE))</f>
        <v/>
      </c>
      <c r="AH5" s="565"/>
      <c r="AI5" s="565"/>
      <c r="AJ5" s="565"/>
      <c r="AK5" s="565" t="str">
        <f>IF(足元帳!AT3="","",足元帳!AT3)</f>
        <v/>
      </c>
      <c r="AL5" s="565"/>
      <c r="AM5" s="565"/>
      <c r="AN5" s="565"/>
      <c r="AO5" s="565"/>
      <c r="AP5" s="565"/>
      <c r="AQ5" s="588"/>
    </row>
    <row r="6" spans="1:46" ht="22.5" customHeight="1">
      <c r="A6" s="586">
        <f t="shared" ref="A6:A38" si="0">A5+1</f>
        <v>3</v>
      </c>
      <c r="B6" s="566"/>
      <c r="C6" s="73" t="str">
        <f>IF(足元帳!AY4=1,"N",IF(足元帳!AY4=2,"R",""))</f>
        <v/>
      </c>
      <c r="D6" s="74" t="str">
        <f>IF(足元帳!AZ4&gt;0,VLOOKUP(足元帳!AZ4,管理シート!$CF$32:$CG$34,2,FALSE),"")</f>
        <v/>
      </c>
      <c r="E6" s="572" t="str">
        <f>IF(足元帳!BB4&gt;0,VLOOKUP(足元帳!BB4,管理シート!#REF!,2,FALSE),"")</f>
        <v/>
      </c>
      <c r="F6" s="573"/>
      <c r="G6" s="574">
        <f>足元帳!J4</f>
        <v>0</v>
      </c>
      <c r="H6" s="575"/>
      <c r="I6" s="574">
        <f>足元帳!K4</f>
        <v>0</v>
      </c>
      <c r="J6" s="576"/>
      <c r="K6" s="575"/>
      <c r="L6" s="73" t="str">
        <f ca="1">IF(足元帳!AB4="●","無",IF(足元帳!AC4="●","半",IF(AG6="周年","半",IF(AG6="プレ6","半",IF(AG6="6割","半","")))))</f>
        <v/>
      </c>
      <c r="M6" s="115" t="str">
        <f>IF(足元帳!AM4="","","○")&amp;IF(足元帳!AL4="","","○")</f>
        <v/>
      </c>
      <c r="N6" s="115" t="str">
        <f>IF(足元帳!AN4="","","○")</f>
        <v/>
      </c>
      <c r="O6" s="587" t="str">
        <f>IF(足元帳!U4="","",足元帳!U4)</f>
        <v/>
      </c>
      <c r="P6" s="565"/>
      <c r="Q6" s="565"/>
      <c r="R6" s="565" t="str">
        <f>IF(足元帳!V4="","",足元帳!V4)</f>
        <v/>
      </c>
      <c r="S6" s="565"/>
      <c r="T6" s="565"/>
      <c r="U6" s="565" t="str">
        <f>IF(足元帳!W4="","",足元帳!W4)</f>
        <v/>
      </c>
      <c r="V6" s="565"/>
      <c r="W6" s="565"/>
      <c r="X6" s="565" t="str">
        <f>IF(足元帳!X4="","",足元帳!X4)</f>
        <v/>
      </c>
      <c r="Y6" s="565"/>
      <c r="Z6" s="565"/>
      <c r="AA6" s="565" t="str">
        <f>IF(足元帳!Y4="","",足元帳!Y4)</f>
        <v/>
      </c>
      <c r="AB6" s="565"/>
      <c r="AC6" s="565"/>
      <c r="AD6" s="565" t="str">
        <f>IF(足元帳!Z4="","",足元帳!Z4)</f>
        <v/>
      </c>
      <c r="AE6" s="565"/>
      <c r="AF6" s="566"/>
      <c r="AG6" s="587" t="str">
        <f ca="1">IF(ISERROR(MATCH("●",足元帳!AD4:AM4,0)),IF(足元帳!AM4="","",足元帳!$AM$1&amp;足元帳!AM4),INDIRECT("足元帳!R1C"&amp;MATCH("●",足元帳!AD4:AM4,0)+29,FALSE))</f>
        <v/>
      </c>
      <c r="AH6" s="565"/>
      <c r="AI6" s="565"/>
      <c r="AJ6" s="565"/>
      <c r="AK6" s="565" t="str">
        <f>IF(足元帳!AT4="","",足元帳!AT4)</f>
        <v/>
      </c>
      <c r="AL6" s="565"/>
      <c r="AM6" s="565"/>
      <c r="AN6" s="565"/>
      <c r="AO6" s="565"/>
      <c r="AP6" s="565"/>
      <c r="AQ6" s="588"/>
    </row>
    <row r="7" spans="1:46" ht="22.5" customHeight="1">
      <c r="A7" s="586">
        <f t="shared" si="0"/>
        <v>4</v>
      </c>
      <c r="B7" s="566"/>
      <c r="C7" s="73" t="str">
        <f>IF(足元帳!AY5=1,"N",IF(足元帳!AY5=2,"R",""))</f>
        <v/>
      </c>
      <c r="D7" s="74" t="str">
        <f>IF(足元帳!AZ5&gt;0,VLOOKUP(足元帳!AZ5,管理シート!$CF$32:$CG$34,2,FALSE),"")</f>
        <v/>
      </c>
      <c r="E7" s="572" t="str">
        <f>IF(足元帳!BB5&gt;0,VLOOKUP(足元帳!BB5,管理シート!#REF!,2,FALSE),"")</f>
        <v/>
      </c>
      <c r="F7" s="573"/>
      <c r="G7" s="574">
        <f>足元帳!J5</f>
        <v>0</v>
      </c>
      <c r="H7" s="575"/>
      <c r="I7" s="574">
        <f>足元帳!K5</f>
        <v>0</v>
      </c>
      <c r="J7" s="576"/>
      <c r="K7" s="575"/>
      <c r="L7" s="73" t="str">
        <f ca="1">IF(足元帳!AB5="●","無",IF(足元帳!AC5="●","半",IF(AG7="周年","半",IF(AG7="プレ6","半",IF(AG7="6割","半","")))))</f>
        <v/>
      </c>
      <c r="M7" s="115" t="str">
        <f>IF(足元帳!AM5="","","○")&amp;IF(足元帳!AL5="","","○")</f>
        <v/>
      </c>
      <c r="N7" s="115" t="str">
        <f>IF(足元帳!AN5="","","○")</f>
        <v/>
      </c>
      <c r="O7" s="587" t="str">
        <f>IF(足元帳!U5="","",足元帳!U5)</f>
        <v/>
      </c>
      <c r="P7" s="565"/>
      <c r="Q7" s="565"/>
      <c r="R7" s="565" t="str">
        <f>IF(足元帳!V5="","",足元帳!V5)</f>
        <v/>
      </c>
      <c r="S7" s="565"/>
      <c r="T7" s="565"/>
      <c r="U7" s="565" t="str">
        <f>IF(足元帳!W5="","",足元帳!W5)</f>
        <v/>
      </c>
      <c r="V7" s="565"/>
      <c r="W7" s="565"/>
      <c r="X7" s="565" t="str">
        <f>IF(足元帳!X5="","",足元帳!X5)</f>
        <v/>
      </c>
      <c r="Y7" s="565"/>
      <c r="Z7" s="565"/>
      <c r="AA7" s="565" t="str">
        <f>IF(足元帳!Y5="","",足元帳!Y5)</f>
        <v/>
      </c>
      <c r="AB7" s="565"/>
      <c r="AC7" s="565"/>
      <c r="AD7" s="565" t="str">
        <f>IF(足元帳!Z5="","",足元帳!Z5)</f>
        <v/>
      </c>
      <c r="AE7" s="565"/>
      <c r="AF7" s="566"/>
      <c r="AG7" s="587" t="str">
        <f ca="1">IF(ISERROR(MATCH("●",足元帳!AD5:AM5,0)),IF(足元帳!AM5="","",足元帳!$AM$1&amp;足元帳!AM5),INDIRECT("足元帳!R1C"&amp;MATCH("●",足元帳!AD5:AM5,0)+29,FALSE))</f>
        <v/>
      </c>
      <c r="AH7" s="565"/>
      <c r="AI7" s="565"/>
      <c r="AJ7" s="565"/>
      <c r="AK7" s="565" t="str">
        <f>IF(足元帳!AT5="","",足元帳!AT5)</f>
        <v/>
      </c>
      <c r="AL7" s="565"/>
      <c r="AM7" s="565"/>
      <c r="AN7" s="565"/>
      <c r="AO7" s="565"/>
      <c r="AP7" s="565"/>
      <c r="AQ7" s="588"/>
    </row>
    <row r="8" spans="1:46" ht="22.5" customHeight="1">
      <c r="A8" s="586">
        <f t="shared" si="0"/>
        <v>5</v>
      </c>
      <c r="B8" s="566"/>
      <c r="C8" s="73" t="str">
        <f>IF(足元帳!AY6=1,"N",IF(足元帳!AY6=2,"R",""))</f>
        <v/>
      </c>
      <c r="D8" s="74" t="str">
        <f>IF(足元帳!AZ6&gt;0,VLOOKUP(足元帳!AZ6,管理シート!$CF$32:$CG$34,2,FALSE),"")</f>
        <v/>
      </c>
      <c r="E8" s="572" t="str">
        <f>IF(足元帳!BB6&gt;0,VLOOKUP(足元帳!BB6,管理シート!#REF!,2,FALSE),"")</f>
        <v/>
      </c>
      <c r="F8" s="573"/>
      <c r="G8" s="574">
        <f>足元帳!J6</f>
        <v>0</v>
      </c>
      <c r="H8" s="575"/>
      <c r="I8" s="574">
        <f>足元帳!K6</f>
        <v>0</v>
      </c>
      <c r="J8" s="576"/>
      <c r="K8" s="575"/>
      <c r="L8" s="73" t="str">
        <f ca="1">IF(足元帳!AB6="●","無",IF(足元帳!AC6="●","半",IF(AG8="周年","半",IF(AG8="プレ6","半",IF(AG8="6割","半","")))))</f>
        <v/>
      </c>
      <c r="M8" s="115" t="str">
        <f>IF(足元帳!AM6="","","○")&amp;IF(足元帳!AL6="","","○")</f>
        <v/>
      </c>
      <c r="N8" s="115" t="str">
        <f>IF(足元帳!AN6="","","○")</f>
        <v/>
      </c>
      <c r="O8" s="587" t="str">
        <f>IF(足元帳!U6="","",足元帳!U6)</f>
        <v/>
      </c>
      <c r="P8" s="565"/>
      <c r="Q8" s="565"/>
      <c r="R8" s="565" t="str">
        <f>IF(足元帳!V6="","",足元帳!V6)</f>
        <v/>
      </c>
      <c r="S8" s="565"/>
      <c r="T8" s="565"/>
      <c r="U8" s="565" t="str">
        <f>IF(足元帳!W6="","",足元帳!W6)</f>
        <v/>
      </c>
      <c r="V8" s="565"/>
      <c r="W8" s="565"/>
      <c r="X8" s="565" t="str">
        <f>IF(足元帳!X6="","",足元帳!X6)</f>
        <v/>
      </c>
      <c r="Y8" s="565"/>
      <c r="Z8" s="565"/>
      <c r="AA8" s="565" t="str">
        <f>IF(足元帳!Y6="","",足元帳!Y6)</f>
        <v/>
      </c>
      <c r="AB8" s="565"/>
      <c r="AC8" s="565"/>
      <c r="AD8" s="565" t="str">
        <f>IF(足元帳!Z6="","",足元帳!Z6)</f>
        <v/>
      </c>
      <c r="AE8" s="565"/>
      <c r="AF8" s="566"/>
      <c r="AG8" s="587" t="str">
        <f ca="1">IF(ISERROR(MATCH("●",足元帳!AD6:AM6,0)),IF(足元帳!AM6="","",足元帳!$AM$1&amp;足元帳!AM6),INDIRECT("足元帳!R1C"&amp;MATCH("●",足元帳!AD6:AM6,0)+29,FALSE))</f>
        <v/>
      </c>
      <c r="AH8" s="565"/>
      <c r="AI8" s="565"/>
      <c r="AJ8" s="565"/>
      <c r="AK8" s="565" t="str">
        <f>IF(足元帳!AT6="","",足元帳!AT6)</f>
        <v/>
      </c>
      <c r="AL8" s="565"/>
      <c r="AM8" s="565"/>
      <c r="AN8" s="565"/>
      <c r="AO8" s="565"/>
      <c r="AP8" s="565"/>
      <c r="AQ8" s="588"/>
    </row>
    <row r="9" spans="1:46" ht="22.5" customHeight="1">
      <c r="A9" s="586">
        <f t="shared" si="0"/>
        <v>6</v>
      </c>
      <c r="B9" s="566"/>
      <c r="C9" s="73" t="str">
        <f>IF(足元帳!AY7=1,"N",IF(足元帳!AY7=2,"R",""))</f>
        <v/>
      </c>
      <c r="D9" s="74" t="str">
        <f>IF(足元帳!AZ7&gt;0,VLOOKUP(足元帳!AZ7,管理シート!$CF$32:$CG$34,2,FALSE),"")</f>
        <v/>
      </c>
      <c r="E9" s="572" t="str">
        <f>IF(足元帳!BB7&gt;0,VLOOKUP(足元帳!BB7,管理シート!#REF!,2,FALSE),"")</f>
        <v/>
      </c>
      <c r="F9" s="573"/>
      <c r="G9" s="574">
        <f>足元帳!J7</f>
        <v>0</v>
      </c>
      <c r="H9" s="575"/>
      <c r="I9" s="574">
        <f>足元帳!K7</f>
        <v>0</v>
      </c>
      <c r="J9" s="576"/>
      <c r="K9" s="575"/>
      <c r="L9" s="73" t="str">
        <f ca="1">IF(足元帳!AB7="●","無",IF(足元帳!AC7="●","半",IF(AG9="周年","半",IF(AG9="プレ6","半",IF(AG9="6割","半","")))))</f>
        <v/>
      </c>
      <c r="M9" s="115" t="str">
        <f>IF(足元帳!AM7="","","○")&amp;IF(足元帳!AL7="","","○")</f>
        <v/>
      </c>
      <c r="N9" s="115" t="str">
        <f>IF(足元帳!AN7="","","○")</f>
        <v/>
      </c>
      <c r="O9" s="587" t="str">
        <f>IF(足元帳!U7="","",足元帳!U7)</f>
        <v/>
      </c>
      <c r="P9" s="565"/>
      <c r="Q9" s="565"/>
      <c r="R9" s="565" t="str">
        <f>IF(足元帳!V7="","",足元帳!V7)</f>
        <v/>
      </c>
      <c r="S9" s="565"/>
      <c r="T9" s="565"/>
      <c r="U9" s="565" t="str">
        <f>IF(足元帳!W7="","",足元帳!W7)</f>
        <v/>
      </c>
      <c r="V9" s="565"/>
      <c r="W9" s="565"/>
      <c r="X9" s="565" t="str">
        <f>IF(足元帳!X7="","",足元帳!X7)</f>
        <v/>
      </c>
      <c r="Y9" s="565"/>
      <c r="Z9" s="565"/>
      <c r="AA9" s="565" t="str">
        <f>IF(足元帳!Y7="","",足元帳!Y7)</f>
        <v/>
      </c>
      <c r="AB9" s="565"/>
      <c r="AC9" s="565"/>
      <c r="AD9" s="565" t="str">
        <f>IF(足元帳!Z7="","",足元帳!Z7)</f>
        <v/>
      </c>
      <c r="AE9" s="565"/>
      <c r="AF9" s="566"/>
      <c r="AG9" s="587" t="str">
        <f ca="1">IF(ISERROR(MATCH("●",足元帳!AD7:AM7,0)),IF(足元帳!AM7="","",足元帳!$AM$1&amp;足元帳!AM7),INDIRECT("足元帳!R1C"&amp;MATCH("●",足元帳!AD7:AM7,0)+29,FALSE))</f>
        <v/>
      </c>
      <c r="AH9" s="565"/>
      <c r="AI9" s="565"/>
      <c r="AJ9" s="565"/>
      <c r="AK9" s="565" t="str">
        <f>IF(足元帳!AT7="","",足元帳!AT7)</f>
        <v/>
      </c>
      <c r="AL9" s="565"/>
      <c r="AM9" s="565"/>
      <c r="AN9" s="565"/>
      <c r="AO9" s="565"/>
      <c r="AP9" s="565"/>
      <c r="AQ9" s="588"/>
    </row>
    <row r="10" spans="1:46" ht="22.5" customHeight="1">
      <c r="A10" s="586">
        <f t="shared" si="0"/>
        <v>7</v>
      </c>
      <c r="B10" s="566"/>
      <c r="C10" s="73" t="str">
        <f>IF(足元帳!AY8=1,"N",IF(足元帳!AY8=2,"R",""))</f>
        <v/>
      </c>
      <c r="D10" s="74" t="str">
        <f>IF(足元帳!AZ8&gt;0,VLOOKUP(足元帳!AZ8,管理シート!$CF$32:$CG$34,2,FALSE),"")</f>
        <v/>
      </c>
      <c r="E10" s="572" t="str">
        <f>IF(足元帳!BB8&gt;0,VLOOKUP(足元帳!BB8,管理シート!#REF!,2,FALSE),"")</f>
        <v/>
      </c>
      <c r="F10" s="573"/>
      <c r="G10" s="574">
        <f>足元帳!J8</f>
        <v>0</v>
      </c>
      <c r="H10" s="575"/>
      <c r="I10" s="574">
        <f>足元帳!K8</f>
        <v>0</v>
      </c>
      <c r="J10" s="576"/>
      <c r="K10" s="575"/>
      <c r="L10" s="73" t="str">
        <f ca="1">IF(足元帳!AB8="●","無",IF(足元帳!AC8="●","半",IF(AG10="周年","半",IF(AG10="プレ6","半",IF(AG10="6割","半","")))))</f>
        <v/>
      </c>
      <c r="M10" s="115" t="str">
        <f>IF(足元帳!AM8="","","○")&amp;IF(足元帳!AL8="","","○")</f>
        <v/>
      </c>
      <c r="N10" s="115" t="str">
        <f>IF(足元帳!AN8="","","○")</f>
        <v/>
      </c>
      <c r="O10" s="587" t="str">
        <f>IF(足元帳!U8="","",足元帳!U8)</f>
        <v/>
      </c>
      <c r="P10" s="565"/>
      <c r="Q10" s="565"/>
      <c r="R10" s="565" t="str">
        <f>IF(足元帳!V8="","",足元帳!V8)</f>
        <v/>
      </c>
      <c r="S10" s="565"/>
      <c r="T10" s="565"/>
      <c r="U10" s="565" t="str">
        <f>IF(足元帳!W8="","",足元帳!W8)</f>
        <v/>
      </c>
      <c r="V10" s="565"/>
      <c r="W10" s="565"/>
      <c r="X10" s="565" t="str">
        <f>IF(足元帳!X8="","",足元帳!X8)</f>
        <v/>
      </c>
      <c r="Y10" s="565"/>
      <c r="Z10" s="565"/>
      <c r="AA10" s="565" t="str">
        <f>IF(足元帳!Y8="","",足元帳!Y8)</f>
        <v/>
      </c>
      <c r="AB10" s="565"/>
      <c r="AC10" s="565"/>
      <c r="AD10" s="565" t="str">
        <f>IF(足元帳!Z8="","",足元帳!Z8)</f>
        <v/>
      </c>
      <c r="AE10" s="565"/>
      <c r="AF10" s="566"/>
      <c r="AG10" s="587" t="str">
        <f ca="1">IF(ISERROR(MATCH("●",足元帳!AD8:AM8,0)),IF(足元帳!AM8="","",足元帳!$AM$1&amp;足元帳!AM8),INDIRECT("足元帳!R1C"&amp;MATCH("●",足元帳!AD8:AM8,0)+29,FALSE))</f>
        <v/>
      </c>
      <c r="AH10" s="565"/>
      <c r="AI10" s="565"/>
      <c r="AJ10" s="565"/>
      <c r="AK10" s="565" t="str">
        <f>IF(足元帳!AT8="","",足元帳!AT8)</f>
        <v/>
      </c>
      <c r="AL10" s="565"/>
      <c r="AM10" s="565"/>
      <c r="AN10" s="565"/>
      <c r="AO10" s="565"/>
      <c r="AP10" s="565"/>
      <c r="AQ10" s="588"/>
    </row>
    <row r="11" spans="1:46" ht="22.5" customHeight="1">
      <c r="A11" s="586">
        <f t="shared" si="0"/>
        <v>8</v>
      </c>
      <c r="B11" s="566"/>
      <c r="C11" s="73" t="str">
        <f>IF(足元帳!AY9=1,"N",IF(足元帳!AY9=2,"R",""))</f>
        <v/>
      </c>
      <c r="D11" s="74" t="str">
        <f>IF(足元帳!AZ9&gt;0,VLOOKUP(足元帳!AZ9,管理シート!$CF$32:$CG$34,2,FALSE),"")</f>
        <v/>
      </c>
      <c r="E11" s="572" t="str">
        <f>IF(足元帳!BB9&gt;0,VLOOKUP(足元帳!BB9,管理シート!#REF!,2,FALSE),"")</f>
        <v/>
      </c>
      <c r="F11" s="573"/>
      <c r="G11" s="574">
        <f>足元帳!J9</f>
        <v>0</v>
      </c>
      <c r="H11" s="575"/>
      <c r="I11" s="574">
        <f>足元帳!K9</f>
        <v>0</v>
      </c>
      <c r="J11" s="576"/>
      <c r="K11" s="575"/>
      <c r="L11" s="73" t="str">
        <f ca="1">IF(足元帳!AB9="●","無",IF(足元帳!AC9="●","半",IF(AG11="周年","半",IF(AG11="プレ6","半",IF(AG11="6割","半","")))))</f>
        <v/>
      </c>
      <c r="M11" s="115" t="str">
        <f>IF(足元帳!AM9="","","○")&amp;IF(足元帳!AL9="","","○")</f>
        <v/>
      </c>
      <c r="N11" s="115" t="str">
        <f>IF(足元帳!AN9="","","○")</f>
        <v/>
      </c>
      <c r="O11" s="587" t="str">
        <f>IF(足元帳!U9="","",足元帳!U9)</f>
        <v/>
      </c>
      <c r="P11" s="565"/>
      <c r="Q11" s="565"/>
      <c r="R11" s="565" t="str">
        <f>IF(足元帳!V9="","",足元帳!V9)</f>
        <v/>
      </c>
      <c r="S11" s="565"/>
      <c r="T11" s="565"/>
      <c r="U11" s="565" t="str">
        <f>IF(足元帳!W9="","",足元帳!W9)</f>
        <v/>
      </c>
      <c r="V11" s="565"/>
      <c r="W11" s="565"/>
      <c r="X11" s="565" t="str">
        <f>IF(足元帳!X9="","",足元帳!X9)</f>
        <v/>
      </c>
      <c r="Y11" s="565"/>
      <c r="Z11" s="565"/>
      <c r="AA11" s="565" t="str">
        <f>IF(足元帳!Y9="","",足元帳!Y9)</f>
        <v/>
      </c>
      <c r="AB11" s="565"/>
      <c r="AC11" s="565"/>
      <c r="AD11" s="565" t="str">
        <f>IF(足元帳!Z9="","",足元帳!Z9)</f>
        <v/>
      </c>
      <c r="AE11" s="565"/>
      <c r="AF11" s="566"/>
      <c r="AG11" s="587" t="str">
        <f ca="1">IF(ISERROR(MATCH("●",足元帳!AD9:AM9,0)),IF(足元帳!AM9="","",足元帳!$AM$1&amp;足元帳!AM9),INDIRECT("足元帳!R1C"&amp;MATCH("●",足元帳!AD9:AM9,0)+29,FALSE))</f>
        <v/>
      </c>
      <c r="AH11" s="565"/>
      <c r="AI11" s="565"/>
      <c r="AJ11" s="565"/>
      <c r="AK11" s="565" t="str">
        <f>IF(足元帳!AT9="","",足元帳!AT9)</f>
        <v/>
      </c>
      <c r="AL11" s="565"/>
      <c r="AM11" s="565"/>
      <c r="AN11" s="565"/>
      <c r="AO11" s="565"/>
      <c r="AP11" s="565"/>
      <c r="AQ11" s="588"/>
    </row>
    <row r="12" spans="1:46" ht="22.5" customHeight="1">
      <c r="A12" s="586">
        <f t="shared" si="0"/>
        <v>9</v>
      </c>
      <c r="B12" s="566"/>
      <c r="C12" s="73" t="str">
        <f>IF(足元帳!AY10=1,"N",IF(足元帳!AY10=2,"R",""))</f>
        <v/>
      </c>
      <c r="D12" s="74" t="str">
        <f>IF(足元帳!AZ10&gt;0,VLOOKUP(足元帳!AZ10,管理シート!$CF$32:$CG$34,2,FALSE),"")</f>
        <v/>
      </c>
      <c r="E12" s="572" t="str">
        <f>IF(足元帳!BB10&gt;0,VLOOKUP(足元帳!BB10,管理シート!#REF!,2,FALSE),"")</f>
        <v/>
      </c>
      <c r="F12" s="573"/>
      <c r="G12" s="574">
        <f>足元帳!J10</f>
        <v>0</v>
      </c>
      <c r="H12" s="575"/>
      <c r="I12" s="574">
        <f>足元帳!K10</f>
        <v>0</v>
      </c>
      <c r="J12" s="576"/>
      <c r="K12" s="575"/>
      <c r="L12" s="73" t="str">
        <f ca="1">IF(足元帳!AB10="●","無",IF(足元帳!AC10="●","半",IF(AG12="周年","半",IF(AG12="プレ6","半",IF(AG12="6割","半","")))))</f>
        <v/>
      </c>
      <c r="M12" s="115" t="str">
        <f>IF(足元帳!AM10="","","○")&amp;IF(足元帳!AL10="","","○")</f>
        <v/>
      </c>
      <c r="N12" s="115" t="str">
        <f>IF(足元帳!AN10="","","○")</f>
        <v/>
      </c>
      <c r="O12" s="587" t="str">
        <f>IF(足元帳!U10="","",足元帳!U10)</f>
        <v/>
      </c>
      <c r="P12" s="565"/>
      <c r="Q12" s="565"/>
      <c r="R12" s="565" t="str">
        <f>IF(足元帳!V10="","",足元帳!V10)</f>
        <v/>
      </c>
      <c r="S12" s="565"/>
      <c r="T12" s="565"/>
      <c r="U12" s="565" t="str">
        <f>IF(足元帳!W10="","",足元帳!W10)</f>
        <v/>
      </c>
      <c r="V12" s="565"/>
      <c r="W12" s="565"/>
      <c r="X12" s="565" t="str">
        <f>IF(足元帳!X10="","",足元帳!X10)</f>
        <v/>
      </c>
      <c r="Y12" s="565"/>
      <c r="Z12" s="565"/>
      <c r="AA12" s="565" t="str">
        <f>IF(足元帳!Y10="","",足元帳!Y10)</f>
        <v/>
      </c>
      <c r="AB12" s="565"/>
      <c r="AC12" s="565"/>
      <c r="AD12" s="565" t="str">
        <f>IF(足元帳!Z10="","",足元帳!Z10)</f>
        <v/>
      </c>
      <c r="AE12" s="565"/>
      <c r="AF12" s="566"/>
      <c r="AG12" s="587" t="str">
        <f ca="1">IF(ISERROR(MATCH("●",足元帳!AD10:AM10,0)),IF(足元帳!AM10="","",足元帳!$AM$1&amp;足元帳!AM10),INDIRECT("足元帳!R1C"&amp;MATCH("●",足元帳!AD10:AM10,0)+29,FALSE))</f>
        <v/>
      </c>
      <c r="AH12" s="565"/>
      <c r="AI12" s="565"/>
      <c r="AJ12" s="565"/>
      <c r="AK12" s="565" t="str">
        <f>IF(足元帳!AT10="","",足元帳!AT10)</f>
        <v/>
      </c>
      <c r="AL12" s="565"/>
      <c r="AM12" s="565"/>
      <c r="AN12" s="565"/>
      <c r="AO12" s="565"/>
      <c r="AP12" s="565"/>
      <c r="AQ12" s="588"/>
    </row>
    <row r="13" spans="1:46" ht="22.5" customHeight="1">
      <c r="A13" s="586">
        <f t="shared" si="0"/>
        <v>10</v>
      </c>
      <c r="B13" s="566"/>
      <c r="C13" s="73" t="str">
        <f>IF(足元帳!AY11=1,"N",IF(足元帳!AY11=2,"R",""))</f>
        <v/>
      </c>
      <c r="D13" s="74" t="str">
        <f>IF(足元帳!AZ11&gt;0,VLOOKUP(足元帳!AZ11,管理シート!$CF$32:$CG$34,2,FALSE),"")</f>
        <v/>
      </c>
      <c r="E13" s="572" t="str">
        <f>IF(足元帳!BB11&gt;0,VLOOKUP(足元帳!BB11,管理シート!#REF!,2,FALSE),"")</f>
        <v/>
      </c>
      <c r="F13" s="573"/>
      <c r="G13" s="574">
        <f>足元帳!J11</f>
        <v>0</v>
      </c>
      <c r="H13" s="575"/>
      <c r="I13" s="574">
        <f>足元帳!K11</f>
        <v>0</v>
      </c>
      <c r="J13" s="576"/>
      <c r="K13" s="575"/>
      <c r="L13" s="73" t="str">
        <f ca="1">IF(足元帳!AB11="●","無",IF(足元帳!AC11="●","半",IF(AG13="周年","半",IF(AG13="プレ6","半",IF(AG13="6割","半","")))))</f>
        <v/>
      </c>
      <c r="M13" s="115" t="str">
        <f>IF(足元帳!AM11="","","○")&amp;IF(足元帳!AL11="","","○")</f>
        <v/>
      </c>
      <c r="N13" s="115" t="str">
        <f>IF(足元帳!AN11="","","○")</f>
        <v/>
      </c>
      <c r="O13" s="587" t="str">
        <f>IF(足元帳!U11="","",足元帳!U11)</f>
        <v/>
      </c>
      <c r="P13" s="565"/>
      <c r="Q13" s="565"/>
      <c r="R13" s="565" t="str">
        <f>IF(足元帳!V11="","",足元帳!V11)</f>
        <v/>
      </c>
      <c r="S13" s="565"/>
      <c r="T13" s="565"/>
      <c r="U13" s="565" t="str">
        <f>IF(足元帳!W11="","",足元帳!W11)</f>
        <v/>
      </c>
      <c r="V13" s="565"/>
      <c r="W13" s="565"/>
      <c r="X13" s="565" t="str">
        <f>IF(足元帳!X11="","",足元帳!X11)</f>
        <v/>
      </c>
      <c r="Y13" s="565"/>
      <c r="Z13" s="565"/>
      <c r="AA13" s="565" t="str">
        <f>IF(足元帳!Y11="","",足元帳!Y11)</f>
        <v/>
      </c>
      <c r="AB13" s="565"/>
      <c r="AC13" s="565"/>
      <c r="AD13" s="565" t="str">
        <f>IF(足元帳!Z11="","",足元帳!Z11)</f>
        <v/>
      </c>
      <c r="AE13" s="565"/>
      <c r="AF13" s="566"/>
      <c r="AG13" s="587" t="str">
        <f ca="1">IF(ISERROR(MATCH("●",足元帳!AD11:AM11,0)),IF(足元帳!AM11="","",足元帳!$AM$1&amp;足元帳!AM11),INDIRECT("足元帳!R1C"&amp;MATCH("●",足元帳!AD11:AM11,0)+29,FALSE))</f>
        <v/>
      </c>
      <c r="AH13" s="565"/>
      <c r="AI13" s="565"/>
      <c r="AJ13" s="565"/>
      <c r="AK13" s="565" t="str">
        <f>IF(足元帳!AT11="","",足元帳!AT11)</f>
        <v/>
      </c>
      <c r="AL13" s="565"/>
      <c r="AM13" s="565"/>
      <c r="AN13" s="565"/>
      <c r="AO13" s="565"/>
      <c r="AP13" s="565"/>
      <c r="AQ13" s="588"/>
    </row>
    <row r="14" spans="1:46" ht="22.5" customHeight="1">
      <c r="A14" s="586">
        <f t="shared" si="0"/>
        <v>11</v>
      </c>
      <c r="B14" s="566"/>
      <c r="C14" s="73" t="str">
        <f>IF(足元帳!AY12=1,"N",IF(足元帳!AY12=2,"R",""))</f>
        <v/>
      </c>
      <c r="D14" s="74" t="str">
        <f>IF(足元帳!AZ12&gt;0,VLOOKUP(足元帳!AZ12,管理シート!$CF$32:$CG$34,2,FALSE),"")</f>
        <v/>
      </c>
      <c r="E14" s="572" t="str">
        <f>IF(足元帳!BB12&gt;0,VLOOKUP(足元帳!BB12,管理シート!#REF!,2,FALSE),"")</f>
        <v/>
      </c>
      <c r="F14" s="573"/>
      <c r="G14" s="574">
        <f>足元帳!J12</f>
        <v>0</v>
      </c>
      <c r="H14" s="575"/>
      <c r="I14" s="574">
        <f>足元帳!K12</f>
        <v>0</v>
      </c>
      <c r="J14" s="576"/>
      <c r="K14" s="575"/>
      <c r="L14" s="73" t="str">
        <f ca="1">IF(足元帳!AB12="●","無",IF(足元帳!AC12="●","半",IF(AG14="周年","半",IF(AG14="プレ6","半",IF(AG14="6割","半","")))))</f>
        <v/>
      </c>
      <c r="M14" s="115" t="str">
        <f>IF(足元帳!AM12="","","○")&amp;IF(足元帳!AL12="","","○")</f>
        <v/>
      </c>
      <c r="N14" s="115" t="str">
        <f>IF(足元帳!AN12="","","○")</f>
        <v/>
      </c>
      <c r="O14" s="587" t="str">
        <f>IF(足元帳!U12="","",足元帳!U12)</f>
        <v/>
      </c>
      <c r="P14" s="565"/>
      <c r="Q14" s="565"/>
      <c r="R14" s="565" t="str">
        <f>IF(足元帳!V12="","",足元帳!V12)</f>
        <v/>
      </c>
      <c r="S14" s="565"/>
      <c r="T14" s="565"/>
      <c r="U14" s="565" t="str">
        <f>IF(足元帳!W12="","",足元帳!W12)</f>
        <v/>
      </c>
      <c r="V14" s="565"/>
      <c r="W14" s="565"/>
      <c r="X14" s="565" t="str">
        <f>IF(足元帳!X12="","",足元帳!X12)</f>
        <v/>
      </c>
      <c r="Y14" s="565"/>
      <c r="Z14" s="565"/>
      <c r="AA14" s="565" t="str">
        <f>IF(足元帳!Y12="","",足元帳!Y12)</f>
        <v/>
      </c>
      <c r="AB14" s="565"/>
      <c r="AC14" s="565"/>
      <c r="AD14" s="565" t="str">
        <f>IF(足元帳!Z12="","",足元帳!Z12)</f>
        <v/>
      </c>
      <c r="AE14" s="565"/>
      <c r="AF14" s="566"/>
      <c r="AG14" s="587" t="str">
        <f ca="1">IF(ISERROR(MATCH("●",足元帳!AD12:AM12,0)),IF(足元帳!AM12="","",足元帳!$AM$1&amp;足元帳!AM12),INDIRECT("足元帳!R1C"&amp;MATCH("●",足元帳!AD12:AM12,0)+29,FALSE))</f>
        <v/>
      </c>
      <c r="AH14" s="565"/>
      <c r="AI14" s="565"/>
      <c r="AJ14" s="565"/>
      <c r="AK14" s="565" t="str">
        <f>IF(足元帳!AT12="","",足元帳!AT12)</f>
        <v/>
      </c>
      <c r="AL14" s="565"/>
      <c r="AM14" s="565"/>
      <c r="AN14" s="565"/>
      <c r="AO14" s="565"/>
      <c r="AP14" s="565"/>
      <c r="AQ14" s="588"/>
    </row>
    <row r="15" spans="1:46" ht="22.5" customHeight="1">
      <c r="A15" s="586">
        <f t="shared" si="0"/>
        <v>12</v>
      </c>
      <c r="B15" s="566"/>
      <c r="C15" s="73" t="str">
        <f>IF(足元帳!AY13=1,"N",IF(足元帳!AY13=2,"R",""))</f>
        <v/>
      </c>
      <c r="D15" s="74" t="str">
        <f>IF(足元帳!AZ13&gt;0,VLOOKUP(足元帳!AZ13,管理シート!$CF$32:$CG$34,2,FALSE),"")</f>
        <v/>
      </c>
      <c r="E15" s="572" t="str">
        <f>IF(足元帳!BB13&gt;0,VLOOKUP(足元帳!BB13,管理シート!#REF!,2,FALSE),"")</f>
        <v/>
      </c>
      <c r="F15" s="573"/>
      <c r="G15" s="574">
        <f>足元帳!J13</f>
        <v>0</v>
      </c>
      <c r="H15" s="575"/>
      <c r="I15" s="574">
        <f>足元帳!K13</f>
        <v>0</v>
      </c>
      <c r="J15" s="576"/>
      <c r="K15" s="575"/>
      <c r="L15" s="73" t="str">
        <f ca="1">IF(足元帳!AB13="●","無",IF(足元帳!AC13="●","半",IF(AG15="周年","半",IF(AG15="プレ6","半",IF(AG15="6割","半","")))))</f>
        <v/>
      </c>
      <c r="M15" s="115" t="str">
        <f>IF(足元帳!AM13="","","○")&amp;IF(足元帳!AL13="","","○")</f>
        <v/>
      </c>
      <c r="N15" s="115" t="str">
        <f>IF(足元帳!AN13="","","○")</f>
        <v/>
      </c>
      <c r="O15" s="587" t="str">
        <f>IF(足元帳!U13="","",足元帳!U13)</f>
        <v/>
      </c>
      <c r="P15" s="565"/>
      <c r="Q15" s="565"/>
      <c r="R15" s="565" t="str">
        <f>IF(足元帳!V13="","",足元帳!V13)</f>
        <v/>
      </c>
      <c r="S15" s="565"/>
      <c r="T15" s="565"/>
      <c r="U15" s="565" t="str">
        <f>IF(足元帳!W13="","",足元帳!W13)</f>
        <v/>
      </c>
      <c r="V15" s="565"/>
      <c r="W15" s="565"/>
      <c r="X15" s="565" t="str">
        <f>IF(足元帳!X13="","",足元帳!X13)</f>
        <v/>
      </c>
      <c r="Y15" s="565"/>
      <c r="Z15" s="565"/>
      <c r="AA15" s="565" t="str">
        <f>IF(足元帳!Y13="","",足元帳!Y13)</f>
        <v/>
      </c>
      <c r="AB15" s="565"/>
      <c r="AC15" s="565"/>
      <c r="AD15" s="565" t="str">
        <f>IF(足元帳!Z13="","",足元帳!Z13)</f>
        <v/>
      </c>
      <c r="AE15" s="565"/>
      <c r="AF15" s="566"/>
      <c r="AG15" s="587" t="str">
        <f ca="1">IF(ISERROR(MATCH("●",足元帳!AD13:AM13,0)),IF(足元帳!AM13="","",足元帳!$AM$1&amp;足元帳!AM13),INDIRECT("足元帳!R1C"&amp;MATCH("●",足元帳!AD13:AM13,0)+29,FALSE))</f>
        <v/>
      </c>
      <c r="AH15" s="565"/>
      <c r="AI15" s="565"/>
      <c r="AJ15" s="565"/>
      <c r="AK15" s="565" t="str">
        <f>IF(足元帳!AT13="","",足元帳!AT13)</f>
        <v/>
      </c>
      <c r="AL15" s="565"/>
      <c r="AM15" s="565"/>
      <c r="AN15" s="565"/>
      <c r="AO15" s="565"/>
      <c r="AP15" s="565"/>
      <c r="AQ15" s="588"/>
    </row>
    <row r="16" spans="1:46" ht="22.5" customHeight="1">
      <c r="A16" s="586">
        <f t="shared" si="0"/>
        <v>13</v>
      </c>
      <c r="B16" s="566"/>
      <c r="C16" s="73" t="str">
        <f>IF(足元帳!AY14=1,"N",IF(足元帳!AY14=2,"R",""))</f>
        <v/>
      </c>
      <c r="D16" s="74" t="str">
        <f>IF(足元帳!AZ14&gt;0,VLOOKUP(足元帳!AZ14,管理シート!$CF$32:$CG$34,2,FALSE),"")</f>
        <v/>
      </c>
      <c r="E16" s="572" t="str">
        <f>IF(足元帳!BB14&gt;0,VLOOKUP(足元帳!BB14,管理シート!#REF!,2,FALSE),"")</f>
        <v/>
      </c>
      <c r="F16" s="573"/>
      <c r="G16" s="574">
        <f>足元帳!J14</f>
        <v>0</v>
      </c>
      <c r="H16" s="575"/>
      <c r="I16" s="574">
        <f>足元帳!K14</f>
        <v>0</v>
      </c>
      <c r="J16" s="576"/>
      <c r="K16" s="575"/>
      <c r="L16" s="73" t="str">
        <f ca="1">IF(足元帳!AB14="●","無",IF(足元帳!AC14="●","半",IF(AG16="周年","半",IF(AG16="プレ6","半",IF(AG16="6割","半","")))))</f>
        <v/>
      </c>
      <c r="M16" s="115" t="str">
        <f>IF(足元帳!AM14="","","○")&amp;IF(足元帳!AL14="","","○")</f>
        <v/>
      </c>
      <c r="N16" s="115" t="str">
        <f>IF(足元帳!AN14="","","○")</f>
        <v/>
      </c>
      <c r="O16" s="587" t="str">
        <f>IF(足元帳!U14="","",足元帳!U14)</f>
        <v/>
      </c>
      <c r="P16" s="565"/>
      <c r="Q16" s="565"/>
      <c r="R16" s="565" t="str">
        <f>IF(足元帳!V14="","",足元帳!V14)</f>
        <v/>
      </c>
      <c r="S16" s="565"/>
      <c r="T16" s="565"/>
      <c r="U16" s="565" t="str">
        <f>IF(足元帳!W14="","",足元帳!W14)</f>
        <v/>
      </c>
      <c r="V16" s="565"/>
      <c r="W16" s="565"/>
      <c r="X16" s="565" t="str">
        <f>IF(足元帳!X14="","",足元帳!X14)</f>
        <v/>
      </c>
      <c r="Y16" s="565"/>
      <c r="Z16" s="565"/>
      <c r="AA16" s="565" t="str">
        <f>IF(足元帳!Y14="","",足元帳!Y14)</f>
        <v/>
      </c>
      <c r="AB16" s="565"/>
      <c r="AC16" s="565"/>
      <c r="AD16" s="565" t="str">
        <f>IF(足元帳!Z14="","",足元帳!Z14)</f>
        <v/>
      </c>
      <c r="AE16" s="565"/>
      <c r="AF16" s="566"/>
      <c r="AG16" s="587" t="str">
        <f ca="1">IF(ISERROR(MATCH("●",足元帳!AD14:AM14,0)),IF(足元帳!AM14="","",足元帳!$AM$1&amp;足元帳!AM14),INDIRECT("足元帳!R1C"&amp;MATCH("●",足元帳!AD14:AM14,0)+29,FALSE))</f>
        <v/>
      </c>
      <c r="AH16" s="565"/>
      <c r="AI16" s="565"/>
      <c r="AJ16" s="565"/>
      <c r="AK16" s="565" t="str">
        <f>IF(足元帳!AT14="","",足元帳!AT14)</f>
        <v/>
      </c>
      <c r="AL16" s="565"/>
      <c r="AM16" s="565"/>
      <c r="AN16" s="565"/>
      <c r="AO16" s="565"/>
      <c r="AP16" s="565"/>
      <c r="AQ16" s="588"/>
    </row>
    <row r="17" spans="1:43" ht="22.5" customHeight="1">
      <c r="A17" s="586">
        <f t="shared" si="0"/>
        <v>14</v>
      </c>
      <c r="B17" s="566"/>
      <c r="C17" s="73" t="str">
        <f>IF(足元帳!AY15=1,"N",IF(足元帳!AY15=2,"R",""))</f>
        <v/>
      </c>
      <c r="D17" s="74" t="str">
        <f>IF(足元帳!AZ15&gt;0,VLOOKUP(足元帳!AZ15,管理シート!$CF$32:$CG$34,2,FALSE),"")</f>
        <v/>
      </c>
      <c r="E17" s="572" t="str">
        <f>IF(足元帳!BB15&gt;0,VLOOKUP(足元帳!BB15,管理シート!#REF!,2,FALSE),"")</f>
        <v/>
      </c>
      <c r="F17" s="573"/>
      <c r="G17" s="574">
        <f>足元帳!J15</f>
        <v>0</v>
      </c>
      <c r="H17" s="575"/>
      <c r="I17" s="574">
        <f>足元帳!K15</f>
        <v>0</v>
      </c>
      <c r="J17" s="576"/>
      <c r="K17" s="575"/>
      <c r="L17" s="73" t="str">
        <f ca="1">IF(足元帳!AB15="●","無",IF(足元帳!AC15="●","半",IF(AG17="周年","半",IF(AG17="プレ6","半",IF(AG17="6割","半","")))))</f>
        <v/>
      </c>
      <c r="M17" s="115" t="str">
        <f>IF(足元帳!AM15="","","○")&amp;IF(足元帳!AL15="","","○")</f>
        <v/>
      </c>
      <c r="N17" s="115" t="str">
        <f>IF(足元帳!AN15="","","○")</f>
        <v/>
      </c>
      <c r="O17" s="587" t="str">
        <f>IF(足元帳!U15="","",足元帳!U15)</f>
        <v/>
      </c>
      <c r="P17" s="565"/>
      <c r="Q17" s="565"/>
      <c r="R17" s="565" t="str">
        <f>IF(足元帳!V15="","",足元帳!V15)</f>
        <v/>
      </c>
      <c r="S17" s="565"/>
      <c r="T17" s="565"/>
      <c r="U17" s="565" t="str">
        <f>IF(足元帳!W15="","",足元帳!W15)</f>
        <v/>
      </c>
      <c r="V17" s="565"/>
      <c r="W17" s="565"/>
      <c r="X17" s="565" t="str">
        <f>IF(足元帳!X15="","",足元帳!X15)</f>
        <v/>
      </c>
      <c r="Y17" s="565"/>
      <c r="Z17" s="565"/>
      <c r="AA17" s="565" t="str">
        <f>IF(足元帳!Y15="","",足元帳!Y15)</f>
        <v/>
      </c>
      <c r="AB17" s="565"/>
      <c r="AC17" s="565"/>
      <c r="AD17" s="565" t="str">
        <f>IF(足元帳!Z15="","",足元帳!Z15)</f>
        <v/>
      </c>
      <c r="AE17" s="565"/>
      <c r="AF17" s="566"/>
      <c r="AG17" s="587" t="str">
        <f ca="1">IF(ISERROR(MATCH("●",足元帳!AD15:AM15,0)),IF(足元帳!AM15="","",足元帳!$AM$1&amp;足元帳!AM15),INDIRECT("足元帳!R1C"&amp;MATCH("●",足元帳!AD15:AM15,0)+29,FALSE))</f>
        <v/>
      </c>
      <c r="AH17" s="565"/>
      <c r="AI17" s="565"/>
      <c r="AJ17" s="565"/>
      <c r="AK17" s="565" t="str">
        <f>IF(足元帳!AT15="","",足元帳!AT15)</f>
        <v/>
      </c>
      <c r="AL17" s="565"/>
      <c r="AM17" s="565"/>
      <c r="AN17" s="565"/>
      <c r="AO17" s="565"/>
      <c r="AP17" s="565"/>
      <c r="AQ17" s="588"/>
    </row>
    <row r="18" spans="1:43" ht="22.5" customHeight="1">
      <c r="A18" s="586">
        <f t="shared" si="0"/>
        <v>15</v>
      </c>
      <c r="B18" s="566"/>
      <c r="C18" s="73" t="str">
        <f>IF(足元帳!AY16=1,"N",IF(足元帳!AY16=2,"R",""))</f>
        <v/>
      </c>
      <c r="D18" s="74" t="str">
        <f>IF(足元帳!AZ16&gt;0,VLOOKUP(足元帳!AZ16,管理シート!$CF$32:$CG$34,2,FALSE),"")</f>
        <v/>
      </c>
      <c r="E18" s="572" t="str">
        <f>IF(足元帳!BB16&gt;0,VLOOKUP(足元帳!BB16,管理シート!#REF!,2,FALSE),"")</f>
        <v/>
      </c>
      <c r="F18" s="573"/>
      <c r="G18" s="574">
        <f>足元帳!J16</f>
        <v>0</v>
      </c>
      <c r="H18" s="575"/>
      <c r="I18" s="574">
        <f>足元帳!K16</f>
        <v>0</v>
      </c>
      <c r="J18" s="576"/>
      <c r="K18" s="575"/>
      <c r="L18" s="73" t="str">
        <f ca="1">IF(足元帳!AB16="●","無",IF(足元帳!AC16="●","半",IF(AG18="周年","半",IF(AG18="プレ6","半",IF(AG18="6割","半","")))))</f>
        <v/>
      </c>
      <c r="M18" s="115" t="str">
        <f>IF(足元帳!AM16="","","○")&amp;IF(足元帳!AL16="","","○")</f>
        <v/>
      </c>
      <c r="N18" s="115" t="str">
        <f>IF(足元帳!AN16="","","○")</f>
        <v/>
      </c>
      <c r="O18" s="587" t="str">
        <f>IF(足元帳!U16="","",足元帳!U16)</f>
        <v/>
      </c>
      <c r="P18" s="565"/>
      <c r="Q18" s="565"/>
      <c r="R18" s="565" t="str">
        <f>IF(足元帳!V16="","",足元帳!V16)</f>
        <v/>
      </c>
      <c r="S18" s="565"/>
      <c r="T18" s="565"/>
      <c r="U18" s="565" t="str">
        <f>IF(足元帳!W16="","",足元帳!W16)</f>
        <v/>
      </c>
      <c r="V18" s="565"/>
      <c r="W18" s="565"/>
      <c r="X18" s="565" t="str">
        <f>IF(足元帳!X16="","",足元帳!X16)</f>
        <v/>
      </c>
      <c r="Y18" s="565"/>
      <c r="Z18" s="565"/>
      <c r="AA18" s="565" t="str">
        <f>IF(足元帳!Y16="","",足元帳!Y16)</f>
        <v/>
      </c>
      <c r="AB18" s="565"/>
      <c r="AC18" s="565"/>
      <c r="AD18" s="565" t="str">
        <f>IF(足元帳!Z16="","",足元帳!Z16)</f>
        <v/>
      </c>
      <c r="AE18" s="565"/>
      <c r="AF18" s="566"/>
      <c r="AG18" s="587" t="str">
        <f ca="1">IF(ISERROR(MATCH("●",足元帳!AD16:AM16,0)),IF(足元帳!AM16="","",足元帳!$AM$1&amp;足元帳!AM16),INDIRECT("足元帳!R1C"&amp;MATCH("●",足元帳!AD16:AM16,0)+29,FALSE))</f>
        <v/>
      </c>
      <c r="AH18" s="565"/>
      <c r="AI18" s="565"/>
      <c r="AJ18" s="565"/>
      <c r="AK18" s="565" t="str">
        <f>IF(足元帳!AT16="","",足元帳!AT16)</f>
        <v/>
      </c>
      <c r="AL18" s="565"/>
      <c r="AM18" s="565"/>
      <c r="AN18" s="565"/>
      <c r="AO18" s="565"/>
      <c r="AP18" s="565"/>
      <c r="AQ18" s="588"/>
    </row>
    <row r="19" spans="1:43" ht="22.5" customHeight="1">
      <c r="A19" s="586">
        <f t="shared" si="0"/>
        <v>16</v>
      </c>
      <c r="B19" s="566"/>
      <c r="C19" s="73" t="str">
        <f>IF(足元帳!AY17=1,"N",IF(足元帳!AY17=2,"R",""))</f>
        <v/>
      </c>
      <c r="D19" s="74" t="str">
        <f>IF(足元帳!AZ17&gt;0,VLOOKUP(足元帳!AZ17,管理シート!$CF$32:$CG$34,2,FALSE),"")</f>
        <v/>
      </c>
      <c r="E19" s="572" t="str">
        <f>IF(足元帳!BB17&gt;0,VLOOKUP(足元帳!BB17,管理シート!#REF!,2,FALSE),"")</f>
        <v/>
      </c>
      <c r="F19" s="573"/>
      <c r="G19" s="574">
        <f>足元帳!J17</f>
        <v>0</v>
      </c>
      <c r="H19" s="575"/>
      <c r="I19" s="574">
        <f>足元帳!K17</f>
        <v>0</v>
      </c>
      <c r="J19" s="576"/>
      <c r="K19" s="575"/>
      <c r="L19" s="73" t="str">
        <f ca="1">IF(足元帳!AB17="●","無",IF(足元帳!AC17="●","半",IF(AG19="周年","半",IF(AG19="プレ6","半",IF(AG19="6割","半","")))))</f>
        <v/>
      </c>
      <c r="M19" s="115" t="str">
        <f>IF(足元帳!AM17="","","○")&amp;IF(足元帳!AL17="","","○")</f>
        <v/>
      </c>
      <c r="N19" s="115" t="str">
        <f>IF(足元帳!AN17="","","○")</f>
        <v/>
      </c>
      <c r="O19" s="587" t="str">
        <f>IF(足元帳!U17="","",足元帳!U17)</f>
        <v/>
      </c>
      <c r="P19" s="565"/>
      <c r="Q19" s="565"/>
      <c r="R19" s="565" t="str">
        <f>IF(足元帳!V17="","",足元帳!V17)</f>
        <v/>
      </c>
      <c r="S19" s="565"/>
      <c r="T19" s="565"/>
      <c r="U19" s="565" t="str">
        <f>IF(足元帳!W17="","",足元帳!W17)</f>
        <v/>
      </c>
      <c r="V19" s="565"/>
      <c r="W19" s="565"/>
      <c r="X19" s="565" t="str">
        <f>IF(足元帳!X17="","",足元帳!X17)</f>
        <v/>
      </c>
      <c r="Y19" s="565"/>
      <c r="Z19" s="565"/>
      <c r="AA19" s="565" t="str">
        <f>IF(足元帳!Y17="","",足元帳!Y17)</f>
        <v/>
      </c>
      <c r="AB19" s="565"/>
      <c r="AC19" s="565"/>
      <c r="AD19" s="565" t="str">
        <f>IF(足元帳!Z17="","",足元帳!Z17)</f>
        <v/>
      </c>
      <c r="AE19" s="565"/>
      <c r="AF19" s="566"/>
      <c r="AG19" s="587" t="str">
        <f ca="1">IF(ISERROR(MATCH("●",足元帳!AD17:AM17,0)),IF(足元帳!AM17="","",足元帳!$AM$1&amp;足元帳!AM17),INDIRECT("足元帳!R1C"&amp;MATCH("●",足元帳!AD17:AM17,0)+29,FALSE))</f>
        <v/>
      </c>
      <c r="AH19" s="565"/>
      <c r="AI19" s="565"/>
      <c r="AJ19" s="565"/>
      <c r="AK19" s="565" t="str">
        <f>IF(足元帳!AT17="","",足元帳!AT17)</f>
        <v/>
      </c>
      <c r="AL19" s="565"/>
      <c r="AM19" s="565"/>
      <c r="AN19" s="565"/>
      <c r="AO19" s="565"/>
      <c r="AP19" s="565"/>
      <c r="AQ19" s="588"/>
    </row>
    <row r="20" spans="1:43" ht="22.5" customHeight="1">
      <c r="A20" s="586">
        <f t="shared" si="0"/>
        <v>17</v>
      </c>
      <c r="B20" s="566"/>
      <c r="C20" s="73" t="str">
        <f>IF(足元帳!AY18=1,"N",IF(足元帳!AY18=2,"R",""))</f>
        <v/>
      </c>
      <c r="D20" s="74" t="str">
        <f>IF(足元帳!AZ18&gt;0,VLOOKUP(足元帳!AZ18,管理シート!$CF$32:$CG$34,2,FALSE),"")</f>
        <v/>
      </c>
      <c r="E20" s="572" t="str">
        <f>IF(足元帳!BB18&gt;0,VLOOKUP(足元帳!BB18,管理シート!#REF!,2,FALSE),"")</f>
        <v/>
      </c>
      <c r="F20" s="573"/>
      <c r="G20" s="574">
        <f>足元帳!J18</f>
        <v>0</v>
      </c>
      <c r="H20" s="575"/>
      <c r="I20" s="574">
        <f>足元帳!K18</f>
        <v>0</v>
      </c>
      <c r="J20" s="576"/>
      <c r="K20" s="575"/>
      <c r="L20" s="73" t="str">
        <f ca="1">IF(足元帳!AB18="●","無",IF(足元帳!AC18="●","半",IF(AG20="周年","半",IF(AG20="プレ6","半",IF(AG20="6割","半","")))))</f>
        <v/>
      </c>
      <c r="M20" s="115" t="str">
        <f>IF(足元帳!AM18="","","○")&amp;IF(足元帳!AL18="","","○")</f>
        <v/>
      </c>
      <c r="N20" s="115" t="str">
        <f>IF(足元帳!AN18="","","○")</f>
        <v/>
      </c>
      <c r="O20" s="587" t="str">
        <f>IF(足元帳!U18="","",足元帳!U18)</f>
        <v/>
      </c>
      <c r="P20" s="565"/>
      <c r="Q20" s="565"/>
      <c r="R20" s="565" t="str">
        <f>IF(足元帳!V18="","",足元帳!V18)</f>
        <v/>
      </c>
      <c r="S20" s="565"/>
      <c r="T20" s="565"/>
      <c r="U20" s="565" t="str">
        <f>IF(足元帳!W18="","",足元帳!W18)</f>
        <v/>
      </c>
      <c r="V20" s="565"/>
      <c r="W20" s="565"/>
      <c r="X20" s="565" t="str">
        <f>IF(足元帳!X18="","",足元帳!X18)</f>
        <v/>
      </c>
      <c r="Y20" s="565"/>
      <c r="Z20" s="565"/>
      <c r="AA20" s="565" t="str">
        <f>IF(足元帳!Y18="","",足元帳!Y18)</f>
        <v/>
      </c>
      <c r="AB20" s="565"/>
      <c r="AC20" s="565"/>
      <c r="AD20" s="565" t="str">
        <f>IF(足元帳!Z18="","",足元帳!Z18)</f>
        <v/>
      </c>
      <c r="AE20" s="565"/>
      <c r="AF20" s="566"/>
      <c r="AG20" s="587" t="str">
        <f ca="1">IF(ISERROR(MATCH("●",足元帳!AD18:AM18,0)),IF(足元帳!AM18="","",足元帳!$AM$1&amp;足元帳!AM18),INDIRECT("足元帳!R1C"&amp;MATCH("●",足元帳!AD18:AM18,0)+29,FALSE))</f>
        <v/>
      </c>
      <c r="AH20" s="565"/>
      <c r="AI20" s="565"/>
      <c r="AJ20" s="565"/>
      <c r="AK20" s="565" t="str">
        <f>IF(足元帳!AT18="","",足元帳!AT18)</f>
        <v/>
      </c>
      <c r="AL20" s="565"/>
      <c r="AM20" s="565"/>
      <c r="AN20" s="565"/>
      <c r="AO20" s="565"/>
      <c r="AP20" s="565"/>
      <c r="AQ20" s="588"/>
    </row>
    <row r="21" spans="1:43" ht="22.5" customHeight="1">
      <c r="A21" s="586">
        <f t="shared" si="0"/>
        <v>18</v>
      </c>
      <c r="B21" s="566"/>
      <c r="C21" s="73" t="str">
        <f>IF(足元帳!AY19=1,"N",IF(足元帳!AY19=2,"R",""))</f>
        <v/>
      </c>
      <c r="D21" s="74" t="str">
        <f>IF(足元帳!AZ19&gt;0,VLOOKUP(足元帳!AZ19,管理シート!$CF$32:$CG$34,2,FALSE),"")</f>
        <v/>
      </c>
      <c r="E21" s="572" t="str">
        <f>IF(足元帳!BB19&gt;0,VLOOKUP(足元帳!BB19,管理シート!#REF!,2,FALSE),"")</f>
        <v/>
      </c>
      <c r="F21" s="573"/>
      <c r="G21" s="574">
        <f>足元帳!J19</f>
        <v>0</v>
      </c>
      <c r="H21" s="575"/>
      <c r="I21" s="574">
        <f>足元帳!K19</f>
        <v>0</v>
      </c>
      <c r="J21" s="576"/>
      <c r="K21" s="575"/>
      <c r="L21" s="73" t="str">
        <f ca="1">IF(足元帳!AB19="●","無",IF(足元帳!AC19="●","半",IF(AG21="周年","半",IF(AG21="プレ6","半",IF(AG21="6割","半","")))))</f>
        <v/>
      </c>
      <c r="M21" s="115" t="str">
        <f>IF(足元帳!AM19="","","○")&amp;IF(足元帳!AL19="","","○")</f>
        <v/>
      </c>
      <c r="N21" s="115" t="str">
        <f>IF(足元帳!AN19="","","○")</f>
        <v/>
      </c>
      <c r="O21" s="587" t="str">
        <f>IF(足元帳!U19="","",足元帳!U19)</f>
        <v/>
      </c>
      <c r="P21" s="565"/>
      <c r="Q21" s="565"/>
      <c r="R21" s="565" t="str">
        <f>IF(足元帳!V19="","",足元帳!V19)</f>
        <v/>
      </c>
      <c r="S21" s="565"/>
      <c r="T21" s="565"/>
      <c r="U21" s="565" t="str">
        <f>IF(足元帳!W19="","",足元帳!W19)</f>
        <v/>
      </c>
      <c r="V21" s="565"/>
      <c r="W21" s="565"/>
      <c r="X21" s="565" t="str">
        <f>IF(足元帳!X19="","",足元帳!X19)</f>
        <v/>
      </c>
      <c r="Y21" s="565"/>
      <c r="Z21" s="565"/>
      <c r="AA21" s="565" t="str">
        <f>IF(足元帳!Y19="","",足元帳!Y19)</f>
        <v/>
      </c>
      <c r="AB21" s="565"/>
      <c r="AC21" s="565"/>
      <c r="AD21" s="565" t="str">
        <f>IF(足元帳!Z19="","",足元帳!Z19)</f>
        <v/>
      </c>
      <c r="AE21" s="565"/>
      <c r="AF21" s="566"/>
      <c r="AG21" s="587" t="str">
        <f ca="1">IF(ISERROR(MATCH("●",足元帳!AD19:AM19,0)),IF(足元帳!AM19="","",足元帳!$AM$1&amp;足元帳!AM19),INDIRECT("足元帳!R1C"&amp;MATCH("●",足元帳!AD19:AM19,0)+29,FALSE))</f>
        <v/>
      </c>
      <c r="AH21" s="565"/>
      <c r="AI21" s="565"/>
      <c r="AJ21" s="565"/>
      <c r="AK21" s="565" t="str">
        <f>IF(足元帳!AT19="","",足元帳!AT19)</f>
        <v/>
      </c>
      <c r="AL21" s="565"/>
      <c r="AM21" s="565"/>
      <c r="AN21" s="565"/>
      <c r="AO21" s="565"/>
      <c r="AP21" s="565"/>
      <c r="AQ21" s="588"/>
    </row>
    <row r="22" spans="1:43" ht="22.5" customHeight="1">
      <c r="A22" s="586">
        <f t="shared" si="0"/>
        <v>19</v>
      </c>
      <c r="B22" s="566"/>
      <c r="C22" s="73" t="str">
        <f>IF(足元帳!AY20=1,"N",IF(足元帳!AY20=2,"R",""))</f>
        <v/>
      </c>
      <c r="D22" s="74" t="str">
        <f>IF(足元帳!AZ20&gt;0,VLOOKUP(足元帳!AZ20,管理シート!$CF$32:$CG$34,2,FALSE),"")</f>
        <v/>
      </c>
      <c r="E22" s="572" t="str">
        <f>IF(足元帳!BB20&gt;0,VLOOKUP(足元帳!BB20,管理シート!#REF!,2,FALSE),"")</f>
        <v/>
      </c>
      <c r="F22" s="573"/>
      <c r="G22" s="574">
        <f>足元帳!J20</f>
        <v>0</v>
      </c>
      <c r="H22" s="575"/>
      <c r="I22" s="574">
        <f>足元帳!K20</f>
        <v>0</v>
      </c>
      <c r="J22" s="576"/>
      <c r="K22" s="575"/>
      <c r="L22" s="73" t="str">
        <f ca="1">IF(足元帳!AB20="●","無",IF(足元帳!AC20="●","半",IF(AG22="周年","半",IF(AG22="プレ6","半",IF(AG22="6割","半","")))))</f>
        <v/>
      </c>
      <c r="M22" s="115" t="str">
        <f>IF(足元帳!AM20="","","○")&amp;IF(足元帳!AL20="","","○")</f>
        <v/>
      </c>
      <c r="N22" s="115" t="str">
        <f>IF(足元帳!AN20="","","○")</f>
        <v/>
      </c>
      <c r="O22" s="587" t="str">
        <f>IF(足元帳!U20="","",足元帳!U20)</f>
        <v/>
      </c>
      <c r="P22" s="565"/>
      <c r="Q22" s="565"/>
      <c r="R22" s="565" t="str">
        <f>IF(足元帳!V20="","",足元帳!V20)</f>
        <v/>
      </c>
      <c r="S22" s="565"/>
      <c r="T22" s="565"/>
      <c r="U22" s="565" t="str">
        <f>IF(足元帳!W20="","",足元帳!W20)</f>
        <v/>
      </c>
      <c r="V22" s="565"/>
      <c r="W22" s="565"/>
      <c r="X22" s="565" t="str">
        <f>IF(足元帳!X20="","",足元帳!X20)</f>
        <v/>
      </c>
      <c r="Y22" s="565"/>
      <c r="Z22" s="565"/>
      <c r="AA22" s="565" t="str">
        <f>IF(足元帳!Y20="","",足元帳!Y20)</f>
        <v/>
      </c>
      <c r="AB22" s="565"/>
      <c r="AC22" s="565"/>
      <c r="AD22" s="565" t="str">
        <f>IF(足元帳!Z20="","",足元帳!Z20)</f>
        <v/>
      </c>
      <c r="AE22" s="565"/>
      <c r="AF22" s="566"/>
      <c r="AG22" s="587" t="str">
        <f ca="1">IF(ISERROR(MATCH("●",足元帳!AD20:AM20,0)),IF(足元帳!AM20="","",足元帳!$AM$1&amp;足元帳!AM20),INDIRECT("足元帳!R1C"&amp;MATCH("●",足元帳!AD20:AM20,0)+29,FALSE))</f>
        <v/>
      </c>
      <c r="AH22" s="565"/>
      <c r="AI22" s="565"/>
      <c r="AJ22" s="565"/>
      <c r="AK22" s="565" t="str">
        <f>IF(足元帳!AT20="","",足元帳!AT20)</f>
        <v/>
      </c>
      <c r="AL22" s="565"/>
      <c r="AM22" s="565"/>
      <c r="AN22" s="565"/>
      <c r="AO22" s="565"/>
      <c r="AP22" s="565"/>
      <c r="AQ22" s="588"/>
    </row>
    <row r="23" spans="1:43" ht="22.5" customHeight="1">
      <c r="A23" s="586">
        <f t="shared" si="0"/>
        <v>20</v>
      </c>
      <c r="B23" s="566"/>
      <c r="C23" s="73" t="str">
        <f>IF(足元帳!AY21=1,"N",IF(足元帳!AY21=2,"R",""))</f>
        <v/>
      </c>
      <c r="D23" s="74" t="str">
        <f>IF(足元帳!AZ21&gt;0,VLOOKUP(足元帳!AZ21,管理シート!$CF$32:$CG$34,2,FALSE),"")</f>
        <v/>
      </c>
      <c r="E23" s="572" t="str">
        <f>IF(足元帳!BB21&gt;0,VLOOKUP(足元帳!BB21,管理シート!#REF!,2,FALSE),"")</f>
        <v/>
      </c>
      <c r="F23" s="573"/>
      <c r="G23" s="574">
        <f>足元帳!J21</f>
        <v>0</v>
      </c>
      <c r="H23" s="575"/>
      <c r="I23" s="574">
        <f>足元帳!K21</f>
        <v>0</v>
      </c>
      <c r="J23" s="576"/>
      <c r="K23" s="575"/>
      <c r="L23" s="73" t="str">
        <f ca="1">IF(足元帳!AB21="●","無",IF(足元帳!AC21="●","半",IF(AG23="周年","半",IF(AG23="プレ6","半",IF(AG23="6割","半","")))))</f>
        <v/>
      </c>
      <c r="M23" s="115" t="str">
        <f>IF(足元帳!AM21="","","○")&amp;IF(足元帳!AL21="","","○")</f>
        <v/>
      </c>
      <c r="N23" s="115" t="str">
        <f>IF(足元帳!AN21="","","○")</f>
        <v/>
      </c>
      <c r="O23" s="587" t="str">
        <f>IF(足元帳!U21="","",足元帳!U21)</f>
        <v/>
      </c>
      <c r="P23" s="565"/>
      <c r="Q23" s="565"/>
      <c r="R23" s="565" t="str">
        <f>IF(足元帳!V21="","",足元帳!V21)</f>
        <v/>
      </c>
      <c r="S23" s="565"/>
      <c r="T23" s="565"/>
      <c r="U23" s="565" t="str">
        <f>IF(足元帳!W21="","",足元帳!W21)</f>
        <v/>
      </c>
      <c r="V23" s="565"/>
      <c r="W23" s="565"/>
      <c r="X23" s="565" t="str">
        <f>IF(足元帳!X21="","",足元帳!X21)</f>
        <v/>
      </c>
      <c r="Y23" s="565"/>
      <c r="Z23" s="565"/>
      <c r="AA23" s="565" t="str">
        <f>IF(足元帳!Y21="","",足元帳!Y21)</f>
        <v/>
      </c>
      <c r="AB23" s="565"/>
      <c r="AC23" s="565"/>
      <c r="AD23" s="565" t="str">
        <f>IF(足元帳!Z21="","",足元帳!Z21)</f>
        <v/>
      </c>
      <c r="AE23" s="565"/>
      <c r="AF23" s="566"/>
      <c r="AG23" s="587" t="str">
        <f ca="1">IF(ISERROR(MATCH("●",足元帳!AD21:AM21,0)),IF(足元帳!AM21="","",足元帳!$AM$1&amp;足元帳!AM21),INDIRECT("足元帳!R1C"&amp;MATCH("●",足元帳!AD21:AM21,0)+29,FALSE))</f>
        <v/>
      </c>
      <c r="AH23" s="565"/>
      <c r="AI23" s="565"/>
      <c r="AJ23" s="565"/>
      <c r="AK23" s="565" t="str">
        <f>IF(足元帳!AT21="","",足元帳!AT21)</f>
        <v/>
      </c>
      <c r="AL23" s="565"/>
      <c r="AM23" s="565"/>
      <c r="AN23" s="565"/>
      <c r="AO23" s="565"/>
      <c r="AP23" s="565"/>
      <c r="AQ23" s="588"/>
    </row>
    <row r="24" spans="1:43" ht="22.5" customHeight="1">
      <c r="A24" s="586">
        <f t="shared" si="0"/>
        <v>21</v>
      </c>
      <c r="B24" s="566"/>
      <c r="C24" s="73" t="str">
        <f>IF(足元帳!AY22=1,"N",IF(足元帳!AY22=2,"R",""))</f>
        <v/>
      </c>
      <c r="D24" s="74" t="str">
        <f>IF(足元帳!AZ22&gt;0,VLOOKUP(足元帳!AZ22,管理シート!$CF$32:$CG$34,2,FALSE),"")</f>
        <v/>
      </c>
      <c r="E24" s="572" t="str">
        <f>IF(足元帳!BB22&gt;0,VLOOKUP(足元帳!BB22,管理シート!#REF!,2,FALSE),"")</f>
        <v/>
      </c>
      <c r="F24" s="573"/>
      <c r="G24" s="574">
        <f>足元帳!J22</f>
        <v>0</v>
      </c>
      <c r="H24" s="575"/>
      <c r="I24" s="574">
        <f>足元帳!K22</f>
        <v>0</v>
      </c>
      <c r="J24" s="576"/>
      <c r="K24" s="575"/>
      <c r="L24" s="73" t="str">
        <f ca="1">IF(足元帳!AB22="●","無",IF(足元帳!AC22="●","半",IF(AG24="周年","半",IF(AG24="プレ6","半",IF(AG24="6割","半","")))))</f>
        <v/>
      </c>
      <c r="M24" s="115" t="str">
        <f>IF(足元帳!AM22="","","○")&amp;IF(足元帳!AL22="","","○")</f>
        <v/>
      </c>
      <c r="N24" s="115" t="str">
        <f>IF(足元帳!AN22="","","○")</f>
        <v/>
      </c>
      <c r="O24" s="587" t="str">
        <f>IF(足元帳!U22="","",足元帳!U22)</f>
        <v/>
      </c>
      <c r="P24" s="565"/>
      <c r="Q24" s="565"/>
      <c r="R24" s="565" t="str">
        <f>IF(足元帳!V22="","",足元帳!V22)</f>
        <v/>
      </c>
      <c r="S24" s="565"/>
      <c r="T24" s="565"/>
      <c r="U24" s="565" t="str">
        <f>IF(足元帳!W22="","",足元帳!W22)</f>
        <v/>
      </c>
      <c r="V24" s="565"/>
      <c r="W24" s="565"/>
      <c r="X24" s="565" t="str">
        <f>IF(足元帳!X22="","",足元帳!X22)</f>
        <v/>
      </c>
      <c r="Y24" s="565"/>
      <c r="Z24" s="565"/>
      <c r="AA24" s="565" t="str">
        <f>IF(足元帳!Y22="","",足元帳!Y22)</f>
        <v/>
      </c>
      <c r="AB24" s="565"/>
      <c r="AC24" s="565"/>
      <c r="AD24" s="565" t="str">
        <f>IF(足元帳!Z22="","",足元帳!Z22)</f>
        <v/>
      </c>
      <c r="AE24" s="565"/>
      <c r="AF24" s="566"/>
      <c r="AG24" s="587" t="str">
        <f ca="1">IF(ISERROR(MATCH("●",足元帳!AD22:AM22,0)),IF(足元帳!AM22="","",足元帳!$AM$1&amp;足元帳!AM22),INDIRECT("足元帳!R1C"&amp;MATCH("●",足元帳!AD22:AM22,0)+29,FALSE))</f>
        <v/>
      </c>
      <c r="AH24" s="565"/>
      <c r="AI24" s="565"/>
      <c r="AJ24" s="565"/>
      <c r="AK24" s="565" t="str">
        <f>IF(足元帳!AT22="","",足元帳!AT22)</f>
        <v/>
      </c>
      <c r="AL24" s="565"/>
      <c r="AM24" s="565"/>
      <c r="AN24" s="565"/>
      <c r="AO24" s="565"/>
      <c r="AP24" s="565"/>
      <c r="AQ24" s="588"/>
    </row>
    <row r="25" spans="1:43" ht="22.5" customHeight="1">
      <c r="A25" s="586">
        <f t="shared" si="0"/>
        <v>22</v>
      </c>
      <c r="B25" s="566"/>
      <c r="C25" s="73" t="str">
        <f>IF(足元帳!AY23=1,"N",IF(足元帳!AY23=2,"R",""))</f>
        <v/>
      </c>
      <c r="D25" s="74" t="str">
        <f>IF(足元帳!AZ23&gt;0,VLOOKUP(足元帳!AZ23,管理シート!$CF$32:$CG$34,2,FALSE),"")</f>
        <v/>
      </c>
      <c r="E25" s="572" t="str">
        <f>IF(足元帳!BB23&gt;0,VLOOKUP(足元帳!BB23,管理シート!#REF!,2,FALSE),"")</f>
        <v/>
      </c>
      <c r="F25" s="573"/>
      <c r="G25" s="574">
        <f>足元帳!J23</f>
        <v>0</v>
      </c>
      <c r="H25" s="575"/>
      <c r="I25" s="574">
        <f>足元帳!K23</f>
        <v>0</v>
      </c>
      <c r="J25" s="576"/>
      <c r="K25" s="575"/>
      <c r="L25" s="73" t="str">
        <f ca="1">IF(足元帳!AB23="●","無",IF(足元帳!AC23="●","半",IF(AG25="周年","半",IF(AG25="プレ6","半",IF(AG25="6割","半","")))))</f>
        <v/>
      </c>
      <c r="M25" s="115" t="str">
        <f>IF(足元帳!AM23="","","○")&amp;IF(足元帳!AL23="","","○")</f>
        <v/>
      </c>
      <c r="N25" s="115" t="str">
        <f>IF(足元帳!AN23="","","○")</f>
        <v/>
      </c>
      <c r="O25" s="587" t="str">
        <f>IF(足元帳!U23="","",足元帳!U23)</f>
        <v/>
      </c>
      <c r="P25" s="565"/>
      <c r="Q25" s="565"/>
      <c r="R25" s="565" t="str">
        <f>IF(足元帳!V23="","",足元帳!V23)</f>
        <v/>
      </c>
      <c r="S25" s="565"/>
      <c r="T25" s="565"/>
      <c r="U25" s="565" t="str">
        <f>IF(足元帳!W23="","",足元帳!W23)</f>
        <v/>
      </c>
      <c r="V25" s="565"/>
      <c r="W25" s="565"/>
      <c r="X25" s="565" t="str">
        <f>IF(足元帳!X23="","",足元帳!X23)</f>
        <v/>
      </c>
      <c r="Y25" s="565"/>
      <c r="Z25" s="565"/>
      <c r="AA25" s="565" t="str">
        <f>IF(足元帳!Y23="","",足元帳!Y23)</f>
        <v/>
      </c>
      <c r="AB25" s="565"/>
      <c r="AC25" s="565"/>
      <c r="AD25" s="565" t="str">
        <f>IF(足元帳!Z23="","",足元帳!Z23)</f>
        <v/>
      </c>
      <c r="AE25" s="565"/>
      <c r="AF25" s="566"/>
      <c r="AG25" s="587" t="str">
        <f ca="1">IF(ISERROR(MATCH("●",足元帳!AD23:AM23,0)),IF(足元帳!AM23="","",足元帳!$AM$1&amp;足元帳!AM23),INDIRECT("足元帳!R1C"&amp;MATCH("●",足元帳!AD23:AM23,0)+29,FALSE))</f>
        <v/>
      </c>
      <c r="AH25" s="565"/>
      <c r="AI25" s="565"/>
      <c r="AJ25" s="565"/>
      <c r="AK25" s="565" t="str">
        <f>IF(足元帳!AT23="","",足元帳!AT23)</f>
        <v/>
      </c>
      <c r="AL25" s="565"/>
      <c r="AM25" s="565"/>
      <c r="AN25" s="565"/>
      <c r="AO25" s="565"/>
      <c r="AP25" s="565"/>
      <c r="AQ25" s="588"/>
    </row>
    <row r="26" spans="1:43" ht="22.5" customHeight="1">
      <c r="A26" s="586">
        <f t="shared" si="0"/>
        <v>23</v>
      </c>
      <c r="B26" s="566"/>
      <c r="C26" s="73" t="str">
        <f>IF(足元帳!AY24=1,"N",IF(足元帳!AY24=2,"R",""))</f>
        <v/>
      </c>
      <c r="D26" s="74" t="str">
        <f>IF(足元帳!AZ24&gt;0,VLOOKUP(足元帳!AZ24,管理シート!$CF$32:$CG$34,2,FALSE),"")</f>
        <v/>
      </c>
      <c r="E26" s="572" t="str">
        <f>IF(足元帳!BB24&gt;0,VLOOKUP(足元帳!BB24,管理シート!#REF!,2,FALSE),"")</f>
        <v/>
      </c>
      <c r="F26" s="573"/>
      <c r="G26" s="574">
        <f>足元帳!J24</f>
        <v>0</v>
      </c>
      <c r="H26" s="575"/>
      <c r="I26" s="574">
        <f>足元帳!K24</f>
        <v>0</v>
      </c>
      <c r="J26" s="576"/>
      <c r="K26" s="575"/>
      <c r="L26" s="73" t="str">
        <f ca="1">IF(足元帳!AB24="●","無",IF(足元帳!AC24="●","半",IF(AG26="周年","半",IF(AG26="プレ6","半",IF(AG26="6割","半","")))))</f>
        <v/>
      </c>
      <c r="M26" s="115" t="str">
        <f>IF(足元帳!AM24="","","○")&amp;IF(足元帳!AL24="","","○")</f>
        <v/>
      </c>
      <c r="N26" s="115" t="str">
        <f>IF(足元帳!AN24="","","○")</f>
        <v/>
      </c>
      <c r="O26" s="587" t="str">
        <f>IF(足元帳!U24="","",足元帳!U24)</f>
        <v/>
      </c>
      <c r="P26" s="565"/>
      <c r="Q26" s="565"/>
      <c r="R26" s="565" t="str">
        <f>IF(足元帳!V24="","",足元帳!V24)</f>
        <v/>
      </c>
      <c r="S26" s="565"/>
      <c r="T26" s="565"/>
      <c r="U26" s="565" t="str">
        <f>IF(足元帳!W24="","",足元帳!W24)</f>
        <v/>
      </c>
      <c r="V26" s="565"/>
      <c r="W26" s="565"/>
      <c r="X26" s="565" t="str">
        <f>IF(足元帳!X24="","",足元帳!X24)</f>
        <v/>
      </c>
      <c r="Y26" s="565"/>
      <c r="Z26" s="565"/>
      <c r="AA26" s="565" t="str">
        <f>IF(足元帳!Y24="","",足元帳!Y24)</f>
        <v/>
      </c>
      <c r="AB26" s="565"/>
      <c r="AC26" s="565"/>
      <c r="AD26" s="565" t="str">
        <f>IF(足元帳!Z24="","",足元帳!Z24)</f>
        <v/>
      </c>
      <c r="AE26" s="565"/>
      <c r="AF26" s="566"/>
      <c r="AG26" s="587" t="str">
        <f ca="1">IF(ISERROR(MATCH("●",足元帳!AD24:AM24,0)),IF(足元帳!AM24="","",足元帳!$AM$1&amp;足元帳!AM24),INDIRECT("足元帳!R1C"&amp;MATCH("●",足元帳!AD24:AM24,0)+29,FALSE))</f>
        <v/>
      </c>
      <c r="AH26" s="565"/>
      <c r="AI26" s="565"/>
      <c r="AJ26" s="565"/>
      <c r="AK26" s="565" t="str">
        <f>IF(足元帳!AT24="","",足元帳!AT24)</f>
        <v/>
      </c>
      <c r="AL26" s="565"/>
      <c r="AM26" s="565"/>
      <c r="AN26" s="565"/>
      <c r="AO26" s="565"/>
      <c r="AP26" s="565"/>
      <c r="AQ26" s="588"/>
    </row>
    <row r="27" spans="1:43" ht="22.5" customHeight="1">
      <c r="A27" s="586">
        <f t="shared" si="0"/>
        <v>24</v>
      </c>
      <c r="B27" s="566"/>
      <c r="C27" s="73" t="str">
        <f>IF(足元帳!AY25=1,"N",IF(足元帳!AY25=2,"R",""))</f>
        <v/>
      </c>
      <c r="D27" s="74" t="str">
        <f>IF(足元帳!AZ25&gt;0,VLOOKUP(足元帳!AZ25,管理シート!$CF$32:$CG$34,2,FALSE),"")</f>
        <v/>
      </c>
      <c r="E27" s="572" t="str">
        <f>IF(足元帳!BB25&gt;0,VLOOKUP(足元帳!BB25,管理シート!#REF!,2,FALSE),"")</f>
        <v/>
      </c>
      <c r="F27" s="573"/>
      <c r="G27" s="574">
        <f>足元帳!J25</f>
        <v>0</v>
      </c>
      <c r="H27" s="575"/>
      <c r="I27" s="574">
        <f>足元帳!K25</f>
        <v>0</v>
      </c>
      <c r="J27" s="576"/>
      <c r="K27" s="575"/>
      <c r="L27" s="73" t="str">
        <f ca="1">IF(足元帳!AB25="●","無",IF(足元帳!AC25="●","半",IF(AG27="周年","半",IF(AG27="プレ6","半",IF(AG27="6割","半","")))))</f>
        <v/>
      </c>
      <c r="M27" s="115" t="str">
        <f>IF(足元帳!AM25="","","○")&amp;IF(足元帳!AL25="","","○")</f>
        <v/>
      </c>
      <c r="N27" s="115" t="str">
        <f>IF(足元帳!AN25="","","○")</f>
        <v/>
      </c>
      <c r="O27" s="587" t="str">
        <f>IF(足元帳!U25="","",足元帳!U25)</f>
        <v/>
      </c>
      <c r="P27" s="565"/>
      <c r="Q27" s="565"/>
      <c r="R27" s="565" t="str">
        <f>IF(足元帳!V25="","",足元帳!V25)</f>
        <v/>
      </c>
      <c r="S27" s="565"/>
      <c r="T27" s="565"/>
      <c r="U27" s="565" t="str">
        <f>IF(足元帳!W25="","",足元帳!W25)</f>
        <v/>
      </c>
      <c r="V27" s="565"/>
      <c r="W27" s="565"/>
      <c r="X27" s="565" t="str">
        <f>IF(足元帳!X25="","",足元帳!X25)</f>
        <v/>
      </c>
      <c r="Y27" s="565"/>
      <c r="Z27" s="565"/>
      <c r="AA27" s="565" t="str">
        <f>IF(足元帳!Y25="","",足元帳!Y25)</f>
        <v/>
      </c>
      <c r="AB27" s="565"/>
      <c r="AC27" s="565"/>
      <c r="AD27" s="565" t="str">
        <f>IF(足元帳!Z25="","",足元帳!Z25)</f>
        <v/>
      </c>
      <c r="AE27" s="565"/>
      <c r="AF27" s="566"/>
      <c r="AG27" s="587" t="str">
        <f ca="1">IF(ISERROR(MATCH("●",足元帳!AD25:AM25,0)),IF(足元帳!AM25="","",足元帳!$AM$1&amp;足元帳!AM25),INDIRECT("足元帳!R1C"&amp;MATCH("●",足元帳!AD25:AM25,0)+29,FALSE))</f>
        <v/>
      </c>
      <c r="AH27" s="565"/>
      <c r="AI27" s="565"/>
      <c r="AJ27" s="565"/>
      <c r="AK27" s="565" t="str">
        <f>IF(足元帳!AT25="","",足元帳!AT25)</f>
        <v/>
      </c>
      <c r="AL27" s="565"/>
      <c r="AM27" s="565"/>
      <c r="AN27" s="565"/>
      <c r="AO27" s="565"/>
      <c r="AP27" s="565"/>
      <c r="AQ27" s="588"/>
    </row>
    <row r="28" spans="1:43" ht="22.5" customHeight="1">
      <c r="A28" s="586">
        <f t="shared" si="0"/>
        <v>25</v>
      </c>
      <c r="B28" s="566"/>
      <c r="C28" s="73" t="str">
        <f>IF(足元帳!AY26=1,"N",IF(足元帳!AY26=2,"R",""))</f>
        <v/>
      </c>
      <c r="D28" s="74" t="str">
        <f>IF(足元帳!AZ26&gt;0,VLOOKUP(足元帳!AZ26,管理シート!$CF$32:$CG$34,2,FALSE),"")</f>
        <v/>
      </c>
      <c r="E28" s="572" t="str">
        <f>IF(足元帳!BB26&gt;0,VLOOKUP(足元帳!BB26,管理シート!#REF!,2,FALSE),"")</f>
        <v/>
      </c>
      <c r="F28" s="573"/>
      <c r="G28" s="574">
        <f>足元帳!J26</f>
        <v>0</v>
      </c>
      <c r="H28" s="575"/>
      <c r="I28" s="574">
        <f>足元帳!K26</f>
        <v>0</v>
      </c>
      <c r="J28" s="576"/>
      <c r="K28" s="575"/>
      <c r="L28" s="73" t="str">
        <f ca="1">IF(足元帳!AB26="●","無",IF(足元帳!AC26="●","半",IF(AG28="周年","半",IF(AG28="プレ6","半",IF(AG28="6割","半","")))))</f>
        <v/>
      </c>
      <c r="M28" s="115" t="str">
        <f>IF(足元帳!AM26="","","○")&amp;IF(足元帳!AL26="","","○")</f>
        <v/>
      </c>
      <c r="N28" s="115" t="str">
        <f>IF(足元帳!AN26="","","○")</f>
        <v/>
      </c>
      <c r="O28" s="587" t="str">
        <f>IF(足元帳!U26="","",足元帳!U26)</f>
        <v/>
      </c>
      <c r="P28" s="565"/>
      <c r="Q28" s="565"/>
      <c r="R28" s="565" t="str">
        <f>IF(足元帳!V26="","",足元帳!V26)</f>
        <v/>
      </c>
      <c r="S28" s="565"/>
      <c r="T28" s="565"/>
      <c r="U28" s="565" t="str">
        <f>IF(足元帳!W26="","",足元帳!W26)</f>
        <v/>
      </c>
      <c r="V28" s="565"/>
      <c r="W28" s="565"/>
      <c r="X28" s="565" t="str">
        <f>IF(足元帳!X26="","",足元帳!X26)</f>
        <v/>
      </c>
      <c r="Y28" s="565"/>
      <c r="Z28" s="565"/>
      <c r="AA28" s="565" t="str">
        <f>IF(足元帳!Y26="","",足元帳!Y26)</f>
        <v/>
      </c>
      <c r="AB28" s="565"/>
      <c r="AC28" s="565"/>
      <c r="AD28" s="565" t="str">
        <f>IF(足元帳!Z26="","",足元帳!Z26)</f>
        <v/>
      </c>
      <c r="AE28" s="565"/>
      <c r="AF28" s="566"/>
      <c r="AG28" s="587" t="str">
        <f ca="1">IF(ISERROR(MATCH("●",足元帳!AD26:AM26,0)),IF(足元帳!AM26="","",足元帳!$AM$1&amp;足元帳!AM26),INDIRECT("足元帳!R1C"&amp;MATCH("●",足元帳!AD26:AM26,0)+29,FALSE))</f>
        <v/>
      </c>
      <c r="AH28" s="565"/>
      <c r="AI28" s="565"/>
      <c r="AJ28" s="565"/>
      <c r="AK28" s="565" t="str">
        <f>IF(足元帳!AT26="","",足元帳!AT26)</f>
        <v/>
      </c>
      <c r="AL28" s="565"/>
      <c r="AM28" s="565"/>
      <c r="AN28" s="565"/>
      <c r="AO28" s="565"/>
      <c r="AP28" s="565"/>
      <c r="AQ28" s="588"/>
    </row>
    <row r="29" spans="1:43" ht="22.5" customHeight="1">
      <c r="A29" s="586">
        <f t="shared" si="0"/>
        <v>26</v>
      </c>
      <c r="B29" s="566"/>
      <c r="C29" s="73" t="str">
        <f>IF(足元帳!AY27=1,"N",IF(足元帳!AY27=2,"R",""))</f>
        <v/>
      </c>
      <c r="D29" s="74" t="str">
        <f>IF(足元帳!AZ27&gt;0,VLOOKUP(足元帳!AZ27,管理シート!$CF$32:$CG$34,2,FALSE),"")</f>
        <v/>
      </c>
      <c r="E29" s="572" t="str">
        <f>IF(足元帳!BB27&gt;0,VLOOKUP(足元帳!BB27,管理シート!#REF!,2,FALSE),"")</f>
        <v/>
      </c>
      <c r="F29" s="573"/>
      <c r="G29" s="574">
        <f>足元帳!J27</f>
        <v>0</v>
      </c>
      <c r="H29" s="575"/>
      <c r="I29" s="574">
        <f>足元帳!K27</f>
        <v>0</v>
      </c>
      <c r="J29" s="576"/>
      <c r="K29" s="575"/>
      <c r="L29" s="73" t="str">
        <f ca="1">IF(足元帳!AB27="●","無",IF(足元帳!AC27="●","半",IF(AG29="周年","半",IF(AG29="プレ6","半",IF(AG29="6割","半","")))))</f>
        <v/>
      </c>
      <c r="M29" s="115" t="str">
        <f>IF(足元帳!AM27="","","○")&amp;IF(足元帳!AL27="","","○")</f>
        <v/>
      </c>
      <c r="N29" s="115" t="str">
        <f>IF(足元帳!AN27="","","○")</f>
        <v/>
      </c>
      <c r="O29" s="587" t="str">
        <f>IF(足元帳!U27="","",足元帳!U27)</f>
        <v/>
      </c>
      <c r="P29" s="565"/>
      <c r="Q29" s="565"/>
      <c r="R29" s="565" t="str">
        <f>IF(足元帳!V27="","",足元帳!V27)</f>
        <v/>
      </c>
      <c r="S29" s="565"/>
      <c r="T29" s="565"/>
      <c r="U29" s="565" t="str">
        <f>IF(足元帳!W27="","",足元帳!W27)</f>
        <v/>
      </c>
      <c r="V29" s="565"/>
      <c r="W29" s="565"/>
      <c r="X29" s="565" t="str">
        <f>IF(足元帳!X27="","",足元帳!X27)</f>
        <v/>
      </c>
      <c r="Y29" s="565"/>
      <c r="Z29" s="565"/>
      <c r="AA29" s="565" t="str">
        <f>IF(足元帳!Y27="","",足元帳!Y27)</f>
        <v/>
      </c>
      <c r="AB29" s="565"/>
      <c r="AC29" s="565"/>
      <c r="AD29" s="565" t="str">
        <f>IF(足元帳!Z27="","",足元帳!Z27)</f>
        <v/>
      </c>
      <c r="AE29" s="565"/>
      <c r="AF29" s="566"/>
      <c r="AG29" s="587" t="str">
        <f ca="1">IF(ISERROR(MATCH("●",足元帳!AD27:AM27,0)),IF(足元帳!AM27="","",足元帳!$AM$1&amp;足元帳!AM27),INDIRECT("足元帳!R1C"&amp;MATCH("●",足元帳!AD27:AM27,0)+29,FALSE))</f>
        <v/>
      </c>
      <c r="AH29" s="565"/>
      <c r="AI29" s="565"/>
      <c r="AJ29" s="565"/>
      <c r="AK29" s="565" t="str">
        <f>IF(足元帳!AT27="","",足元帳!AT27)</f>
        <v/>
      </c>
      <c r="AL29" s="565"/>
      <c r="AM29" s="565"/>
      <c r="AN29" s="565"/>
      <c r="AO29" s="565"/>
      <c r="AP29" s="565"/>
      <c r="AQ29" s="588"/>
    </row>
    <row r="30" spans="1:43" ht="22.5" customHeight="1">
      <c r="A30" s="586">
        <f t="shared" si="0"/>
        <v>27</v>
      </c>
      <c r="B30" s="566"/>
      <c r="C30" s="73" t="str">
        <f>IF(足元帳!AY28=1,"N",IF(足元帳!AY28=2,"R",""))</f>
        <v/>
      </c>
      <c r="D30" s="74" t="str">
        <f>IF(足元帳!AZ28&gt;0,VLOOKUP(足元帳!AZ28,管理シート!$CF$32:$CG$34,2,FALSE),"")</f>
        <v/>
      </c>
      <c r="E30" s="572" t="str">
        <f>IF(足元帳!BB28&gt;0,VLOOKUP(足元帳!BB28,管理シート!#REF!,2,FALSE),"")</f>
        <v/>
      </c>
      <c r="F30" s="573"/>
      <c r="G30" s="574">
        <f>足元帳!J28</f>
        <v>0</v>
      </c>
      <c r="H30" s="575"/>
      <c r="I30" s="574">
        <f>足元帳!K28</f>
        <v>0</v>
      </c>
      <c r="J30" s="576"/>
      <c r="K30" s="575"/>
      <c r="L30" s="73" t="str">
        <f ca="1">IF(足元帳!AB28="●","無",IF(足元帳!AC28="●","半",IF(AG30="周年","半",IF(AG30="プレ6","半",IF(AG30="6割","半","")))))</f>
        <v/>
      </c>
      <c r="M30" s="115" t="str">
        <f>IF(足元帳!AM28="","","○")&amp;IF(足元帳!AL28="","","○")</f>
        <v/>
      </c>
      <c r="N30" s="115" t="str">
        <f>IF(足元帳!AN28="","","○")</f>
        <v/>
      </c>
      <c r="O30" s="587" t="str">
        <f>IF(足元帳!U28="","",足元帳!U28)</f>
        <v/>
      </c>
      <c r="P30" s="565"/>
      <c r="Q30" s="565"/>
      <c r="R30" s="565" t="str">
        <f>IF(足元帳!V28="","",足元帳!V28)</f>
        <v/>
      </c>
      <c r="S30" s="565"/>
      <c r="T30" s="565"/>
      <c r="U30" s="565" t="str">
        <f>IF(足元帳!W28="","",足元帳!W28)</f>
        <v/>
      </c>
      <c r="V30" s="565"/>
      <c r="W30" s="565"/>
      <c r="X30" s="565" t="str">
        <f>IF(足元帳!X28="","",足元帳!X28)</f>
        <v/>
      </c>
      <c r="Y30" s="565"/>
      <c r="Z30" s="565"/>
      <c r="AA30" s="565" t="str">
        <f>IF(足元帳!Y28="","",足元帳!Y28)</f>
        <v/>
      </c>
      <c r="AB30" s="565"/>
      <c r="AC30" s="565"/>
      <c r="AD30" s="565" t="str">
        <f>IF(足元帳!Z28="","",足元帳!Z28)</f>
        <v/>
      </c>
      <c r="AE30" s="565"/>
      <c r="AF30" s="566"/>
      <c r="AG30" s="587" t="str">
        <f ca="1">IF(ISERROR(MATCH("●",足元帳!AD28:AM28,0)),IF(足元帳!AM28="","",足元帳!$AM$1&amp;足元帳!AM28),INDIRECT("足元帳!R1C"&amp;MATCH("●",足元帳!AD28:AM28,0)+29,FALSE))</f>
        <v/>
      </c>
      <c r="AH30" s="565"/>
      <c r="AI30" s="565"/>
      <c r="AJ30" s="565"/>
      <c r="AK30" s="565" t="str">
        <f>IF(足元帳!AT28="","",足元帳!AT28)</f>
        <v/>
      </c>
      <c r="AL30" s="565"/>
      <c r="AM30" s="565"/>
      <c r="AN30" s="565"/>
      <c r="AO30" s="565"/>
      <c r="AP30" s="565"/>
      <c r="AQ30" s="588"/>
    </row>
    <row r="31" spans="1:43" ht="22.5" customHeight="1">
      <c r="A31" s="586">
        <f t="shared" si="0"/>
        <v>28</v>
      </c>
      <c r="B31" s="566"/>
      <c r="C31" s="73" t="str">
        <f>IF(足元帳!AY29=1,"N",IF(足元帳!AY29=2,"R",""))</f>
        <v/>
      </c>
      <c r="D31" s="74" t="str">
        <f>IF(足元帳!AZ29&gt;0,VLOOKUP(足元帳!AZ29,管理シート!$CF$32:$CG$34,2,FALSE),"")</f>
        <v/>
      </c>
      <c r="E31" s="572" t="str">
        <f>IF(足元帳!BB29&gt;0,VLOOKUP(足元帳!BB29,管理シート!#REF!,2,FALSE),"")</f>
        <v/>
      </c>
      <c r="F31" s="573"/>
      <c r="G31" s="574">
        <f>足元帳!J29</f>
        <v>0</v>
      </c>
      <c r="H31" s="575"/>
      <c r="I31" s="574">
        <f>足元帳!K29</f>
        <v>0</v>
      </c>
      <c r="J31" s="576"/>
      <c r="K31" s="575"/>
      <c r="L31" s="73" t="str">
        <f ca="1">IF(足元帳!AB29="●","無",IF(足元帳!AC29="●","半",IF(AG31="周年","半",IF(AG31="プレ6","半",IF(AG31="6割","半","")))))</f>
        <v/>
      </c>
      <c r="M31" s="115" t="str">
        <f>IF(足元帳!AM29="","","○")&amp;IF(足元帳!AL29="","","○")</f>
        <v/>
      </c>
      <c r="N31" s="115" t="str">
        <f>IF(足元帳!AN29="","","○")</f>
        <v/>
      </c>
      <c r="O31" s="587" t="str">
        <f>IF(足元帳!U29="","",足元帳!U29)</f>
        <v/>
      </c>
      <c r="P31" s="565"/>
      <c r="Q31" s="565"/>
      <c r="R31" s="565" t="str">
        <f>IF(足元帳!V29="","",足元帳!V29)</f>
        <v/>
      </c>
      <c r="S31" s="565"/>
      <c r="T31" s="565"/>
      <c r="U31" s="565" t="str">
        <f>IF(足元帳!W29="","",足元帳!W29)</f>
        <v/>
      </c>
      <c r="V31" s="565"/>
      <c r="W31" s="565"/>
      <c r="X31" s="565" t="str">
        <f>IF(足元帳!X29="","",足元帳!X29)</f>
        <v/>
      </c>
      <c r="Y31" s="565"/>
      <c r="Z31" s="565"/>
      <c r="AA31" s="565" t="str">
        <f>IF(足元帳!Y29="","",足元帳!Y29)</f>
        <v/>
      </c>
      <c r="AB31" s="565"/>
      <c r="AC31" s="565"/>
      <c r="AD31" s="565" t="str">
        <f>IF(足元帳!Z29="","",足元帳!Z29)</f>
        <v/>
      </c>
      <c r="AE31" s="565"/>
      <c r="AF31" s="566"/>
      <c r="AG31" s="587" t="str">
        <f ca="1">IF(ISERROR(MATCH("●",足元帳!AD29:AM29,0)),IF(足元帳!AM29="","",足元帳!$AM$1&amp;足元帳!AM29),INDIRECT("足元帳!R1C"&amp;MATCH("●",足元帳!AD29:AM29,0)+29,FALSE))</f>
        <v/>
      </c>
      <c r="AH31" s="565"/>
      <c r="AI31" s="565"/>
      <c r="AJ31" s="565"/>
      <c r="AK31" s="565" t="str">
        <f>IF(足元帳!AT29="","",足元帳!AT29)</f>
        <v/>
      </c>
      <c r="AL31" s="565"/>
      <c r="AM31" s="565"/>
      <c r="AN31" s="565"/>
      <c r="AO31" s="565"/>
      <c r="AP31" s="565"/>
      <c r="AQ31" s="588"/>
    </row>
    <row r="32" spans="1:43" ht="22.5" customHeight="1">
      <c r="A32" s="586">
        <f t="shared" si="0"/>
        <v>29</v>
      </c>
      <c r="B32" s="566"/>
      <c r="C32" s="73" t="str">
        <f>IF(足元帳!AY30=1,"N",IF(足元帳!AY30=2,"R",""))</f>
        <v/>
      </c>
      <c r="D32" s="74" t="str">
        <f>IF(足元帳!AZ30&gt;0,VLOOKUP(足元帳!AZ30,管理シート!$CF$32:$CG$34,2,FALSE),"")</f>
        <v/>
      </c>
      <c r="E32" s="572" t="str">
        <f>IF(足元帳!BB30&gt;0,VLOOKUP(足元帳!BB30,管理シート!#REF!,2,FALSE),"")</f>
        <v/>
      </c>
      <c r="F32" s="573"/>
      <c r="G32" s="574">
        <f>足元帳!J30</f>
        <v>0</v>
      </c>
      <c r="H32" s="575"/>
      <c r="I32" s="574">
        <f>足元帳!K30</f>
        <v>0</v>
      </c>
      <c r="J32" s="576"/>
      <c r="K32" s="575"/>
      <c r="L32" s="73" t="str">
        <f ca="1">IF(足元帳!AB30="●","無",IF(足元帳!AC30="●","半",IF(AG32="周年","半",IF(AG32="プレ6","半",IF(AG32="6割","半","")))))</f>
        <v/>
      </c>
      <c r="M32" s="115" t="str">
        <f>IF(足元帳!AM30="","","○")&amp;IF(足元帳!AL30="","","○")</f>
        <v/>
      </c>
      <c r="N32" s="115" t="str">
        <f>IF(足元帳!AN30="","","○")</f>
        <v/>
      </c>
      <c r="O32" s="587" t="str">
        <f>IF(足元帳!U30="","",足元帳!U30)</f>
        <v/>
      </c>
      <c r="P32" s="565"/>
      <c r="Q32" s="565"/>
      <c r="R32" s="565" t="str">
        <f>IF(足元帳!V30="","",足元帳!V30)</f>
        <v/>
      </c>
      <c r="S32" s="565"/>
      <c r="T32" s="565"/>
      <c r="U32" s="565" t="str">
        <f>IF(足元帳!W30="","",足元帳!W30)</f>
        <v/>
      </c>
      <c r="V32" s="565"/>
      <c r="W32" s="565"/>
      <c r="X32" s="565" t="str">
        <f>IF(足元帳!X30="","",足元帳!X30)</f>
        <v/>
      </c>
      <c r="Y32" s="565"/>
      <c r="Z32" s="565"/>
      <c r="AA32" s="565" t="str">
        <f>IF(足元帳!Y30="","",足元帳!Y30)</f>
        <v/>
      </c>
      <c r="AB32" s="565"/>
      <c r="AC32" s="565"/>
      <c r="AD32" s="565" t="str">
        <f>IF(足元帳!Z30="","",足元帳!Z30)</f>
        <v/>
      </c>
      <c r="AE32" s="565"/>
      <c r="AF32" s="566"/>
      <c r="AG32" s="587" t="str">
        <f ca="1">IF(ISERROR(MATCH("●",足元帳!AD30:AM30,0)),IF(足元帳!AM30="","",足元帳!$AM$1&amp;足元帳!AM30),INDIRECT("足元帳!R1C"&amp;MATCH("●",足元帳!AD30:AM30,0)+29,FALSE))</f>
        <v/>
      </c>
      <c r="AH32" s="565"/>
      <c r="AI32" s="565"/>
      <c r="AJ32" s="565"/>
      <c r="AK32" s="565" t="str">
        <f>IF(足元帳!AT30="","",足元帳!AT30)</f>
        <v/>
      </c>
      <c r="AL32" s="565"/>
      <c r="AM32" s="565"/>
      <c r="AN32" s="565"/>
      <c r="AO32" s="565"/>
      <c r="AP32" s="565"/>
      <c r="AQ32" s="588"/>
    </row>
    <row r="33" spans="1:43" ht="22.5" customHeight="1">
      <c r="A33" s="586">
        <f t="shared" si="0"/>
        <v>30</v>
      </c>
      <c r="B33" s="566"/>
      <c r="C33" s="73" t="str">
        <f>IF(足元帳!AY31=1,"N",IF(足元帳!AY31=2,"R",""))</f>
        <v/>
      </c>
      <c r="D33" s="74" t="str">
        <f>IF(足元帳!AZ31&gt;0,VLOOKUP(足元帳!AZ31,管理シート!$CF$32:$CG$34,2,FALSE),"")</f>
        <v/>
      </c>
      <c r="E33" s="572" t="str">
        <f>IF(足元帳!BB31&gt;0,VLOOKUP(足元帳!BB31,管理シート!#REF!,2,FALSE),"")</f>
        <v/>
      </c>
      <c r="F33" s="573"/>
      <c r="G33" s="574">
        <f>足元帳!J31</f>
        <v>0</v>
      </c>
      <c r="H33" s="575"/>
      <c r="I33" s="574">
        <f>足元帳!K31</f>
        <v>0</v>
      </c>
      <c r="J33" s="576"/>
      <c r="K33" s="575"/>
      <c r="L33" s="73" t="str">
        <f ca="1">IF(足元帳!AB31="●","無",IF(足元帳!AC31="●","半",IF(AG33="周年","半",IF(AG33="プレ6","半",IF(AG33="6割","半","")))))</f>
        <v/>
      </c>
      <c r="M33" s="115" t="str">
        <f>IF(足元帳!AM31="","","○")&amp;IF(足元帳!AL31="","","○")</f>
        <v/>
      </c>
      <c r="N33" s="115" t="str">
        <f>IF(足元帳!AN31="","","○")</f>
        <v/>
      </c>
      <c r="O33" s="587" t="str">
        <f>IF(足元帳!U31="","",足元帳!U31)</f>
        <v/>
      </c>
      <c r="P33" s="565"/>
      <c r="Q33" s="565"/>
      <c r="R33" s="565" t="str">
        <f>IF(足元帳!V31="","",足元帳!V31)</f>
        <v/>
      </c>
      <c r="S33" s="565"/>
      <c r="T33" s="565"/>
      <c r="U33" s="565" t="str">
        <f>IF(足元帳!W31="","",足元帳!W31)</f>
        <v/>
      </c>
      <c r="V33" s="565"/>
      <c r="W33" s="565"/>
      <c r="X33" s="565" t="str">
        <f>IF(足元帳!X31="","",足元帳!X31)</f>
        <v/>
      </c>
      <c r="Y33" s="565"/>
      <c r="Z33" s="565"/>
      <c r="AA33" s="565" t="str">
        <f>IF(足元帳!Y31="","",足元帳!Y31)</f>
        <v/>
      </c>
      <c r="AB33" s="565"/>
      <c r="AC33" s="565"/>
      <c r="AD33" s="565" t="str">
        <f>IF(足元帳!Z31="","",足元帳!Z31)</f>
        <v/>
      </c>
      <c r="AE33" s="565"/>
      <c r="AF33" s="566"/>
      <c r="AG33" s="587" t="str">
        <f ca="1">IF(ISERROR(MATCH("●",足元帳!AD31:AM31,0)),IF(足元帳!AM31="","",足元帳!$AM$1&amp;足元帳!AM31),INDIRECT("足元帳!R1C"&amp;MATCH("●",足元帳!AD31:AM31,0)+29,FALSE))</f>
        <v/>
      </c>
      <c r="AH33" s="565"/>
      <c r="AI33" s="565"/>
      <c r="AJ33" s="565"/>
      <c r="AK33" s="565" t="str">
        <f>IF(足元帳!AT31="","",足元帳!AT31)</f>
        <v/>
      </c>
      <c r="AL33" s="565"/>
      <c r="AM33" s="565"/>
      <c r="AN33" s="565"/>
      <c r="AO33" s="565"/>
      <c r="AP33" s="565"/>
      <c r="AQ33" s="588"/>
    </row>
    <row r="34" spans="1:43" ht="22.5" customHeight="1">
      <c r="A34" s="586">
        <f t="shared" si="0"/>
        <v>31</v>
      </c>
      <c r="B34" s="566"/>
      <c r="C34" s="73" t="str">
        <f>IF(足元帳!AY32=1,"N",IF(足元帳!AY32=2,"R",""))</f>
        <v/>
      </c>
      <c r="D34" s="74" t="str">
        <f>IF(足元帳!AZ32&gt;0,VLOOKUP(足元帳!AZ32,管理シート!$CF$32:$CG$34,2,FALSE),"")</f>
        <v/>
      </c>
      <c r="E34" s="572" t="str">
        <f>IF(足元帳!BB32&gt;0,VLOOKUP(足元帳!BB32,管理シート!#REF!,2,FALSE),"")</f>
        <v/>
      </c>
      <c r="F34" s="573"/>
      <c r="G34" s="574">
        <f>足元帳!J32</f>
        <v>0</v>
      </c>
      <c r="H34" s="575"/>
      <c r="I34" s="574">
        <f>足元帳!K32</f>
        <v>0</v>
      </c>
      <c r="J34" s="576"/>
      <c r="K34" s="575"/>
      <c r="L34" s="116" t="str">
        <f ca="1">IF(足元帳!AB32="●","無",IF(足元帳!AC32="●","半",IF(AG34="周年","半",IF(AG34="プレ6","半",IF(AG34="6割","半","")))))</f>
        <v/>
      </c>
      <c r="M34" s="115" t="str">
        <f>IF(足元帳!AM32="","","○")&amp;IF(足元帳!AL32="","","○")</f>
        <v/>
      </c>
      <c r="N34" s="115" t="str">
        <f>IF(足元帳!AN32="","","○")</f>
        <v/>
      </c>
      <c r="O34" s="587" t="str">
        <f>IF(足元帳!U32="","",足元帳!U32)</f>
        <v/>
      </c>
      <c r="P34" s="565"/>
      <c r="Q34" s="565"/>
      <c r="R34" s="565" t="str">
        <f>IF(足元帳!V32="","",足元帳!V32)</f>
        <v/>
      </c>
      <c r="S34" s="565"/>
      <c r="T34" s="565"/>
      <c r="U34" s="565" t="str">
        <f>IF(足元帳!W32="","",足元帳!W32)</f>
        <v/>
      </c>
      <c r="V34" s="565"/>
      <c r="W34" s="565"/>
      <c r="X34" s="565" t="str">
        <f>IF(足元帳!X32="","",足元帳!X32)</f>
        <v/>
      </c>
      <c r="Y34" s="565"/>
      <c r="Z34" s="565"/>
      <c r="AA34" s="565" t="str">
        <f>IF(足元帳!Y32="","",足元帳!Y32)</f>
        <v/>
      </c>
      <c r="AB34" s="565"/>
      <c r="AC34" s="565"/>
      <c r="AD34" s="565" t="str">
        <f>IF(足元帳!Z32="","",足元帳!Z32)</f>
        <v/>
      </c>
      <c r="AE34" s="565"/>
      <c r="AF34" s="566"/>
      <c r="AG34" s="587" t="str">
        <f ca="1">IF(ISERROR(MATCH("●",足元帳!AD32:AM32,0)),IF(足元帳!AM32="","",足元帳!$AM$1&amp;足元帳!AM32),INDIRECT("足元帳!R1C"&amp;MATCH("●",足元帳!AD32:AM32,0)+29,FALSE))</f>
        <v/>
      </c>
      <c r="AH34" s="565"/>
      <c r="AI34" s="565"/>
      <c r="AJ34" s="565"/>
      <c r="AK34" s="565" t="str">
        <f>IF(足元帳!AT32="","",足元帳!AT32)</f>
        <v/>
      </c>
      <c r="AL34" s="565"/>
      <c r="AM34" s="565"/>
      <c r="AN34" s="565"/>
      <c r="AO34" s="565"/>
      <c r="AP34" s="565"/>
      <c r="AQ34" s="588"/>
    </row>
    <row r="35" spans="1:43" ht="22.5" customHeight="1">
      <c r="A35" s="586">
        <f t="shared" si="0"/>
        <v>32</v>
      </c>
      <c r="B35" s="566"/>
      <c r="C35" s="73" t="str">
        <f>IF(足元帳!AY33=1,"N",IF(足元帳!AY33=2,"R",""))</f>
        <v/>
      </c>
      <c r="D35" s="74" t="str">
        <f>IF(足元帳!AZ33&gt;0,VLOOKUP(足元帳!AZ33,管理シート!$CF$32:$CG$34,2,FALSE),"")</f>
        <v/>
      </c>
      <c r="E35" s="572" t="str">
        <f>IF(足元帳!BB33&gt;0,VLOOKUP(足元帳!BB33,管理シート!#REF!,2,FALSE),"")</f>
        <v/>
      </c>
      <c r="F35" s="573"/>
      <c r="G35" s="574">
        <f>足元帳!J33</f>
        <v>0</v>
      </c>
      <c r="H35" s="575"/>
      <c r="I35" s="574">
        <f>足元帳!K33</f>
        <v>0</v>
      </c>
      <c r="J35" s="576"/>
      <c r="K35" s="575"/>
      <c r="L35" s="116" t="str">
        <f ca="1">IF(足元帳!AB33="●","無",IF(足元帳!AC33="●","半",IF(AG35="周年","半",IF(AG35="プレ6","半",IF(AG35="6割","半","")))))</f>
        <v/>
      </c>
      <c r="M35" s="115" t="str">
        <f>IF(足元帳!AM33="","","○")&amp;IF(足元帳!AL33="","","○")</f>
        <v/>
      </c>
      <c r="N35" s="115" t="str">
        <f>IF(足元帳!AN33="","","○")</f>
        <v/>
      </c>
      <c r="O35" s="587" t="str">
        <f>IF(足元帳!U33="","",足元帳!U33)</f>
        <v/>
      </c>
      <c r="P35" s="565"/>
      <c r="Q35" s="565"/>
      <c r="R35" s="565" t="str">
        <f>IF(足元帳!V33="","",足元帳!V33)</f>
        <v/>
      </c>
      <c r="S35" s="565"/>
      <c r="T35" s="565"/>
      <c r="U35" s="565" t="str">
        <f>IF(足元帳!W33="","",足元帳!W33)</f>
        <v/>
      </c>
      <c r="V35" s="565"/>
      <c r="W35" s="565"/>
      <c r="X35" s="565" t="str">
        <f>IF(足元帳!X33="","",足元帳!X33)</f>
        <v/>
      </c>
      <c r="Y35" s="565"/>
      <c r="Z35" s="565"/>
      <c r="AA35" s="565" t="str">
        <f>IF(足元帳!Y33="","",足元帳!Y33)</f>
        <v/>
      </c>
      <c r="AB35" s="565"/>
      <c r="AC35" s="565"/>
      <c r="AD35" s="565" t="str">
        <f>IF(足元帳!Z33="","",足元帳!Z33)</f>
        <v/>
      </c>
      <c r="AE35" s="565"/>
      <c r="AF35" s="566"/>
      <c r="AG35" s="587" t="str">
        <f ca="1">IF(ISERROR(MATCH("●",足元帳!AD33:AM33,0)),IF(足元帳!AM33="","",足元帳!$AM$1&amp;足元帳!AM33),INDIRECT("足元帳!R1C"&amp;MATCH("●",足元帳!AD33:AM33,0)+29,FALSE))</f>
        <v/>
      </c>
      <c r="AH35" s="565"/>
      <c r="AI35" s="565"/>
      <c r="AJ35" s="565"/>
      <c r="AK35" s="565" t="str">
        <f>IF(足元帳!AT33="","",足元帳!AT33)</f>
        <v/>
      </c>
      <c r="AL35" s="565"/>
      <c r="AM35" s="565"/>
      <c r="AN35" s="565"/>
      <c r="AO35" s="565"/>
      <c r="AP35" s="565"/>
      <c r="AQ35" s="588"/>
    </row>
    <row r="36" spans="1:43" ht="22.5" customHeight="1">
      <c r="A36" s="586">
        <f t="shared" si="0"/>
        <v>33</v>
      </c>
      <c r="B36" s="566"/>
      <c r="C36" s="73" t="str">
        <f>IF(足元帳!AY34=1,"N",IF(足元帳!AY34=2,"R",""))</f>
        <v/>
      </c>
      <c r="D36" s="74" t="str">
        <f>IF(足元帳!AZ34&gt;0,VLOOKUP(足元帳!AZ34,管理シート!$CF$32:$CG$34,2,FALSE),"")</f>
        <v/>
      </c>
      <c r="E36" s="572" t="str">
        <f>IF(足元帳!BB34&gt;0,VLOOKUP(足元帳!BB34,管理シート!#REF!,2,FALSE),"")</f>
        <v/>
      </c>
      <c r="F36" s="573"/>
      <c r="G36" s="574">
        <f>足元帳!J34</f>
        <v>0</v>
      </c>
      <c r="H36" s="575"/>
      <c r="I36" s="574">
        <f>足元帳!K34</f>
        <v>0</v>
      </c>
      <c r="J36" s="576"/>
      <c r="K36" s="575"/>
      <c r="L36" s="116" t="str">
        <f ca="1">IF(足元帳!AB34="●","無",IF(足元帳!AC34="●","半",IF(AG36="周年","半",IF(AG36="プレ6","半",IF(AG36="6割","半","")))))</f>
        <v/>
      </c>
      <c r="M36" s="115" t="str">
        <f>IF(足元帳!AM34="","","○")&amp;IF(足元帳!AL34="","","○")</f>
        <v/>
      </c>
      <c r="N36" s="115" t="str">
        <f>IF(足元帳!AN34="","","○")</f>
        <v/>
      </c>
      <c r="O36" s="587" t="str">
        <f>IF(足元帳!U34="","",足元帳!U34)</f>
        <v/>
      </c>
      <c r="P36" s="565"/>
      <c r="Q36" s="565"/>
      <c r="R36" s="565" t="str">
        <f>IF(足元帳!V34="","",足元帳!V34)</f>
        <v/>
      </c>
      <c r="S36" s="565"/>
      <c r="T36" s="565"/>
      <c r="U36" s="565" t="str">
        <f>IF(足元帳!W34="","",足元帳!W34)</f>
        <v/>
      </c>
      <c r="V36" s="565"/>
      <c r="W36" s="565"/>
      <c r="X36" s="565" t="str">
        <f>IF(足元帳!X34="","",足元帳!X34)</f>
        <v/>
      </c>
      <c r="Y36" s="565"/>
      <c r="Z36" s="565"/>
      <c r="AA36" s="565" t="str">
        <f>IF(足元帳!Y34="","",足元帳!Y34)</f>
        <v/>
      </c>
      <c r="AB36" s="565"/>
      <c r="AC36" s="565"/>
      <c r="AD36" s="565" t="str">
        <f>IF(足元帳!Z34="","",足元帳!Z34)</f>
        <v/>
      </c>
      <c r="AE36" s="565"/>
      <c r="AF36" s="566"/>
      <c r="AG36" s="587" t="str">
        <f ca="1">IF(ISERROR(MATCH("●",足元帳!AD34:AM34,0)),IF(足元帳!AM34="","",足元帳!$AM$1&amp;足元帳!AM34),INDIRECT("足元帳!R1C"&amp;MATCH("●",足元帳!AD34:AM34,0)+29,FALSE))</f>
        <v/>
      </c>
      <c r="AH36" s="565"/>
      <c r="AI36" s="565"/>
      <c r="AJ36" s="565"/>
      <c r="AK36" s="565" t="str">
        <f>IF(足元帳!AT34="","",足元帳!AT34)</f>
        <v/>
      </c>
      <c r="AL36" s="565"/>
      <c r="AM36" s="565"/>
      <c r="AN36" s="565"/>
      <c r="AO36" s="565"/>
      <c r="AP36" s="565"/>
      <c r="AQ36" s="588"/>
    </row>
    <row r="37" spans="1:43" ht="22.5" customHeight="1">
      <c r="A37" s="586">
        <f t="shared" si="0"/>
        <v>34</v>
      </c>
      <c r="B37" s="566"/>
      <c r="C37" s="73" t="str">
        <f>IF(足元帳!AY35=1,"N",IF(足元帳!AY35=2,"R",""))</f>
        <v/>
      </c>
      <c r="D37" s="74" t="str">
        <f>IF(足元帳!AZ35&gt;0,VLOOKUP(足元帳!AZ35,管理シート!$CF$32:$CG$34,2,FALSE),"")</f>
        <v/>
      </c>
      <c r="E37" s="572" t="str">
        <f>IF(足元帳!BB35&gt;0,VLOOKUP(足元帳!BB35,管理シート!#REF!,2,FALSE),"")</f>
        <v/>
      </c>
      <c r="F37" s="573"/>
      <c r="G37" s="574">
        <f>足元帳!J35</f>
        <v>0</v>
      </c>
      <c r="H37" s="575"/>
      <c r="I37" s="574">
        <f>足元帳!K35</f>
        <v>0</v>
      </c>
      <c r="J37" s="576"/>
      <c r="K37" s="575"/>
      <c r="L37" s="116" t="str">
        <f ca="1">IF(足元帳!AB35="●","無",IF(足元帳!AC35="●","半",IF(AG37="周年","半",IF(AG37="プレ6","半",IF(AG37="6割","半","")))))</f>
        <v/>
      </c>
      <c r="M37" s="116" t="str">
        <f>IF(足元帳!AM35="","","○")&amp;IF(足元帳!AL35="","","○")</f>
        <v/>
      </c>
      <c r="N37" s="116" t="str">
        <f>IF(足元帳!AN35="","","○")</f>
        <v/>
      </c>
      <c r="O37" s="587" t="str">
        <f>IF(足元帳!U35="","",足元帳!U35)</f>
        <v/>
      </c>
      <c r="P37" s="565"/>
      <c r="Q37" s="565"/>
      <c r="R37" s="565" t="str">
        <f>IF(足元帳!V35="","",足元帳!V35)</f>
        <v/>
      </c>
      <c r="S37" s="565"/>
      <c r="T37" s="565"/>
      <c r="U37" s="565" t="str">
        <f>IF(足元帳!W35="","",足元帳!W35)</f>
        <v/>
      </c>
      <c r="V37" s="565"/>
      <c r="W37" s="565"/>
      <c r="X37" s="565" t="str">
        <f>IF(足元帳!X35="","",足元帳!X35)</f>
        <v/>
      </c>
      <c r="Y37" s="565"/>
      <c r="Z37" s="565"/>
      <c r="AA37" s="565" t="str">
        <f>IF(足元帳!Y35="","",足元帳!Y35)</f>
        <v/>
      </c>
      <c r="AB37" s="565"/>
      <c r="AC37" s="565"/>
      <c r="AD37" s="565" t="str">
        <f>IF(足元帳!Z35="","",足元帳!Z35)</f>
        <v/>
      </c>
      <c r="AE37" s="565"/>
      <c r="AF37" s="566"/>
      <c r="AG37" s="587" t="str">
        <f ca="1">IF(ISERROR(MATCH("●",足元帳!AD35:AM35,0)),IF(足元帳!AM35="","",足元帳!$AM$1&amp;足元帳!AM35),INDIRECT("足元帳!R1C"&amp;MATCH("●",足元帳!AD35:AM35,0)+29,FALSE))</f>
        <v/>
      </c>
      <c r="AH37" s="565"/>
      <c r="AI37" s="565"/>
      <c r="AJ37" s="565"/>
      <c r="AK37" s="565" t="str">
        <f>IF(足元帳!AT35="","",足元帳!AT35)</f>
        <v/>
      </c>
      <c r="AL37" s="565"/>
      <c r="AM37" s="565"/>
      <c r="AN37" s="565"/>
      <c r="AO37" s="565"/>
      <c r="AP37" s="565"/>
      <c r="AQ37" s="588"/>
    </row>
    <row r="38" spans="1:43" ht="22.5" customHeight="1" thickBot="1">
      <c r="A38" s="598">
        <f t="shared" si="0"/>
        <v>35</v>
      </c>
      <c r="B38" s="596"/>
      <c r="C38" s="76" t="str">
        <f>IF(足元帳!AY36=1,"N",IF(足元帳!AY36=2,"R",""))</f>
        <v/>
      </c>
      <c r="D38" s="77" t="str">
        <f>IF(足元帳!AZ36&gt;0,VLOOKUP(足元帳!AZ36,管理シート!$CF$32:$CG$34,2,FALSE),"")</f>
        <v/>
      </c>
      <c r="E38" s="599" t="str">
        <f>IF(足元帳!BB36&gt;0,VLOOKUP(足元帳!BB36,管理シート!#REF!,2,FALSE),"")</f>
        <v/>
      </c>
      <c r="F38" s="600"/>
      <c r="G38" s="601">
        <f>足元帳!J36</f>
        <v>0</v>
      </c>
      <c r="H38" s="602"/>
      <c r="I38" s="601">
        <f>足元帳!K36</f>
        <v>0</v>
      </c>
      <c r="J38" s="603"/>
      <c r="K38" s="602"/>
      <c r="L38" s="117" t="str">
        <f ca="1">IF(足元帳!AB36="●","無",IF(足元帳!AC36="●","半",IF(AG38="周年","半",IF(AG38="プレ6","半",IF(AG38="6割","半","")))))</f>
        <v/>
      </c>
      <c r="M38" s="118" t="str">
        <f>IF(足元帳!AM36="","","○")&amp;IF(足元帳!AL36="","","○")</f>
        <v/>
      </c>
      <c r="N38" s="118" t="str">
        <f>IF(足元帳!AN36="","","○")</f>
        <v/>
      </c>
      <c r="O38" s="597" t="str">
        <f>IF(足元帳!U36="","",足元帳!U36)</f>
        <v/>
      </c>
      <c r="P38" s="589"/>
      <c r="Q38" s="589"/>
      <c r="R38" s="589" t="str">
        <f>IF(足元帳!V36="","",足元帳!V36)</f>
        <v/>
      </c>
      <c r="S38" s="589"/>
      <c r="T38" s="589"/>
      <c r="U38" s="589" t="str">
        <f>IF(足元帳!W36="","",足元帳!W36)</f>
        <v/>
      </c>
      <c r="V38" s="589"/>
      <c r="W38" s="589"/>
      <c r="X38" s="589" t="str">
        <f>IF(足元帳!X36="","",足元帳!X36)</f>
        <v/>
      </c>
      <c r="Y38" s="589"/>
      <c r="Z38" s="589"/>
      <c r="AA38" s="589" t="str">
        <f>IF(足元帳!Y36="","",足元帳!Y36)</f>
        <v/>
      </c>
      <c r="AB38" s="589"/>
      <c r="AC38" s="589"/>
      <c r="AD38" s="589" t="str">
        <f>IF(足元帳!Z36="","",足元帳!Z36)</f>
        <v/>
      </c>
      <c r="AE38" s="589"/>
      <c r="AF38" s="596"/>
      <c r="AG38" s="597" t="str">
        <f ca="1">IF(ISERROR(MATCH("●",足元帳!AD36:AM36,0)),IF(足元帳!AM36="","",足元帳!$AM$1&amp;足元帳!AM36),INDIRECT("足元帳!R1C"&amp;MATCH("●",足元帳!AD36:AM36,0)+29,FALSE))</f>
        <v/>
      </c>
      <c r="AH38" s="589"/>
      <c r="AI38" s="589"/>
      <c r="AJ38" s="589"/>
      <c r="AK38" s="589" t="str">
        <f>IF(足元帳!AT36="","",足元帳!AT36)</f>
        <v/>
      </c>
      <c r="AL38" s="589"/>
      <c r="AM38" s="589"/>
      <c r="AN38" s="589"/>
      <c r="AO38" s="589"/>
      <c r="AP38" s="589"/>
      <c r="AQ38" s="590"/>
    </row>
    <row r="39" spans="1:43" ht="22.5" customHeight="1">
      <c r="A39" s="591"/>
      <c r="B39" s="592"/>
      <c r="C39" s="592" t="s">
        <v>11</v>
      </c>
      <c r="D39" s="592"/>
      <c r="E39" s="592"/>
      <c r="F39" s="592"/>
      <c r="G39" s="592" t="s">
        <v>153</v>
      </c>
      <c r="H39" s="592"/>
      <c r="I39" s="592"/>
      <c r="J39" s="592"/>
      <c r="K39" s="592"/>
      <c r="L39" s="592"/>
      <c r="M39" s="592"/>
      <c r="N39" s="592"/>
      <c r="O39" s="592" t="s">
        <v>154</v>
      </c>
      <c r="P39" s="592"/>
      <c r="Q39" s="592"/>
      <c r="R39" s="592"/>
      <c r="S39" s="592"/>
      <c r="T39" s="592"/>
      <c r="U39" s="592"/>
      <c r="V39" s="592"/>
      <c r="W39" s="592"/>
      <c r="X39" s="592"/>
      <c r="Y39" s="592" t="s">
        <v>155</v>
      </c>
      <c r="Z39" s="592"/>
      <c r="AA39" s="592"/>
      <c r="AB39" s="592"/>
      <c r="AC39" s="592"/>
      <c r="AD39" s="592"/>
      <c r="AE39" s="592"/>
      <c r="AF39" s="592"/>
      <c r="AG39" s="592" t="s">
        <v>156</v>
      </c>
      <c r="AH39" s="592"/>
      <c r="AI39" s="592" t="s">
        <v>157</v>
      </c>
      <c r="AJ39" s="592"/>
      <c r="AK39" s="592"/>
      <c r="AL39" s="592" t="s">
        <v>2</v>
      </c>
      <c r="AM39" s="592"/>
      <c r="AN39" s="592"/>
      <c r="AO39" s="592"/>
      <c r="AP39" s="592"/>
      <c r="AQ39" s="595"/>
    </row>
    <row r="40" spans="1:43" ht="22.5" customHeight="1">
      <c r="A40" s="593"/>
      <c r="B40" s="594"/>
      <c r="C40" s="594" t="s">
        <v>4</v>
      </c>
      <c r="D40" s="594"/>
      <c r="E40" s="594" t="s">
        <v>3</v>
      </c>
      <c r="F40" s="594"/>
      <c r="G40" s="594" t="s">
        <v>14</v>
      </c>
      <c r="H40" s="594"/>
      <c r="I40" s="594" t="s">
        <v>5</v>
      </c>
      <c r="J40" s="594"/>
      <c r="K40" s="594" t="s">
        <v>152</v>
      </c>
      <c r="L40" s="594"/>
      <c r="M40" s="594" t="s">
        <v>0</v>
      </c>
      <c r="N40" s="594"/>
      <c r="O40" s="594">
        <v>45</v>
      </c>
      <c r="P40" s="594"/>
      <c r="Q40" s="594">
        <v>60</v>
      </c>
      <c r="R40" s="594"/>
      <c r="S40" s="594">
        <v>70</v>
      </c>
      <c r="T40" s="594"/>
      <c r="U40" s="594">
        <v>90</v>
      </c>
      <c r="V40" s="594"/>
      <c r="W40" s="594">
        <v>110</v>
      </c>
      <c r="X40" s="594"/>
      <c r="Y40" s="594">
        <v>30</v>
      </c>
      <c r="Z40" s="594"/>
      <c r="AA40" s="594">
        <v>20</v>
      </c>
      <c r="AB40" s="594"/>
      <c r="AC40" s="594">
        <v>15</v>
      </c>
      <c r="AD40" s="594"/>
      <c r="AE40" s="594">
        <v>10</v>
      </c>
      <c r="AF40" s="594"/>
      <c r="AG40" s="594"/>
      <c r="AH40" s="594"/>
      <c r="AI40" s="594"/>
      <c r="AJ40" s="594"/>
      <c r="AK40" s="594"/>
      <c r="AL40" s="604"/>
      <c r="AM40" s="604"/>
      <c r="AN40" s="604"/>
      <c r="AO40" s="604"/>
      <c r="AP40" s="604"/>
      <c r="AQ40" s="605"/>
    </row>
    <row r="41" spans="1:43" ht="22.5" customHeight="1">
      <c r="A41" s="593" t="s">
        <v>158</v>
      </c>
      <c r="B41" s="594"/>
      <c r="C41" s="587">
        <f>SUM(C42:F42)</f>
        <v>0</v>
      </c>
      <c r="D41" s="565"/>
      <c r="E41" s="565"/>
      <c r="F41" s="566"/>
      <c r="G41" s="604">
        <f>SUM(G42:N42)</f>
        <v>0</v>
      </c>
      <c r="H41" s="604"/>
      <c r="I41" s="604"/>
      <c r="J41" s="604"/>
      <c r="K41" s="604"/>
      <c r="L41" s="604"/>
      <c r="M41" s="604"/>
      <c r="N41" s="604"/>
      <c r="O41" s="604">
        <f>SUM(O42:X42)</f>
        <v>0</v>
      </c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604"/>
      <c r="AQ41" s="605"/>
    </row>
    <row r="42" spans="1:43" ht="22.5" customHeight="1">
      <c r="A42" s="593"/>
      <c r="B42" s="594"/>
      <c r="C42" s="604">
        <f>COUNTIF(C4:C38,"N")</f>
        <v>0</v>
      </c>
      <c r="D42" s="604"/>
      <c r="E42" s="604">
        <f>COUNTIF(C4:C38,"R")</f>
        <v>0</v>
      </c>
      <c r="F42" s="604"/>
      <c r="G42" s="604">
        <f>COUNTIF(D4:D38,"姫")</f>
        <v>0</v>
      </c>
      <c r="H42" s="604"/>
      <c r="I42" s="604">
        <f>COUNTIF(D4:D38,"本")</f>
        <v>0</v>
      </c>
      <c r="J42" s="604"/>
      <c r="K42" s="604">
        <f>COUNTIF(D4:D38,"ネ")</f>
        <v>0</v>
      </c>
      <c r="L42" s="604"/>
      <c r="M42" s="604">
        <f>COUNTIF(D4:D38,"写")</f>
        <v>0</v>
      </c>
      <c r="N42" s="604"/>
      <c r="O42" s="604">
        <f>COUNTIF(E4:F38,45)</f>
        <v>0</v>
      </c>
      <c r="P42" s="604"/>
      <c r="Q42" s="604">
        <f>COUNTIF(E4:F38,60)</f>
        <v>0</v>
      </c>
      <c r="R42" s="604"/>
      <c r="S42" s="604">
        <f>COUNTIF(E4:F38,70)</f>
        <v>0</v>
      </c>
      <c r="T42" s="604"/>
      <c r="U42" s="604">
        <f>COUNTIF(E4:F38,90)</f>
        <v>0</v>
      </c>
      <c r="V42" s="604"/>
      <c r="W42" s="604">
        <f>COUNTIF(E4:F38,110)</f>
        <v>0</v>
      </c>
      <c r="X42" s="604"/>
      <c r="Y42" s="604"/>
      <c r="Z42" s="604"/>
      <c r="AA42" s="604"/>
      <c r="AB42" s="604"/>
      <c r="AC42" s="604"/>
      <c r="AD42" s="604"/>
      <c r="AE42" s="604"/>
      <c r="AF42" s="604"/>
      <c r="AG42" s="604"/>
      <c r="AH42" s="604"/>
      <c r="AI42" s="604"/>
      <c r="AJ42" s="604"/>
      <c r="AK42" s="604"/>
      <c r="AL42" s="604"/>
      <c r="AM42" s="604"/>
      <c r="AN42" s="604"/>
      <c r="AO42" s="604"/>
      <c r="AP42" s="604"/>
      <c r="AQ42" s="605"/>
    </row>
    <row r="43" spans="1:43" ht="22.5" customHeight="1">
      <c r="A43" s="593" t="s">
        <v>159</v>
      </c>
      <c r="B43" s="594"/>
      <c r="C43" s="604"/>
      <c r="D43" s="604"/>
      <c r="E43" s="604"/>
      <c r="F43" s="604"/>
      <c r="G43" s="604"/>
      <c r="H43" s="604"/>
      <c r="I43" s="604"/>
      <c r="J43" s="604"/>
      <c r="K43" s="604"/>
      <c r="L43" s="604"/>
      <c r="M43" s="604"/>
      <c r="N43" s="604"/>
      <c r="O43" s="604"/>
      <c r="P43" s="604"/>
      <c r="Q43" s="604"/>
      <c r="R43" s="604"/>
      <c r="S43" s="604"/>
      <c r="T43" s="604"/>
      <c r="U43" s="604"/>
      <c r="V43" s="604"/>
      <c r="W43" s="604"/>
      <c r="X43" s="604"/>
      <c r="Y43" s="604"/>
      <c r="Z43" s="604"/>
      <c r="AA43" s="604"/>
      <c r="AB43" s="604"/>
      <c r="AC43" s="604"/>
      <c r="AD43" s="604"/>
      <c r="AE43" s="604"/>
      <c r="AF43" s="604"/>
      <c r="AG43" s="604"/>
      <c r="AH43" s="604"/>
      <c r="AI43" s="604"/>
      <c r="AJ43" s="604"/>
      <c r="AK43" s="604"/>
      <c r="AL43" s="604"/>
      <c r="AM43" s="604"/>
      <c r="AN43" s="604"/>
      <c r="AO43" s="604"/>
      <c r="AP43" s="604"/>
      <c r="AQ43" s="605"/>
    </row>
    <row r="44" spans="1:43" ht="22.5" customHeight="1" thickBot="1">
      <c r="A44" s="606"/>
      <c r="B44" s="607"/>
      <c r="C44" s="608"/>
      <c r="D44" s="608"/>
      <c r="E44" s="608"/>
      <c r="F44" s="608"/>
      <c r="G44" s="608"/>
      <c r="H44" s="608"/>
      <c r="I44" s="608"/>
      <c r="J44" s="608"/>
      <c r="K44" s="608"/>
      <c r="L44" s="608"/>
      <c r="M44" s="608"/>
      <c r="N44" s="608"/>
      <c r="O44" s="608"/>
      <c r="P44" s="608"/>
      <c r="Q44" s="608"/>
      <c r="R44" s="608"/>
      <c r="S44" s="608"/>
      <c r="T44" s="608"/>
      <c r="U44" s="608"/>
      <c r="V44" s="608"/>
      <c r="W44" s="608"/>
      <c r="X44" s="608"/>
      <c r="Y44" s="608"/>
      <c r="Z44" s="608"/>
      <c r="AA44" s="608"/>
      <c r="AB44" s="608"/>
      <c r="AC44" s="608"/>
      <c r="AD44" s="608"/>
      <c r="AE44" s="608"/>
      <c r="AF44" s="608"/>
      <c r="AG44" s="608"/>
      <c r="AH44" s="608"/>
      <c r="AI44" s="608"/>
      <c r="AJ44" s="608"/>
      <c r="AK44" s="608"/>
      <c r="AL44" s="608"/>
      <c r="AM44" s="608"/>
      <c r="AN44" s="608"/>
      <c r="AO44" s="608"/>
      <c r="AP44" s="608"/>
      <c r="AQ44" s="611"/>
    </row>
    <row r="45" spans="1:43" ht="22.5" customHeight="1">
      <c r="A45" s="609" t="s">
        <v>160</v>
      </c>
      <c r="B45" s="610"/>
      <c r="C45" s="610"/>
      <c r="D45" s="610"/>
      <c r="E45" s="610"/>
      <c r="F45" s="610"/>
      <c r="G45" s="610" t="s">
        <v>161</v>
      </c>
      <c r="H45" s="610"/>
      <c r="I45" s="610" t="s">
        <v>162</v>
      </c>
      <c r="J45" s="610"/>
      <c r="K45" s="610"/>
      <c r="L45" s="610"/>
      <c r="M45" s="610"/>
      <c r="N45" s="610"/>
      <c r="O45" s="610" t="s">
        <v>161</v>
      </c>
      <c r="P45" s="610"/>
      <c r="Q45" s="610" t="s">
        <v>163</v>
      </c>
      <c r="R45" s="610"/>
      <c r="S45" s="610"/>
      <c r="T45" s="610"/>
      <c r="U45" s="610"/>
      <c r="V45" s="610"/>
      <c r="W45" s="610" t="s">
        <v>164</v>
      </c>
      <c r="X45" s="610"/>
      <c r="Y45" s="610" t="s">
        <v>165</v>
      </c>
      <c r="Z45" s="610"/>
      <c r="AA45" s="610"/>
      <c r="AB45" s="610"/>
      <c r="AC45" s="610"/>
      <c r="AD45" s="610"/>
      <c r="AE45" s="610" t="s">
        <v>166</v>
      </c>
      <c r="AF45" s="610"/>
      <c r="AG45" s="610" t="s">
        <v>167</v>
      </c>
      <c r="AH45" s="610"/>
      <c r="AI45" s="610"/>
      <c r="AJ45" s="610"/>
      <c r="AK45" s="610"/>
      <c r="AL45" s="610"/>
      <c r="AM45" s="610"/>
      <c r="AN45" s="610"/>
      <c r="AO45" s="610"/>
      <c r="AP45" s="610"/>
      <c r="AQ45" s="614"/>
    </row>
    <row r="46" spans="1:43" ht="22.5" customHeight="1" thickBot="1">
      <c r="A46" s="615">
        <f>IF(C87&gt;0,"",精算表!$BD$46)</f>
        <v>0</v>
      </c>
      <c r="B46" s="616"/>
      <c r="C46" s="616"/>
      <c r="D46" s="616"/>
      <c r="E46" s="616"/>
      <c r="F46" s="616"/>
      <c r="G46" s="607" t="s">
        <v>161</v>
      </c>
      <c r="H46" s="607"/>
      <c r="I46" s="616">
        <f>IF(C87&gt;0,"",精算表!$BD$49)</f>
        <v>0</v>
      </c>
      <c r="J46" s="616"/>
      <c r="K46" s="616"/>
      <c r="L46" s="616"/>
      <c r="M46" s="616"/>
      <c r="N46" s="616"/>
      <c r="O46" s="607" t="s">
        <v>161</v>
      </c>
      <c r="P46" s="607"/>
      <c r="Q46" s="616">
        <f>IF(C87&gt;0,"",精算表!$BD$50)</f>
        <v>0</v>
      </c>
      <c r="R46" s="616"/>
      <c r="S46" s="616"/>
      <c r="T46" s="616"/>
      <c r="U46" s="616"/>
      <c r="V46" s="616"/>
      <c r="W46" s="607" t="s">
        <v>164</v>
      </c>
      <c r="X46" s="607"/>
      <c r="Y46" s="616">
        <f>IF(C87&gt;0,"",精算表!$BD$56)</f>
        <v>0</v>
      </c>
      <c r="Z46" s="616"/>
      <c r="AA46" s="616"/>
      <c r="AB46" s="616"/>
      <c r="AC46" s="616"/>
      <c r="AD46" s="616"/>
      <c r="AE46" s="607" t="s">
        <v>166</v>
      </c>
      <c r="AF46" s="607"/>
      <c r="AG46" s="613">
        <f>IF(C87&gt;0,"",A46-I46-Q46+Y46)</f>
        <v>0</v>
      </c>
      <c r="AH46" s="608"/>
      <c r="AI46" s="608"/>
      <c r="AJ46" s="608"/>
      <c r="AK46" s="608"/>
      <c r="AL46" s="608"/>
      <c r="AM46" s="608"/>
      <c r="AN46" s="608"/>
      <c r="AO46" s="608"/>
      <c r="AP46" s="608"/>
      <c r="AQ46" s="611"/>
    </row>
    <row r="47" spans="1:43" ht="22.5" customHeight="1">
      <c r="AD47" s="113" t="s">
        <v>142</v>
      </c>
      <c r="AF47" s="617" t="str">
        <f>AF1</f>
        <v>31</v>
      </c>
      <c r="AG47" s="617"/>
      <c r="AH47" s="113" t="s">
        <v>143</v>
      </c>
      <c r="AI47" s="617">
        <f>AI1</f>
        <v>10</v>
      </c>
      <c r="AJ47" s="617"/>
      <c r="AK47" s="617"/>
      <c r="AL47" s="578" t="s">
        <v>144</v>
      </c>
      <c r="AM47" s="578"/>
      <c r="AN47" s="617">
        <f>AN1</f>
        <v>17</v>
      </c>
      <c r="AO47" s="617"/>
      <c r="AP47" s="578" t="s">
        <v>145</v>
      </c>
      <c r="AQ47" s="578"/>
    </row>
    <row r="48" spans="1:43" ht="22.5" customHeight="1" thickBot="1">
      <c r="A48" s="579">
        <f>A2+1</f>
        <v>2</v>
      </c>
      <c r="B48" s="612"/>
      <c r="C48" s="612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612"/>
      <c r="Y48" s="612"/>
      <c r="Z48" s="612"/>
      <c r="AA48" s="612"/>
      <c r="AB48" s="612"/>
      <c r="AC48" s="612"/>
      <c r="AD48" s="612"/>
      <c r="AE48" s="612"/>
      <c r="AF48" s="612"/>
      <c r="AG48" s="612"/>
      <c r="AH48" s="612"/>
      <c r="AI48" s="612"/>
      <c r="AJ48" s="612"/>
      <c r="AK48" s="612"/>
      <c r="AL48" s="612"/>
      <c r="AM48" s="612"/>
      <c r="AN48" s="612"/>
      <c r="AO48" s="612"/>
      <c r="AP48" s="612"/>
      <c r="AQ48" s="612"/>
    </row>
    <row r="49" spans="1:43" ht="22.5" customHeight="1" thickBot="1">
      <c r="A49" s="580" t="s">
        <v>146</v>
      </c>
      <c r="B49" s="581"/>
      <c r="C49" s="582" t="s">
        <v>147</v>
      </c>
      <c r="D49" s="581"/>
      <c r="E49" s="582" t="s">
        <v>154</v>
      </c>
      <c r="F49" s="583"/>
      <c r="G49" s="583" t="s">
        <v>6</v>
      </c>
      <c r="H49" s="581"/>
      <c r="I49" s="583" t="s">
        <v>148</v>
      </c>
      <c r="J49" s="583"/>
      <c r="K49" s="581"/>
      <c r="L49" s="72" t="s">
        <v>2</v>
      </c>
      <c r="M49" s="72" t="s">
        <v>149</v>
      </c>
      <c r="N49" s="75" t="s">
        <v>150</v>
      </c>
      <c r="O49" s="582" t="s">
        <v>168</v>
      </c>
      <c r="P49" s="583"/>
      <c r="Q49" s="583"/>
      <c r="R49" s="583"/>
      <c r="S49" s="583"/>
      <c r="T49" s="583"/>
      <c r="U49" s="583"/>
      <c r="V49" s="583"/>
      <c r="W49" s="583"/>
      <c r="X49" s="583"/>
      <c r="Y49" s="583"/>
      <c r="Z49" s="583"/>
      <c r="AA49" s="583"/>
      <c r="AB49" s="583"/>
      <c r="AC49" s="583"/>
      <c r="AD49" s="583"/>
      <c r="AE49" s="583"/>
      <c r="AF49" s="581"/>
      <c r="AG49" s="583" t="s">
        <v>151</v>
      </c>
      <c r="AH49" s="583"/>
      <c r="AI49" s="583"/>
      <c r="AJ49" s="583"/>
      <c r="AK49" s="583"/>
      <c r="AL49" s="583"/>
      <c r="AM49" s="583"/>
      <c r="AN49" s="583"/>
      <c r="AO49" s="583"/>
      <c r="AP49" s="583"/>
      <c r="AQ49" s="584"/>
    </row>
    <row r="50" spans="1:43" ht="22.5" customHeight="1">
      <c r="A50" s="570">
        <f>A38+1</f>
        <v>36</v>
      </c>
      <c r="B50" s="571"/>
      <c r="C50" s="73" t="str">
        <f>IF(足元帳!AY37=1,"N",IF(足元帳!AY37=2,"R",""))</f>
        <v/>
      </c>
      <c r="D50" s="74" t="str">
        <f>IF(足元帳!AZ37&gt;0,VLOOKUP(足元帳!AZ37,管理シート!$CF$32:$CG$34,2,FALSE),"")</f>
        <v/>
      </c>
      <c r="E50" s="572" t="str">
        <f>IF(足元帳!BB37&gt;0,VLOOKUP(足元帳!BB37,管理シート!#REF!,2,FALSE),"")</f>
        <v/>
      </c>
      <c r="F50" s="573"/>
      <c r="G50" s="574">
        <f>足元帳!J37</f>
        <v>0</v>
      </c>
      <c r="H50" s="575"/>
      <c r="I50" s="574">
        <f>足元帳!K37</f>
        <v>0</v>
      </c>
      <c r="J50" s="576"/>
      <c r="K50" s="575"/>
      <c r="L50" s="121" t="str">
        <f ca="1">IF(足元帳!AB37="●","無",IF(足元帳!AC37="●","半",IF(AG50="周年","半",IF(AG50="プレ6","半",IF(AG50="6割","半","")))))</f>
        <v/>
      </c>
      <c r="M50" s="115" t="str">
        <f>IF(足元帳!AM37="","","○")&amp;IF(足元帳!AL37="","","○")</f>
        <v/>
      </c>
      <c r="N50" s="115" t="str">
        <f>IF(足元帳!AN37="","","○")</f>
        <v/>
      </c>
      <c r="O50" s="587" t="str">
        <f ca="1">IF(INDIRECT("足元帳!U"&amp;A50+1)="","",INDIRECT("足元帳!U"&amp;A50+1))</f>
        <v/>
      </c>
      <c r="P50" s="565"/>
      <c r="Q50" s="565"/>
      <c r="R50" s="565" t="str">
        <f ca="1">IF(INDIRECT("足元帳!V"&amp;A50+1)="","",INDIRECT("足元帳!V"&amp;A50+1))</f>
        <v/>
      </c>
      <c r="S50" s="565"/>
      <c r="T50" s="565"/>
      <c r="U50" s="565" t="str">
        <f ca="1">IF(INDIRECT("足元帳!W"&amp;A50+1)="","",INDIRECT("足元帳!W"&amp;A50+1))</f>
        <v/>
      </c>
      <c r="V50" s="565"/>
      <c r="W50" s="565"/>
      <c r="X50" s="565" t="str">
        <f ca="1">IF(INDIRECT("足元帳!X"&amp;A50+1)="","",INDIRECT("足元帳!X"&amp;A50+1))</f>
        <v/>
      </c>
      <c r="Y50" s="565"/>
      <c r="Z50" s="565"/>
      <c r="AA50" s="565" t="str">
        <f ca="1">IF(INDIRECT("足元帳!Y"&amp;A50+1)="","",INDIRECT("足元帳!Y"&amp;A50+1))</f>
        <v/>
      </c>
      <c r="AB50" s="565"/>
      <c r="AC50" s="565"/>
      <c r="AD50" s="565" t="str">
        <f>IF(足元帳!Z37="","",足元帳!Z37)</f>
        <v/>
      </c>
      <c r="AE50" s="565"/>
      <c r="AF50" s="566"/>
      <c r="AG50" s="587" t="str">
        <f ca="1">IF(ISERROR(MATCH("●",足元帳!AD37:AM37,0)),IF(足元帳!AM37="","",足元帳!$AM$1&amp;足元帳!AM37),INDIRECT("足元帳!R1C"&amp;MATCH("●",足元帳!AD37:AM37,0)+29,FALSE))</f>
        <v/>
      </c>
      <c r="AH50" s="565"/>
      <c r="AI50" s="565"/>
      <c r="AJ50" s="565"/>
      <c r="AK50" s="565" t="str">
        <f>IF(足元帳!AT37="","",足元帳!AT37)</f>
        <v/>
      </c>
      <c r="AL50" s="565"/>
      <c r="AM50" s="565"/>
      <c r="AN50" s="565"/>
      <c r="AO50" s="565"/>
      <c r="AP50" s="565"/>
      <c r="AQ50" s="588"/>
    </row>
    <row r="51" spans="1:43" ht="22.5" customHeight="1">
      <c r="A51" s="586">
        <f>A50+1</f>
        <v>37</v>
      </c>
      <c r="B51" s="566"/>
      <c r="C51" s="73" t="str">
        <f>IF(足元帳!AY38=1,"N",IF(足元帳!AY38=2,"R",""))</f>
        <v/>
      </c>
      <c r="D51" s="74" t="str">
        <f>IF(足元帳!AZ38&gt;0,VLOOKUP(足元帳!AZ38,管理シート!$CF$32:$CG$34,2,FALSE),"")</f>
        <v/>
      </c>
      <c r="E51" s="572" t="str">
        <f>IF(足元帳!BB38&gt;0,VLOOKUP(足元帳!BB38,管理シート!#REF!,2,FALSE),"")</f>
        <v/>
      </c>
      <c r="F51" s="573"/>
      <c r="G51" s="574">
        <f>足元帳!J38</f>
        <v>0</v>
      </c>
      <c r="H51" s="575"/>
      <c r="I51" s="574">
        <f>足元帳!K38</f>
        <v>0</v>
      </c>
      <c r="J51" s="576"/>
      <c r="K51" s="575"/>
      <c r="L51" s="120" t="str">
        <f ca="1">IF(足元帳!AB38="●","無",IF(足元帳!AC38="●","半",IF(AG51="周年","半",IF(AG51="プレ6","半",IF(AG51="6割","半","")))))</f>
        <v/>
      </c>
      <c r="M51" s="115" t="str">
        <f>IF(足元帳!AM38="","","○")&amp;IF(足元帳!AL38="","","○")</f>
        <v/>
      </c>
      <c r="N51" s="115" t="str">
        <f>IF(足元帳!AN38="","","○")</f>
        <v/>
      </c>
      <c r="O51" s="587" t="str">
        <f>IF(足元帳!U38="","",足元帳!U38)</f>
        <v/>
      </c>
      <c r="P51" s="565"/>
      <c r="Q51" s="565"/>
      <c r="R51" s="565" t="str">
        <f>IF(足元帳!V38="","",足元帳!V38)</f>
        <v/>
      </c>
      <c r="S51" s="565"/>
      <c r="T51" s="565"/>
      <c r="U51" s="565" t="str">
        <f>IF(足元帳!W38="","",足元帳!W38)</f>
        <v/>
      </c>
      <c r="V51" s="565"/>
      <c r="W51" s="565"/>
      <c r="X51" s="565" t="str">
        <f>IF(足元帳!X38="","",足元帳!X38)</f>
        <v/>
      </c>
      <c r="Y51" s="565"/>
      <c r="Z51" s="565"/>
      <c r="AA51" s="565" t="str">
        <f>IF(足元帳!Y38="","",足元帳!Y38)</f>
        <v/>
      </c>
      <c r="AB51" s="565"/>
      <c r="AC51" s="565"/>
      <c r="AD51" s="565" t="str">
        <f>IF(足元帳!Z38="","",足元帳!Z38)</f>
        <v/>
      </c>
      <c r="AE51" s="565"/>
      <c r="AF51" s="566"/>
      <c r="AG51" s="587" t="str">
        <f ca="1">IF(ISERROR(MATCH("●",足元帳!AD38:AM38,0)),IF(足元帳!AM38="","",足元帳!$AM$1&amp;足元帳!AM38),INDIRECT("足元帳!R1C"&amp;MATCH("●",足元帳!AD38:AM38,0)+29,FALSE))</f>
        <v/>
      </c>
      <c r="AH51" s="565"/>
      <c r="AI51" s="565"/>
      <c r="AJ51" s="565"/>
      <c r="AK51" s="565" t="str">
        <f>IF(足元帳!AT38="","",足元帳!AT38)</f>
        <v/>
      </c>
      <c r="AL51" s="565"/>
      <c r="AM51" s="565"/>
      <c r="AN51" s="565"/>
      <c r="AO51" s="565"/>
      <c r="AP51" s="565"/>
      <c r="AQ51" s="588"/>
    </row>
    <row r="52" spans="1:43" ht="22.5" customHeight="1">
      <c r="A52" s="586">
        <f t="shared" ref="A52:A84" si="1">A51+1</f>
        <v>38</v>
      </c>
      <c r="B52" s="566"/>
      <c r="C52" s="73" t="str">
        <f>IF(足元帳!AY39=1,"N",IF(足元帳!AY39=2,"R",""))</f>
        <v/>
      </c>
      <c r="D52" s="74" t="str">
        <f>IF(足元帳!AZ39&gt;0,VLOOKUP(足元帳!AZ39,管理シート!$CF$32:$CG$34,2,FALSE),"")</f>
        <v/>
      </c>
      <c r="E52" s="572" t="str">
        <f>IF(足元帳!BB39&gt;0,VLOOKUP(足元帳!BB39,管理シート!#REF!,2,FALSE),"")</f>
        <v/>
      </c>
      <c r="F52" s="573"/>
      <c r="G52" s="574">
        <f>足元帳!J39</f>
        <v>0</v>
      </c>
      <c r="H52" s="575"/>
      <c r="I52" s="574">
        <f>足元帳!K39</f>
        <v>0</v>
      </c>
      <c r="J52" s="576"/>
      <c r="K52" s="575"/>
      <c r="L52" s="73" t="str">
        <f ca="1">IF(足元帳!AB39="●","無",IF(足元帳!AC39="●","半",IF(AG52="周年","半",IF(AG52="プレ6","半",IF(AG52="6割","半","")))))</f>
        <v/>
      </c>
      <c r="M52" s="115" t="str">
        <f>IF(足元帳!AM39="","","○")&amp;IF(足元帳!AL39="","","○")</f>
        <v/>
      </c>
      <c r="N52" s="115" t="str">
        <f>IF(足元帳!AN39="","","○")</f>
        <v/>
      </c>
      <c r="O52" s="587" t="str">
        <f t="shared" ref="O52:O84" ca="1" si="2">IF(INDIRECT("足元帳!U"&amp;A52+1)="","",INDIRECT("足元帳!U"&amp;A52+1))</f>
        <v/>
      </c>
      <c r="P52" s="565"/>
      <c r="Q52" s="565"/>
      <c r="R52" s="565" t="str">
        <f t="shared" ref="R52:R84" ca="1" si="3">IF(INDIRECT("足元帳!V"&amp;A52+1)="","",INDIRECT("足元帳!V"&amp;A52+1))</f>
        <v/>
      </c>
      <c r="S52" s="565"/>
      <c r="T52" s="565"/>
      <c r="U52" s="565" t="str">
        <f t="shared" ref="U52:U84" ca="1" si="4">IF(INDIRECT("足元帳!W"&amp;A52+1)="","",INDIRECT("足元帳!W"&amp;A52+1))</f>
        <v/>
      </c>
      <c r="V52" s="565"/>
      <c r="W52" s="565"/>
      <c r="X52" s="565" t="str">
        <f t="shared" ref="X52:X84" ca="1" si="5">IF(INDIRECT("足元帳!X"&amp;A52+1)="","",INDIRECT("足元帳!X"&amp;A52+1))</f>
        <v/>
      </c>
      <c r="Y52" s="565"/>
      <c r="Z52" s="565"/>
      <c r="AA52" s="565" t="str">
        <f t="shared" ref="AA52:AA84" ca="1" si="6">IF(INDIRECT("足元帳!Y"&amp;A52+1)="","",INDIRECT("足元帳!Y"&amp;A52+1))</f>
        <v/>
      </c>
      <c r="AB52" s="565"/>
      <c r="AC52" s="565"/>
      <c r="AD52" s="565" t="str">
        <f>IF(足元帳!Z39="","",足元帳!Z39)</f>
        <v/>
      </c>
      <c r="AE52" s="565"/>
      <c r="AF52" s="566"/>
      <c r="AG52" s="587" t="str">
        <f ca="1">IF(ISERROR(MATCH("●",足元帳!AD39:AM39,0)),IF(足元帳!AM39="","",足元帳!$AM$1&amp;足元帳!AM39),INDIRECT("足元帳!R1C"&amp;MATCH("●",足元帳!AD39:AM39,0)+29,FALSE))</f>
        <v/>
      </c>
      <c r="AH52" s="565"/>
      <c r="AI52" s="565"/>
      <c r="AJ52" s="565"/>
      <c r="AK52" s="565" t="str">
        <f>IF(足元帳!AT39="","",足元帳!AT39)</f>
        <v/>
      </c>
      <c r="AL52" s="565"/>
      <c r="AM52" s="565"/>
      <c r="AN52" s="565"/>
      <c r="AO52" s="565"/>
      <c r="AP52" s="565"/>
      <c r="AQ52" s="588"/>
    </row>
    <row r="53" spans="1:43" ht="22.5" customHeight="1">
      <c r="A53" s="586">
        <f t="shared" si="1"/>
        <v>39</v>
      </c>
      <c r="B53" s="566"/>
      <c r="C53" s="73" t="str">
        <f>IF(足元帳!AY40=1,"N",IF(足元帳!AY40=2,"R",""))</f>
        <v/>
      </c>
      <c r="D53" s="74" t="str">
        <f>IF(足元帳!AZ40&gt;0,VLOOKUP(足元帳!AZ40,管理シート!$CF$32:$CG$34,2,FALSE),"")</f>
        <v/>
      </c>
      <c r="E53" s="572" t="str">
        <f>IF(足元帳!BB40&gt;0,VLOOKUP(足元帳!BB40,管理シート!#REF!,2,FALSE),"")</f>
        <v/>
      </c>
      <c r="F53" s="573"/>
      <c r="G53" s="574">
        <f>足元帳!J40</f>
        <v>0</v>
      </c>
      <c r="H53" s="575"/>
      <c r="I53" s="574">
        <f>足元帳!K40</f>
        <v>0</v>
      </c>
      <c r="J53" s="576"/>
      <c r="K53" s="575"/>
      <c r="L53" s="73" t="str">
        <f ca="1">IF(足元帳!AB40="●","無",IF(足元帳!AC40="●","半",IF(AG53="周年","半",IF(AG53="プレ6","半",IF(AG53="6割","半","")))))</f>
        <v/>
      </c>
      <c r="M53" s="115" t="str">
        <f>IF(足元帳!AM40="","","○")&amp;IF(足元帳!AL40="","","○")</f>
        <v/>
      </c>
      <c r="N53" s="115" t="str">
        <f>IF(足元帳!AN40="","","○")</f>
        <v/>
      </c>
      <c r="O53" s="587" t="str">
        <f t="shared" ca="1" si="2"/>
        <v/>
      </c>
      <c r="P53" s="565"/>
      <c r="Q53" s="565"/>
      <c r="R53" s="565" t="str">
        <f t="shared" ca="1" si="3"/>
        <v/>
      </c>
      <c r="S53" s="565"/>
      <c r="T53" s="565"/>
      <c r="U53" s="565" t="str">
        <f t="shared" ca="1" si="4"/>
        <v/>
      </c>
      <c r="V53" s="565"/>
      <c r="W53" s="565"/>
      <c r="X53" s="565" t="str">
        <f t="shared" ca="1" si="5"/>
        <v/>
      </c>
      <c r="Y53" s="565"/>
      <c r="Z53" s="565"/>
      <c r="AA53" s="565" t="str">
        <f t="shared" ca="1" si="6"/>
        <v/>
      </c>
      <c r="AB53" s="565"/>
      <c r="AC53" s="565"/>
      <c r="AD53" s="565" t="str">
        <f>IF(足元帳!Z40="","",足元帳!Z40)</f>
        <v/>
      </c>
      <c r="AE53" s="565"/>
      <c r="AF53" s="566"/>
      <c r="AG53" s="587" t="str">
        <f ca="1">IF(ISERROR(MATCH("●",足元帳!AD40:AM40,0)),IF(足元帳!AM40="","",足元帳!$AM$1&amp;足元帳!AM40),INDIRECT("足元帳!R1C"&amp;MATCH("●",足元帳!AD40:AM40,0)+29,FALSE))</f>
        <v/>
      </c>
      <c r="AH53" s="565"/>
      <c r="AI53" s="565"/>
      <c r="AJ53" s="565"/>
      <c r="AK53" s="565" t="str">
        <f>IF(足元帳!AT40="","",足元帳!AT40)</f>
        <v/>
      </c>
      <c r="AL53" s="565"/>
      <c r="AM53" s="565"/>
      <c r="AN53" s="565"/>
      <c r="AO53" s="565"/>
      <c r="AP53" s="565"/>
      <c r="AQ53" s="588"/>
    </row>
    <row r="54" spans="1:43" ht="22.5" customHeight="1">
      <c r="A54" s="586">
        <f t="shared" si="1"/>
        <v>40</v>
      </c>
      <c r="B54" s="566"/>
      <c r="C54" s="73" t="str">
        <f>IF(足元帳!AY41=1,"N",IF(足元帳!AY41=2,"R",""))</f>
        <v/>
      </c>
      <c r="D54" s="74" t="str">
        <f>IF(足元帳!AZ41&gt;0,VLOOKUP(足元帳!AZ41,管理シート!$CF$32:$CG$34,2,FALSE),"")</f>
        <v/>
      </c>
      <c r="E54" s="572" t="str">
        <f>IF(足元帳!BB41&gt;0,VLOOKUP(足元帳!BB41,管理シート!#REF!,2,FALSE),"")</f>
        <v/>
      </c>
      <c r="F54" s="573"/>
      <c r="G54" s="574">
        <f>足元帳!J41</f>
        <v>0</v>
      </c>
      <c r="H54" s="575"/>
      <c r="I54" s="574">
        <f>足元帳!K41</f>
        <v>0</v>
      </c>
      <c r="J54" s="576"/>
      <c r="K54" s="575"/>
      <c r="L54" s="73" t="str">
        <f ca="1">IF(足元帳!AB41="●","無",IF(足元帳!AC41="●","半",IF(AG54="周年","半",IF(AG54="プレ6","半",IF(AG54="6割","半","")))))</f>
        <v/>
      </c>
      <c r="M54" s="115" t="str">
        <f>IF(足元帳!AM41="","","○")&amp;IF(足元帳!AL41="","","○")</f>
        <v/>
      </c>
      <c r="N54" s="115" t="str">
        <f>IF(足元帳!AN41="","","○")</f>
        <v/>
      </c>
      <c r="O54" s="587" t="str">
        <f t="shared" ca="1" si="2"/>
        <v/>
      </c>
      <c r="P54" s="565"/>
      <c r="Q54" s="565"/>
      <c r="R54" s="565" t="str">
        <f t="shared" ca="1" si="3"/>
        <v/>
      </c>
      <c r="S54" s="565"/>
      <c r="T54" s="565"/>
      <c r="U54" s="565" t="str">
        <f t="shared" ca="1" si="4"/>
        <v/>
      </c>
      <c r="V54" s="565"/>
      <c r="W54" s="565"/>
      <c r="X54" s="565" t="str">
        <f t="shared" ca="1" si="5"/>
        <v/>
      </c>
      <c r="Y54" s="565"/>
      <c r="Z54" s="565"/>
      <c r="AA54" s="565" t="str">
        <f t="shared" ca="1" si="6"/>
        <v/>
      </c>
      <c r="AB54" s="565"/>
      <c r="AC54" s="565"/>
      <c r="AD54" s="565" t="str">
        <f>IF(足元帳!Z41="","",足元帳!Z41)</f>
        <v/>
      </c>
      <c r="AE54" s="565"/>
      <c r="AF54" s="566"/>
      <c r="AG54" s="587" t="str">
        <f ca="1">IF(ISERROR(MATCH("●",足元帳!AD41:AM41,0)),IF(足元帳!AM41="","",足元帳!$AM$1&amp;足元帳!AM41),INDIRECT("足元帳!R1C"&amp;MATCH("●",足元帳!AD41:AM41,0)+29,FALSE))</f>
        <v/>
      </c>
      <c r="AH54" s="565"/>
      <c r="AI54" s="565"/>
      <c r="AJ54" s="565"/>
      <c r="AK54" s="565" t="str">
        <f>IF(足元帳!AT41="","",足元帳!AT41)</f>
        <v/>
      </c>
      <c r="AL54" s="565"/>
      <c r="AM54" s="565"/>
      <c r="AN54" s="565"/>
      <c r="AO54" s="565"/>
      <c r="AP54" s="565"/>
      <c r="AQ54" s="588"/>
    </row>
    <row r="55" spans="1:43" ht="22.5" customHeight="1">
      <c r="A55" s="586">
        <f t="shared" si="1"/>
        <v>41</v>
      </c>
      <c r="B55" s="566"/>
      <c r="C55" s="73" t="str">
        <f>IF(足元帳!AY42=1,"N",IF(足元帳!AY42=2,"R",""))</f>
        <v/>
      </c>
      <c r="D55" s="74" t="str">
        <f>IF(足元帳!AZ42&gt;0,VLOOKUP(足元帳!AZ42,管理シート!$CF$32:$CG$34,2,FALSE),"")</f>
        <v/>
      </c>
      <c r="E55" s="572" t="str">
        <f>IF(足元帳!BB42&gt;0,VLOOKUP(足元帳!BB42,管理シート!#REF!,2,FALSE),"")</f>
        <v/>
      </c>
      <c r="F55" s="573"/>
      <c r="G55" s="574">
        <f>足元帳!J42</f>
        <v>0</v>
      </c>
      <c r="H55" s="575"/>
      <c r="I55" s="574">
        <f>足元帳!K42</f>
        <v>0</v>
      </c>
      <c r="J55" s="576"/>
      <c r="K55" s="575"/>
      <c r="L55" s="73" t="str">
        <f ca="1">IF(足元帳!AB42="●","無",IF(足元帳!AC42="●","半",IF(AG55="周年","半",IF(AG55="プレ6","半",IF(AG55="6割","半","")))))</f>
        <v/>
      </c>
      <c r="M55" s="115" t="str">
        <f>IF(足元帳!AM42="","","○")&amp;IF(足元帳!AL42="","","○")</f>
        <v/>
      </c>
      <c r="N55" s="115" t="str">
        <f>IF(足元帳!AN42="","","○")</f>
        <v/>
      </c>
      <c r="O55" s="587" t="str">
        <f t="shared" ca="1" si="2"/>
        <v/>
      </c>
      <c r="P55" s="565"/>
      <c r="Q55" s="565"/>
      <c r="R55" s="565" t="str">
        <f t="shared" ca="1" si="3"/>
        <v/>
      </c>
      <c r="S55" s="565"/>
      <c r="T55" s="565"/>
      <c r="U55" s="565" t="str">
        <f t="shared" ca="1" si="4"/>
        <v/>
      </c>
      <c r="V55" s="565"/>
      <c r="W55" s="565"/>
      <c r="X55" s="565" t="str">
        <f t="shared" ca="1" si="5"/>
        <v/>
      </c>
      <c r="Y55" s="565"/>
      <c r="Z55" s="565"/>
      <c r="AA55" s="565" t="str">
        <f t="shared" ca="1" si="6"/>
        <v/>
      </c>
      <c r="AB55" s="565"/>
      <c r="AC55" s="565"/>
      <c r="AD55" s="565" t="str">
        <f>IF(足元帳!Z42="","",足元帳!Z42)</f>
        <v/>
      </c>
      <c r="AE55" s="565"/>
      <c r="AF55" s="566"/>
      <c r="AG55" s="587" t="str">
        <f ca="1">IF(ISERROR(MATCH("●",足元帳!AD42:AM42,0)),IF(足元帳!AM42="","",足元帳!$AM$1&amp;足元帳!AM42),INDIRECT("足元帳!R1C"&amp;MATCH("●",足元帳!AD42:AM42,0)+29,FALSE))</f>
        <v/>
      </c>
      <c r="AH55" s="565"/>
      <c r="AI55" s="565"/>
      <c r="AJ55" s="565"/>
      <c r="AK55" s="565" t="str">
        <f>IF(足元帳!AT42="","",足元帳!AT42)</f>
        <v/>
      </c>
      <c r="AL55" s="565"/>
      <c r="AM55" s="565"/>
      <c r="AN55" s="565"/>
      <c r="AO55" s="565"/>
      <c r="AP55" s="565"/>
      <c r="AQ55" s="588"/>
    </row>
    <row r="56" spans="1:43" ht="22.5" customHeight="1">
      <c r="A56" s="586">
        <f t="shared" si="1"/>
        <v>42</v>
      </c>
      <c r="B56" s="566"/>
      <c r="C56" s="73" t="str">
        <f>IF(足元帳!AY43=1,"N",IF(足元帳!AY43=2,"R",""))</f>
        <v/>
      </c>
      <c r="D56" s="74" t="str">
        <f>IF(足元帳!AZ43&gt;0,VLOOKUP(足元帳!AZ43,管理シート!$CF$32:$CG$34,2,FALSE),"")</f>
        <v/>
      </c>
      <c r="E56" s="572" t="str">
        <f>IF(足元帳!BB43&gt;0,VLOOKUP(足元帳!BB43,管理シート!#REF!,2,FALSE),"")</f>
        <v/>
      </c>
      <c r="F56" s="573"/>
      <c r="G56" s="574">
        <f>足元帳!J43</f>
        <v>0</v>
      </c>
      <c r="H56" s="575"/>
      <c r="I56" s="574">
        <f>足元帳!K43</f>
        <v>0</v>
      </c>
      <c r="J56" s="576"/>
      <c r="K56" s="575"/>
      <c r="L56" s="73" t="str">
        <f ca="1">IF(足元帳!AB43="●","無",IF(足元帳!AC43="●","半",IF(AG56="周年","半",IF(AG56="プレ6","半",IF(AG56="6割","半","")))))</f>
        <v/>
      </c>
      <c r="M56" s="115" t="str">
        <f>IF(足元帳!AM43="","","○")&amp;IF(足元帳!AL43="","","○")</f>
        <v/>
      </c>
      <c r="N56" s="115" t="str">
        <f>IF(足元帳!AN43="","","○")</f>
        <v/>
      </c>
      <c r="O56" s="587" t="str">
        <f t="shared" ca="1" si="2"/>
        <v/>
      </c>
      <c r="P56" s="565"/>
      <c r="Q56" s="565"/>
      <c r="R56" s="565" t="str">
        <f t="shared" ca="1" si="3"/>
        <v/>
      </c>
      <c r="S56" s="565"/>
      <c r="T56" s="565"/>
      <c r="U56" s="565" t="str">
        <f t="shared" ca="1" si="4"/>
        <v/>
      </c>
      <c r="V56" s="565"/>
      <c r="W56" s="565"/>
      <c r="X56" s="565" t="str">
        <f t="shared" ca="1" si="5"/>
        <v/>
      </c>
      <c r="Y56" s="565"/>
      <c r="Z56" s="565"/>
      <c r="AA56" s="565" t="str">
        <f t="shared" ca="1" si="6"/>
        <v/>
      </c>
      <c r="AB56" s="565"/>
      <c r="AC56" s="565"/>
      <c r="AD56" s="565" t="str">
        <f>IF(足元帳!Z43="","",足元帳!Z43)</f>
        <v/>
      </c>
      <c r="AE56" s="565"/>
      <c r="AF56" s="566"/>
      <c r="AG56" s="587" t="str">
        <f ca="1">IF(ISERROR(MATCH("●",足元帳!AD43:AM43,0)),IF(足元帳!AM43="","",足元帳!$AM$1&amp;足元帳!AM43),INDIRECT("足元帳!R1C"&amp;MATCH("●",足元帳!AD43:AM43,0)+29,FALSE))</f>
        <v/>
      </c>
      <c r="AH56" s="565"/>
      <c r="AI56" s="565"/>
      <c r="AJ56" s="565"/>
      <c r="AK56" s="565" t="str">
        <f>IF(足元帳!AT43="","",足元帳!AT43)</f>
        <v/>
      </c>
      <c r="AL56" s="565"/>
      <c r="AM56" s="565"/>
      <c r="AN56" s="565"/>
      <c r="AO56" s="565"/>
      <c r="AP56" s="565"/>
      <c r="AQ56" s="588"/>
    </row>
    <row r="57" spans="1:43" ht="22.5" customHeight="1">
      <c r="A57" s="586">
        <f t="shared" si="1"/>
        <v>43</v>
      </c>
      <c r="B57" s="566"/>
      <c r="C57" s="73" t="str">
        <f>IF(足元帳!AY44=1,"N",IF(足元帳!AY44=2,"R",""))</f>
        <v/>
      </c>
      <c r="D57" s="74" t="str">
        <f>IF(足元帳!AZ44&gt;0,VLOOKUP(足元帳!AZ44,管理シート!$CF$32:$CG$34,2,FALSE),"")</f>
        <v/>
      </c>
      <c r="E57" s="572" t="str">
        <f>IF(足元帳!BB44&gt;0,VLOOKUP(足元帳!BB44,管理シート!#REF!,2,FALSE),"")</f>
        <v/>
      </c>
      <c r="F57" s="573"/>
      <c r="G57" s="574">
        <f>足元帳!J44</f>
        <v>0</v>
      </c>
      <c r="H57" s="575"/>
      <c r="I57" s="574">
        <f>足元帳!K44</f>
        <v>0</v>
      </c>
      <c r="J57" s="576"/>
      <c r="K57" s="575"/>
      <c r="L57" s="73" t="str">
        <f ca="1">IF(足元帳!AB44="●","無",IF(足元帳!AC44="●","半",IF(AG57="周年","半",IF(AG57="プレ6","半",IF(AG57="6割","半","")))))</f>
        <v/>
      </c>
      <c r="M57" s="115" t="str">
        <f>IF(足元帳!AM44="","","○")&amp;IF(足元帳!AL44="","","○")</f>
        <v/>
      </c>
      <c r="N57" s="115" t="str">
        <f>IF(足元帳!AN44="","","○")</f>
        <v/>
      </c>
      <c r="O57" s="587" t="str">
        <f t="shared" ca="1" si="2"/>
        <v/>
      </c>
      <c r="P57" s="565"/>
      <c r="Q57" s="565"/>
      <c r="R57" s="565" t="str">
        <f t="shared" ca="1" si="3"/>
        <v/>
      </c>
      <c r="S57" s="565"/>
      <c r="T57" s="565"/>
      <c r="U57" s="565" t="str">
        <f t="shared" ca="1" si="4"/>
        <v/>
      </c>
      <c r="V57" s="565"/>
      <c r="W57" s="565"/>
      <c r="X57" s="565" t="str">
        <f t="shared" ca="1" si="5"/>
        <v/>
      </c>
      <c r="Y57" s="565"/>
      <c r="Z57" s="565"/>
      <c r="AA57" s="565" t="str">
        <f t="shared" ca="1" si="6"/>
        <v/>
      </c>
      <c r="AB57" s="565"/>
      <c r="AC57" s="565"/>
      <c r="AD57" s="565" t="str">
        <f>IF(足元帳!Z44="","",足元帳!Z44)</f>
        <v/>
      </c>
      <c r="AE57" s="565"/>
      <c r="AF57" s="566"/>
      <c r="AG57" s="587" t="str">
        <f ca="1">IF(ISERROR(MATCH("●",足元帳!AD44:AM44,0)),IF(足元帳!AM44="","",足元帳!$AM$1&amp;足元帳!AM44),INDIRECT("足元帳!R1C"&amp;MATCH("●",足元帳!AD44:AM44,0)+29,FALSE))</f>
        <v/>
      </c>
      <c r="AH57" s="565"/>
      <c r="AI57" s="565"/>
      <c r="AJ57" s="565"/>
      <c r="AK57" s="565" t="str">
        <f>IF(足元帳!AT44="","",足元帳!AT44)</f>
        <v/>
      </c>
      <c r="AL57" s="565"/>
      <c r="AM57" s="565"/>
      <c r="AN57" s="565"/>
      <c r="AO57" s="565"/>
      <c r="AP57" s="565"/>
      <c r="AQ57" s="588"/>
    </row>
    <row r="58" spans="1:43" ht="22.5" customHeight="1">
      <c r="A58" s="586">
        <f t="shared" si="1"/>
        <v>44</v>
      </c>
      <c r="B58" s="566"/>
      <c r="C58" s="73" t="str">
        <f>IF(足元帳!AY45=1,"N",IF(足元帳!AY45=2,"R",""))</f>
        <v/>
      </c>
      <c r="D58" s="74" t="str">
        <f>IF(足元帳!AZ45&gt;0,VLOOKUP(足元帳!AZ45,管理シート!$CF$32:$CG$34,2,FALSE),"")</f>
        <v/>
      </c>
      <c r="E58" s="572" t="str">
        <f>IF(足元帳!BB45&gt;0,VLOOKUP(足元帳!BB45,管理シート!#REF!,2,FALSE),"")</f>
        <v/>
      </c>
      <c r="F58" s="573"/>
      <c r="G58" s="574">
        <f>足元帳!J45</f>
        <v>0</v>
      </c>
      <c r="H58" s="575"/>
      <c r="I58" s="574">
        <f>足元帳!K45</f>
        <v>0</v>
      </c>
      <c r="J58" s="576"/>
      <c r="K58" s="575"/>
      <c r="L58" s="73" t="str">
        <f ca="1">IF(足元帳!AB45="●","無",IF(足元帳!AC45="●","半",IF(AG58="周年","半",IF(AG58="プレ6","半",IF(AG58="6割","半","")))))</f>
        <v/>
      </c>
      <c r="M58" s="115" t="str">
        <f>IF(足元帳!AM45="","","○")&amp;IF(足元帳!AL45="","","○")</f>
        <v/>
      </c>
      <c r="N58" s="115" t="str">
        <f>IF(足元帳!AN45="","","○")</f>
        <v/>
      </c>
      <c r="O58" s="587" t="str">
        <f t="shared" ca="1" si="2"/>
        <v/>
      </c>
      <c r="P58" s="565"/>
      <c r="Q58" s="565"/>
      <c r="R58" s="565" t="str">
        <f t="shared" ca="1" si="3"/>
        <v/>
      </c>
      <c r="S58" s="565"/>
      <c r="T58" s="565"/>
      <c r="U58" s="565" t="str">
        <f t="shared" ca="1" si="4"/>
        <v/>
      </c>
      <c r="V58" s="565"/>
      <c r="W58" s="565"/>
      <c r="X58" s="565" t="str">
        <f t="shared" ca="1" si="5"/>
        <v/>
      </c>
      <c r="Y58" s="565"/>
      <c r="Z58" s="565"/>
      <c r="AA58" s="565" t="str">
        <f t="shared" ca="1" si="6"/>
        <v/>
      </c>
      <c r="AB58" s="565"/>
      <c r="AC58" s="565"/>
      <c r="AD58" s="565" t="str">
        <f>IF(足元帳!Z45="","",足元帳!Z45)</f>
        <v/>
      </c>
      <c r="AE58" s="565"/>
      <c r="AF58" s="566"/>
      <c r="AG58" s="587" t="str">
        <f ca="1">IF(ISERROR(MATCH("●",足元帳!AD45:AM45,0)),IF(足元帳!AM45="","",足元帳!$AM$1&amp;足元帳!AM45),INDIRECT("足元帳!R1C"&amp;MATCH("●",足元帳!AD45:AM45,0)+29,FALSE))</f>
        <v/>
      </c>
      <c r="AH58" s="565"/>
      <c r="AI58" s="565"/>
      <c r="AJ58" s="565"/>
      <c r="AK58" s="565" t="str">
        <f>IF(足元帳!AT45="","",足元帳!AT45)</f>
        <v/>
      </c>
      <c r="AL58" s="565"/>
      <c r="AM58" s="565"/>
      <c r="AN58" s="565"/>
      <c r="AO58" s="565"/>
      <c r="AP58" s="565"/>
      <c r="AQ58" s="588"/>
    </row>
    <row r="59" spans="1:43" ht="22.5" customHeight="1">
      <c r="A59" s="586">
        <f t="shared" si="1"/>
        <v>45</v>
      </c>
      <c r="B59" s="566"/>
      <c r="C59" s="73" t="str">
        <f>IF(足元帳!AY46=1,"N",IF(足元帳!AY46=2,"R",""))</f>
        <v/>
      </c>
      <c r="D59" s="74" t="str">
        <f>IF(足元帳!AZ46&gt;0,VLOOKUP(足元帳!AZ46,管理シート!$CF$32:$CG$34,2,FALSE),"")</f>
        <v/>
      </c>
      <c r="E59" s="572" t="str">
        <f>IF(足元帳!BB46&gt;0,VLOOKUP(足元帳!BB46,管理シート!#REF!,2,FALSE),"")</f>
        <v/>
      </c>
      <c r="F59" s="573"/>
      <c r="G59" s="574">
        <f>足元帳!J46</f>
        <v>0</v>
      </c>
      <c r="H59" s="575"/>
      <c r="I59" s="574">
        <f>足元帳!K46</f>
        <v>0</v>
      </c>
      <c r="J59" s="576"/>
      <c r="K59" s="575"/>
      <c r="L59" s="73" t="str">
        <f ca="1">IF(足元帳!AB46="●","無",IF(足元帳!AC46="●","半",IF(AG59="周年","半",IF(AG59="プレ6","半",IF(AG59="6割","半","")))))</f>
        <v/>
      </c>
      <c r="M59" s="115" t="str">
        <f>IF(足元帳!AM46="","","○")&amp;IF(足元帳!AL46="","","○")</f>
        <v/>
      </c>
      <c r="N59" s="115" t="str">
        <f>IF(足元帳!AN46="","","○")</f>
        <v/>
      </c>
      <c r="O59" s="587" t="str">
        <f t="shared" ca="1" si="2"/>
        <v/>
      </c>
      <c r="P59" s="565"/>
      <c r="Q59" s="565"/>
      <c r="R59" s="565" t="str">
        <f t="shared" ca="1" si="3"/>
        <v/>
      </c>
      <c r="S59" s="565"/>
      <c r="T59" s="565"/>
      <c r="U59" s="565" t="str">
        <f t="shared" ca="1" si="4"/>
        <v/>
      </c>
      <c r="V59" s="565"/>
      <c r="W59" s="565"/>
      <c r="X59" s="565" t="str">
        <f t="shared" ca="1" si="5"/>
        <v/>
      </c>
      <c r="Y59" s="565"/>
      <c r="Z59" s="565"/>
      <c r="AA59" s="565" t="str">
        <f t="shared" ca="1" si="6"/>
        <v/>
      </c>
      <c r="AB59" s="565"/>
      <c r="AC59" s="565"/>
      <c r="AD59" s="565" t="str">
        <f>IF(足元帳!Z46="","",足元帳!Z46)</f>
        <v/>
      </c>
      <c r="AE59" s="565"/>
      <c r="AF59" s="566"/>
      <c r="AG59" s="587" t="str">
        <f ca="1">IF(ISERROR(MATCH("●",足元帳!AD46:AM46,0)),IF(足元帳!AM46="","",足元帳!$AM$1&amp;足元帳!AM46),INDIRECT("足元帳!R1C"&amp;MATCH("●",足元帳!AD46:AM46,0)+29,FALSE))</f>
        <v/>
      </c>
      <c r="AH59" s="565"/>
      <c r="AI59" s="565"/>
      <c r="AJ59" s="565"/>
      <c r="AK59" s="565" t="str">
        <f>IF(足元帳!AT46="","",足元帳!AT46)</f>
        <v/>
      </c>
      <c r="AL59" s="565"/>
      <c r="AM59" s="565"/>
      <c r="AN59" s="565"/>
      <c r="AO59" s="565"/>
      <c r="AP59" s="565"/>
      <c r="AQ59" s="588"/>
    </row>
    <row r="60" spans="1:43" ht="22.5" customHeight="1">
      <c r="A60" s="586">
        <f t="shared" si="1"/>
        <v>46</v>
      </c>
      <c r="B60" s="566"/>
      <c r="C60" s="73" t="str">
        <f>IF(足元帳!AY47=1,"N",IF(足元帳!AY47=2,"R",""))</f>
        <v/>
      </c>
      <c r="D60" s="74" t="str">
        <f>IF(足元帳!AZ47&gt;0,VLOOKUP(足元帳!AZ47,管理シート!$CF$32:$CG$34,2,FALSE),"")</f>
        <v/>
      </c>
      <c r="E60" s="572" t="str">
        <f>IF(足元帳!BB47&gt;0,VLOOKUP(足元帳!BB47,管理シート!#REF!,2,FALSE),"")</f>
        <v/>
      </c>
      <c r="F60" s="573"/>
      <c r="G60" s="574">
        <f>足元帳!J47</f>
        <v>0</v>
      </c>
      <c r="H60" s="575"/>
      <c r="I60" s="574">
        <f>足元帳!K47</f>
        <v>0</v>
      </c>
      <c r="J60" s="576"/>
      <c r="K60" s="575"/>
      <c r="L60" s="73" t="str">
        <f ca="1">IF(足元帳!AB47="●","無",IF(足元帳!AC47="●","半",IF(AG60="周年","半",IF(AG60="プレ6","半",IF(AG60="6割","半","")))))</f>
        <v/>
      </c>
      <c r="M60" s="115" t="str">
        <f>IF(足元帳!AM47="","","○")&amp;IF(足元帳!AL47="","","○")</f>
        <v/>
      </c>
      <c r="N60" s="115" t="str">
        <f>IF(足元帳!AN47="","","○")</f>
        <v/>
      </c>
      <c r="O60" s="587" t="str">
        <f t="shared" ca="1" si="2"/>
        <v/>
      </c>
      <c r="P60" s="565"/>
      <c r="Q60" s="565"/>
      <c r="R60" s="565" t="str">
        <f t="shared" ca="1" si="3"/>
        <v/>
      </c>
      <c r="S60" s="565"/>
      <c r="T60" s="565"/>
      <c r="U60" s="565" t="str">
        <f t="shared" ca="1" si="4"/>
        <v/>
      </c>
      <c r="V60" s="565"/>
      <c r="W60" s="565"/>
      <c r="X60" s="565" t="str">
        <f t="shared" ca="1" si="5"/>
        <v/>
      </c>
      <c r="Y60" s="565"/>
      <c r="Z60" s="565"/>
      <c r="AA60" s="565" t="str">
        <f t="shared" ca="1" si="6"/>
        <v/>
      </c>
      <c r="AB60" s="565"/>
      <c r="AC60" s="565"/>
      <c r="AD60" s="565" t="str">
        <f>IF(足元帳!Z47="","",足元帳!Z47)</f>
        <v/>
      </c>
      <c r="AE60" s="565"/>
      <c r="AF60" s="566"/>
      <c r="AG60" s="587" t="str">
        <f ca="1">IF(ISERROR(MATCH("●",足元帳!AD47:AM47,0)),IF(足元帳!AM47="","",足元帳!$AM$1&amp;足元帳!AM47),INDIRECT("足元帳!R1C"&amp;MATCH("●",足元帳!AD47:AM47,0)+29,FALSE))</f>
        <v/>
      </c>
      <c r="AH60" s="565"/>
      <c r="AI60" s="565"/>
      <c r="AJ60" s="565"/>
      <c r="AK60" s="565" t="str">
        <f>IF(足元帳!AT47="","",足元帳!AT47)</f>
        <v/>
      </c>
      <c r="AL60" s="565"/>
      <c r="AM60" s="565"/>
      <c r="AN60" s="565"/>
      <c r="AO60" s="565"/>
      <c r="AP60" s="565"/>
      <c r="AQ60" s="588"/>
    </row>
    <row r="61" spans="1:43" ht="22.5" customHeight="1">
      <c r="A61" s="586">
        <f t="shared" si="1"/>
        <v>47</v>
      </c>
      <c r="B61" s="566"/>
      <c r="C61" s="73" t="str">
        <f>IF(足元帳!AY48=1,"N",IF(足元帳!AY48=2,"R",""))</f>
        <v/>
      </c>
      <c r="D61" s="74" t="str">
        <f>IF(足元帳!AZ48&gt;0,VLOOKUP(足元帳!AZ48,管理シート!$CF$32:$CG$34,2,FALSE),"")</f>
        <v/>
      </c>
      <c r="E61" s="572" t="str">
        <f>IF(足元帳!BB48&gt;0,VLOOKUP(足元帳!BB48,管理シート!#REF!,2,FALSE),"")</f>
        <v/>
      </c>
      <c r="F61" s="573"/>
      <c r="G61" s="574">
        <f>足元帳!J48</f>
        <v>0</v>
      </c>
      <c r="H61" s="575"/>
      <c r="I61" s="574">
        <f>足元帳!K48</f>
        <v>0</v>
      </c>
      <c r="J61" s="576"/>
      <c r="K61" s="575"/>
      <c r="L61" s="73" t="str">
        <f ca="1">IF(足元帳!AB48="●","無",IF(足元帳!AC48="●","半",IF(AG61="周年","半",IF(AG61="プレ6","半",IF(AG61="6割","半","")))))</f>
        <v/>
      </c>
      <c r="M61" s="115" t="str">
        <f>IF(足元帳!AM48="","","○")&amp;IF(足元帳!AL48="","","○")</f>
        <v/>
      </c>
      <c r="N61" s="115" t="str">
        <f>IF(足元帳!AN48="","","○")</f>
        <v/>
      </c>
      <c r="O61" s="587" t="str">
        <f t="shared" ca="1" si="2"/>
        <v/>
      </c>
      <c r="P61" s="565"/>
      <c r="Q61" s="565"/>
      <c r="R61" s="565" t="str">
        <f t="shared" ca="1" si="3"/>
        <v/>
      </c>
      <c r="S61" s="565"/>
      <c r="T61" s="565"/>
      <c r="U61" s="565" t="str">
        <f t="shared" ca="1" si="4"/>
        <v/>
      </c>
      <c r="V61" s="565"/>
      <c r="W61" s="565"/>
      <c r="X61" s="565" t="str">
        <f t="shared" ca="1" si="5"/>
        <v/>
      </c>
      <c r="Y61" s="565"/>
      <c r="Z61" s="565"/>
      <c r="AA61" s="565" t="str">
        <f t="shared" ca="1" si="6"/>
        <v/>
      </c>
      <c r="AB61" s="565"/>
      <c r="AC61" s="565"/>
      <c r="AD61" s="565" t="str">
        <f>IF(足元帳!Z48="","",足元帳!Z48)</f>
        <v/>
      </c>
      <c r="AE61" s="565"/>
      <c r="AF61" s="566"/>
      <c r="AG61" s="587" t="str">
        <f ca="1">IF(ISERROR(MATCH("●",足元帳!AD48:AM48,0)),IF(足元帳!AM48="","",足元帳!$AM$1&amp;足元帳!AM48),INDIRECT("足元帳!R1C"&amp;MATCH("●",足元帳!AD48:AM48,0)+29,FALSE))</f>
        <v/>
      </c>
      <c r="AH61" s="565"/>
      <c r="AI61" s="565"/>
      <c r="AJ61" s="565"/>
      <c r="AK61" s="565" t="str">
        <f>IF(足元帳!AT48="","",足元帳!AT48)</f>
        <v/>
      </c>
      <c r="AL61" s="565"/>
      <c r="AM61" s="565"/>
      <c r="AN61" s="565"/>
      <c r="AO61" s="565"/>
      <c r="AP61" s="565"/>
      <c r="AQ61" s="588"/>
    </row>
    <row r="62" spans="1:43" ht="22.5" customHeight="1">
      <c r="A62" s="586">
        <f t="shared" si="1"/>
        <v>48</v>
      </c>
      <c r="B62" s="566"/>
      <c r="C62" s="73" t="str">
        <f>IF(足元帳!AY49=1,"N",IF(足元帳!AY49=2,"R",""))</f>
        <v/>
      </c>
      <c r="D62" s="74" t="str">
        <f>IF(足元帳!AZ49&gt;0,VLOOKUP(足元帳!AZ49,管理シート!$CF$32:$CG$34,2,FALSE),"")</f>
        <v/>
      </c>
      <c r="E62" s="572" t="str">
        <f>IF(足元帳!BB49&gt;0,VLOOKUP(足元帳!BB49,管理シート!#REF!,2,FALSE),"")</f>
        <v/>
      </c>
      <c r="F62" s="573"/>
      <c r="G62" s="574">
        <f>足元帳!J49</f>
        <v>0</v>
      </c>
      <c r="H62" s="575"/>
      <c r="I62" s="574">
        <f>足元帳!K49</f>
        <v>0</v>
      </c>
      <c r="J62" s="576"/>
      <c r="K62" s="575"/>
      <c r="L62" s="73" t="str">
        <f ca="1">IF(足元帳!AB49="●","無",IF(足元帳!AC49="●","半",IF(AG62="周年","半",IF(AG62="プレ6","半",IF(AG62="6割","半","")))))</f>
        <v/>
      </c>
      <c r="M62" s="115" t="str">
        <f>IF(足元帳!AM49="","","○")&amp;IF(足元帳!AL49="","","○")</f>
        <v/>
      </c>
      <c r="N62" s="115" t="str">
        <f>IF(足元帳!AN49="","","○")</f>
        <v/>
      </c>
      <c r="O62" s="587" t="str">
        <f t="shared" ca="1" si="2"/>
        <v/>
      </c>
      <c r="P62" s="565"/>
      <c r="Q62" s="565"/>
      <c r="R62" s="565" t="str">
        <f t="shared" ca="1" si="3"/>
        <v/>
      </c>
      <c r="S62" s="565"/>
      <c r="T62" s="565"/>
      <c r="U62" s="565" t="str">
        <f t="shared" ca="1" si="4"/>
        <v/>
      </c>
      <c r="V62" s="565"/>
      <c r="W62" s="565"/>
      <c r="X62" s="565" t="str">
        <f t="shared" ca="1" si="5"/>
        <v/>
      </c>
      <c r="Y62" s="565"/>
      <c r="Z62" s="565"/>
      <c r="AA62" s="565" t="str">
        <f t="shared" ca="1" si="6"/>
        <v/>
      </c>
      <c r="AB62" s="565"/>
      <c r="AC62" s="565"/>
      <c r="AD62" s="565" t="str">
        <f>IF(足元帳!Z49="","",足元帳!Z49)</f>
        <v/>
      </c>
      <c r="AE62" s="565"/>
      <c r="AF62" s="566"/>
      <c r="AG62" s="587" t="str">
        <f ca="1">IF(ISERROR(MATCH("●",足元帳!AD49:AM49,0)),IF(足元帳!AM49="","",足元帳!$AM$1&amp;足元帳!AM49),INDIRECT("足元帳!R1C"&amp;MATCH("●",足元帳!AD49:AM49,0)+29,FALSE))</f>
        <v/>
      </c>
      <c r="AH62" s="565"/>
      <c r="AI62" s="565"/>
      <c r="AJ62" s="565"/>
      <c r="AK62" s="565" t="str">
        <f>IF(足元帳!AT49="","",足元帳!AT49)</f>
        <v/>
      </c>
      <c r="AL62" s="565"/>
      <c r="AM62" s="565"/>
      <c r="AN62" s="565"/>
      <c r="AO62" s="565"/>
      <c r="AP62" s="565"/>
      <c r="AQ62" s="588"/>
    </row>
    <row r="63" spans="1:43" ht="22.5" customHeight="1">
      <c r="A63" s="586">
        <f t="shared" si="1"/>
        <v>49</v>
      </c>
      <c r="B63" s="566"/>
      <c r="C63" s="73" t="str">
        <f>IF(足元帳!AY50=1,"N",IF(足元帳!AY50=2,"R",""))</f>
        <v/>
      </c>
      <c r="D63" s="74" t="str">
        <f>IF(足元帳!AZ50&gt;0,VLOOKUP(足元帳!AZ50,管理シート!$CF$32:$CG$34,2,FALSE),"")</f>
        <v/>
      </c>
      <c r="E63" s="572" t="str">
        <f>IF(足元帳!BB50&gt;0,VLOOKUP(足元帳!BB50,管理シート!#REF!,2,FALSE),"")</f>
        <v/>
      </c>
      <c r="F63" s="573"/>
      <c r="G63" s="574">
        <f>足元帳!J50</f>
        <v>0</v>
      </c>
      <c r="H63" s="575"/>
      <c r="I63" s="574">
        <f>足元帳!K50</f>
        <v>0</v>
      </c>
      <c r="J63" s="576"/>
      <c r="K63" s="575"/>
      <c r="L63" s="73" t="str">
        <f ca="1">IF(足元帳!AB50="●","無",IF(足元帳!AC50="●","半",IF(AG63="周年","半",IF(AG63="プレ6","半",IF(AG63="6割","半","")))))</f>
        <v/>
      </c>
      <c r="M63" s="115" t="str">
        <f>IF(足元帳!AM50="","","○")&amp;IF(足元帳!AL50="","","○")</f>
        <v/>
      </c>
      <c r="N63" s="115" t="str">
        <f>IF(足元帳!AN50="","","○")</f>
        <v/>
      </c>
      <c r="O63" s="587" t="str">
        <f t="shared" ca="1" si="2"/>
        <v/>
      </c>
      <c r="P63" s="565"/>
      <c r="Q63" s="565"/>
      <c r="R63" s="565" t="str">
        <f t="shared" ca="1" si="3"/>
        <v/>
      </c>
      <c r="S63" s="565"/>
      <c r="T63" s="565"/>
      <c r="U63" s="565" t="str">
        <f t="shared" ca="1" si="4"/>
        <v/>
      </c>
      <c r="V63" s="565"/>
      <c r="W63" s="565"/>
      <c r="X63" s="565" t="str">
        <f t="shared" ca="1" si="5"/>
        <v/>
      </c>
      <c r="Y63" s="565"/>
      <c r="Z63" s="565"/>
      <c r="AA63" s="565" t="str">
        <f t="shared" ca="1" si="6"/>
        <v/>
      </c>
      <c r="AB63" s="565"/>
      <c r="AC63" s="565"/>
      <c r="AD63" s="565" t="str">
        <f>IF(足元帳!Z50="","",足元帳!Z50)</f>
        <v/>
      </c>
      <c r="AE63" s="565"/>
      <c r="AF63" s="566"/>
      <c r="AG63" s="587" t="str">
        <f ca="1">IF(ISERROR(MATCH("●",足元帳!AD50:AM50,0)),IF(足元帳!AM50="","",足元帳!$AM$1&amp;足元帳!AM50),INDIRECT("足元帳!R1C"&amp;MATCH("●",足元帳!AD50:AM50,0)+29,FALSE))</f>
        <v/>
      </c>
      <c r="AH63" s="565"/>
      <c r="AI63" s="565"/>
      <c r="AJ63" s="565"/>
      <c r="AK63" s="565" t="str">
        <f>IF(足元帳!AT50="","",足元帳!AT50)</f>
        <v/>
      </c>
      <c r="AL63" s="565"/>
      <c r="AM63" s="565"/>
      <c r="AN63" s="565"/>
      <c r="AO63" s="565"/>
      <c r="AP63" s="565"/>
      <c r="AQ63" s="588"/>
    </row>
    <row r="64" spans="1:43" ht="22.5" customHeight="1">
      <c r="A64" s="586">
        <f t="shared" si="1"/>
        <v>50</v>
      </c>
      <c r="B64" s="566"/>
      <c r="C64" s="73" t="str">
        <f>IF(足元帳!AY51=1,"N",IF(足元帳!AY51=2,"R",""))</f>
        <v/>
      </c>
      <c r="D64" s="74" t="str">
        <f>IF(足元帳!AZ51&gt;0,VLOOKUP(足元帳!AZ51,管理シート!$CF$32:$CG$34,2,FALSE),"")</f>
        <v/>
      </c>
      <c r="E64" s="572" t="str">
        <f>IF(足元帳!BB51&gt;0,VLOOKUP(足元帳!BB51,管理シート!#REF!,2,FALSE),"")</f>
        <v/>
      </c>
      <c r="F64" s="573"/>
      <c r="G64" s="574">
        <f>足元帳!J51</f>
        <v>0</v>
      </c>
      <c r="H64" s="575"/>
      <c r="I64" s="574">
        <f>足元帳!K51</f>
        <v>0</v>
      </c>
      <c r="J64" s="576"/>
      <c r="K64" s="575"/>
      <c r="L64" s="73" t="str">
        <f ca="1">IF(足元帳!AB51="●","無",IF(足元帳!AC51="●","半",IF(AG64="周年","半",IF(AG64="プレ6","半",IF(AG64="6割","半","")))))</f>
        <v/>
      </c>
      <c r="M64" s="115" t="str">
        <f>IF(足元帳!AM51="","","○")&amp;IF(足元帳!AL51="","","○")</f>
        <v/>
      </c>
      <c r="N64" s="115" t="str">
        <f>IF(足元帳!AN51="","","○")</f>
        <v/>
      </c>
      <c r="O64" s="587" t="str">
        <f t="shared" ca="1" si="2"/>
        <v/>
      </c>
      <c r="P64" s="565"/>
      <c r="Q64" s="565"/>
      <c r="R64" s="565" t="str">
        <f t="shared" ca="1" si="3"/>
        <v/>
      </c>
      <c r="S64" s="565"/>
      <c r="T64" s="565"/>
      <c r="U64" s="565" t="str">
        <f t="shared" ca="1" si="4"/>
        <v/>
      </c>
      <c r="V64" s="565"/>
      <c r="W64" s="565"/>
      <c r="X64" s="565" t="str">
        <f t="shared" ca="1" si="5"/>
        <v/>
      </c>
      <c r="Y64" s="565"/>
      <c r="Z64" s="565"/>
      <c r="AA64" s="565" t="str">
        <f t="shared" ca="1" si="6"/>
        <v/>
      </c>
      <c r="AB64" s="565"/>
      <c r="AC64" s="565"/>
      <c r="AD64" s="565" t="str">
        <f>IF(足元帳!Z51="","",足元帳!Z51)</f>
        <v/>
      </c>
      <c r="AE64" s="565"/>
      <c r="AF64" s="566"/>
      <c r="AG64" s="587" t="str">
        <f ca="1">IF(ISERROR(MATCH("●",足元帳!AD51:AM51,0)),IF(足元帳!AM51="","",足元帳!$AM$1&amp;足元帳!AM51),INDIRECT("足元帳!R1C"&amp;MATCH("●",足元帳!AD51:AM51,0)+29,FALSE))</f>
        <v/>
      </c>
      <c r="AH64" s="565"/>
      <c r="AI64" s="565"/>
      <c r="AJ64" s="565"/>
      <c r="AK64" s="565" t="str">
        <f>IF(足元帳!AT51="","",足元帳!AT51)</f>
        <v/>
      </c>
      <c r="AL64" s="565"/>
      <c r="AM64" s="565"/>
      <c r="AN64" s="565"/>
      <c r="AO64" s="565"/>
      <c r="AP64" s="565"/>
      <c r="AQ64" s="588"/>
    </row>
    <row r="65" spans="1:43" ht="22.5" customHeight="1">
      <c r="A65" s="586">
        <f t="shared" si="1"/>
        <v>51</v>
      </c>
      <c r="B65" s="566"/>
      <c r="C65" s="73" t="str">
        <f>IF(足元帳!AY52=1,"N",IF(足元帳!AY52=2,"R",""))</f>
        <v/>
      </c>
      <c r="D65" s="74" t="str">
        <f>IF(足元帳!AZ52&gt;0,VLOOKUP(足元帳!AZ52,管理シート!$CF$32:$CG$34,2,FALSE),"")</f>
        <v/>
      </c>
      <c r="E65" s="572" t="str">
        <f>IF(足元帳!BB52&gt;0,VLOOKUP(足元帳!BB52,管理シート!#REF!,2,FALSE),"")</f>
        <v/>
      </c>
      <c r="F65" s="573"/>
      <c r="G65" s="574">
        <f>足元帳!J52</f>
        <v>0</v>
      </c>
      <c r="H65" s="575"/>
      <c r="I65" s="574">
        <f>足元帳!K52</f>
        <v>0</v>
      </c>
      <c r="J65" s="576"/>
      <c r="K65" s="575"/>
      <c r="L65" s="73" t="str">
        <f ca="1">IF(足元帳!AB52="●","無",IF(足元帳!AC52="●","半",IF(AG65="周年","半",IF(AG65="プレ6","半",IF(AG65="6割","半","")))))</f>
        <v/>
      </c>
      <c r="M65" s="115" t="str">
        <f>IF(足元帳!AM52="","","○")&amp;IF(足元帳!AL52="","","○")</f>
        <v/>
      </c>
      <c r="N65" s="115" t="str">
        <f>IF(足元帳!AN52="","","○")</f>
        <v/>
      </c>
      <c r="O65" s="587" t="str">
        <f t="shared" ca="1" si="2"/>
        <v/>
      </c>
      <c r="P65" s="565"/>
      <c r="Q65" s="565"/>
      <c r="R65" s="565" t="str">
        <f t="shared" ca="1" si="3"/>
        <v/>
      </c>
      <c r="S65" s="565"/>
      <c r="T65" s="565"/>
      <c r="U65" s="565" t="str">
        <f t="shared" ca="1" si="4"/>
        <v/>
      </c>
      <c r="V65" s="565"/>
      <c r="W65" s="565"/>
      <c r="X65" s="565" t="str">
        <f t="shared" ca="1" si="5"/>
        <v/>
      </c>
      <c r="Y65" s="565"/>
      <c r="Z65" s="565"/>
      <c r="AA65" s="565" t="str">
        <f t="shared" ca="1" si="6"/>
        <v/>
      </c>
      <c r="AB65" s="565"/>
      <c r="AC65" s="565"/>
      <c r="AD65" s="565" t="str">
        <f>IF(足元帳!Z52="","",足元帳!Z52)</f>
        <v/>
      </c>
      <c r="AE65" s="565"/>
      <c r="AF65" s="566"/>
      <c r="AG65" s="587" t="str">
        <f ca="1">IF(ISERROR(MATCH("●",足元帳!AD52:AM52,0)),IF(足元帳!AM52="","",足元帳!$AM$1&amp;足元帳!AM52),INDIRECT("足元帳!R1C"&amp;MATCH("●",足元帳!AD52:AM52,0)+29,FALSE))</f>
        <v/>
      </c>
      <c r="AH65" s="565"/>
      <c r="AI65" s="565"/>
      <c r="AJ65" s="565"/>
      <c r="AK65" s="565" t="str">
        <f>IF(足元帳!AT52="","",足元帳!AT52)</f>
        <v/>
      </c>
      <c r="AL65" s="565"/>
      <c r="AM65" s="565"/>
      <c r="AN65" s="565"/>
      <c r="AO65" s="565"/>
      <c r="AP65" s="565"/>
      <c r="AQ65" s="588"/>
    </row>
    <row r="66" spans="1:43" ht="22.5" customHeight="1">
      <c r="A66" s="586">
        <f t="shared" si="1"/>
        <v>52</v>
      </c>
      <c r="B66" s="566"/>
      <c r="C66" s="73" t="str">
        <f>IF(足元帳!AY53=1,"N",IF(足元帳!AY53=2,"R",""))</f>
        <v/>
      </c>
      <c r="D66" s="74" t="str">
        <f>IF(足元帳!AZ53&gt;0,VLOOKUP(足元帳!AZ53,管理シート!$CF$32:$CG$34,2,FALSE),"")</f>
        <v/>
      </c>
      <c r="E66" s="572" t="str">
        <f>IF(足元帳!BB53&gt;0,VLOOKUP(足元帳!BB53,管理シート!#REF!,2,FALSE),"")</f>
        <v/>
      </c>
      <c r="F66" s="573"/>
      <c r="G66" s="574">
        <f>足元帳!J53</f>
        <v>0</v>
      </c>
      <c r="H66" s="575"/>
      <c r="I66" s="574">
        <f>足元帳!K53</f>
        <v>0</v>
      </c>
      <c r="J66" s="576"/>
      <c r="K66" s="575"/>
      <c r="L66" s="73" t="str">
        <f ca="1">IF(足元帳!AB53="●","無",IF(足元帳!AC53="●","半",IF(AG66="周年","半",IF(AG66="プレ6","半",IF(AG66="6割","半","")))))</f>
        <v/>
      </c>
      <c r="M66" s="115" t="str">
        <f>IF(足元帳!AM53="","","○")&amp;IF(足元帳!AL53="","","○")</f>
        <v/>
      </c>
      <c r="N66" s="115" t="str">
        <f>IF(足元帳!AN53="","","○")</f>
        <v/>
      </c>
      <c r="O66" s="587" t="str">
        <f t="shared" ca="1" si="2"/>
        <v/>
      </c>
      <c r="P66" s="565"/>
      <c r="Q66" s="565"/>
      <c r="R66" s="565" t="str">
        <f t="shared" ca="1" si="3"/>
        <v/>
      </c>
      <c r="S66" s="565"/>
      <c r="T66" s="565"/>
      <c r="U66" s="565" t="str">
        <f t="shared" ca="1" si="4"/>
        <v/>
      </c>
      <c r="V66" s="565"/>
      <c r="W66" s="565"/>
      <c r="X66" s="565" t="str">
        <f t="shared" ca="1" si="5"/>
        <v/>
      </c>
      <c r="Y66" s="565"/>
      <c r="Z66" s="565"/>
      <c r="AA66" s="565" t="str">
        <f t="shared" ca="1" si="6"/>
        <v/>
      </c>
      <c r="AB66" s="565"/>
      <c r="AC66" s="565"/>
      <c r="AD66" s="565" t="str">
        <f>IF(足元帳!Z53="","",足元帳!Z53)</f>
        <v/>
      </c>
      <c r="AE66" s="565"/>
      <c r="AF66" s="566"/>
      <c r="AG66" s="587" t="str">
        <f ca="1">IF(ISERROR(MATCH("●",足元帳!AD53:AM53,0)),IF(足元帳!AM53="","",足元帳!$AM$1&amp;足元帳!AM53),INDIRECT("足元帳!R1C"&amp;MATCH("●",足元帳!AD53:AM53,0)+29,FALSE))</f>
        <v/>
      </c>
      <c r="AH66" s="565"/>
      <c r="AI66" s="565"/>
      <c r="AJ66" s="565"/>
      <c r="AK66" s="565" t="str">
        <f>IF(足元帳!AT53="","",足元帳!AT53)</f>
        <v/>
      </c>
      <c r="AL66" s="565"/>
      <c r="AM66" s="565"/>
      <c r="AN66" s="565"/>
      <c r="AO66" s="565"/>
      <c r="AP66" s="565"/>
      <c r="AQ66" s="588"/>
    </row>
    <row r="67" spans="1:43" ht="22.5" customHeight="1">
      <c r="A67" s="586">
        <f t="shared" si="1"/>
        <v>53</v>
      </c>
      <c r="B67" s="566"/>
      <c r="C67" s="73" t="str">
        <f>IF(足元帳!AY54=1,"N",IF(足元帳!AY54=2,"R",""))</f>
        <v/>
      </c>
      <c r="D67" s="74" t="str">
        <f>IF(足元帳!AZ54&gt;0,VLOOKUP(足元帳!AZ54,管理シート!$CF$32:$CG$34,2,FALSE),"")</f>
        <v/>
      </c>
      <c r="E67" s="572" t="str">
        <f>IF(足元帳!BB54&gt;0,VLOOKUP(足元帳!BB54,管理シート!#REF!,2,FALSE),"")</f>
        <v/>
      </c>
      <c r="F67" s="573"/>
      <c r="G67" s="574">
        <f>足元帳!J54</f>
        <v>0</v>
      </c>
      <c r="H67" s="575"/>
      <c r="I67" s="574">
        <f>足元帳!K54</f>
        <v>0</v>
      </c>
      <c r="J67" s="576"/>
      <c r="K67" s="575"/>
      <c r="L67" s="73" t="str">
        <f ca="1">IF(足元帳!AB54="●","無",IF(足元帳!AC54="●","半",IF(AG67="周年","半",IF(AG67="プレ6","半",IF(AG67="6割","半","")))))</f>
        <v/>
      </c>
      <c r="M67" s="115" t="str">
        <f>IF(足元帳!AM54="","","○")&amp;IF(足元帳!AL54="","","○")</f>
        <v/>
      </c>
      <c r="N67" s="115" t="str">
        <f>IF(足元帳!AN54="","","○")</f>
        <v/>
      </c>
      <c r="O67" s="587" t="str">
        <f t="shared" ca="1" si="2"/>
        <v/>
      </c>
      <c r="P67" s="565"/>
      <c r="Q67" s="565"/>
      <c r="R67" s="565" t="str">
        <f t="shared" ca="1" si="3"/>
        <v/>
      </c>
      <c r="S67" s="565"/>
      <c r="T67" s="565"/>
      <c r="U67" s="565" t="str">
        <f t="shared" ca="1" si="4"/>
        <v/>
      </c>
      <c r="V67" s="565"/>
      <c r="W67" s="565"/>
      <c r="X67" s="565" t="str">
        <f t="shared" ca="1" si="5"/>
        <v/>
      </c>
      <c r="Y67" s="565"/>
      <c r="Z67" s="565"/>
      <c r="AA67" s="565" t="str">
        <f t="shared" ca="1" si="6"/>
        <v/>
      </c>
      <c r="AB67" s="565"/>
      <c r="AC67" s="565"/>
      <c r="AD67" s="565" t="str">
        <f>IF(足元帳!Z54="","",足元帳!Z54)</f>
        <v/>
      </c>
      <c r="AE67" s="565"/>
      <c r="AF67" s="566"/>
      <c r="AG67" s="587" t="str">
        <f ca="1">IF(ISERROR(MATCH("●",足元帳!AD54:AM54,0)),IF(足元帳!AM54="","",足元帳!$AM$1&amp;足元帳!AM54),INDIRECT("足元帳!R1C"&amp;MATCH("●",足元帳!AD54:AM54,0)+29,FALSE))</f>
        <v/>
      </c>
      <c r="AH67" s="565"/>
      <c r="AI67" s="565"/>
      <c r="AJ67" s="565"/>
      <c r="AK67" s="565" t="str">
        <f>IF(足元帳!AT54="","",足元帳!AT54)</f>
        <v/>
      </c>
      <c r="AL67" s="565"/>
      <c r="AM67" s="565"/>
      <c r="AN67" s="565"/>
      <c r="AO67" s="565"/>
      <c r="AP67" s="565"/>
      <c r="AQ67" s="588"/>
    </row>
    <row r="68" spans="1:43" ht="22.5" customHeight="1">
      <c r="A68" s="586">
        <f t="shared" si="1"/>
        <v>54</v>
      </c>
      <c r="B68" s="566"/>
      <c r="C68" s="73" t="str">
        <f>IF(足元帳!AY55=1,"N",IF(足元帳!AY55=2,"R",""))</f>
        <v/>
      </c>
      <c r="D68" s="74" t="str">
        <f>IF(足元帳!AZ55&gt;0,VLOOKUP(足元帳!AZ55,管理シート!$CF$32:$CG$34,2,FALSE),"")</f>
        <v/>
      </c>
      <c r="E68" s="572" t="str">
        <f>IF(足元帳!BB55&gt;0,VLOOKUP(足元帳!BB55,管理シート!#REF!,2,FALSE),"")</f>
        <v/>
      </c>
      <c r="F68" s="573"/>
      <c r="G68" s="574">
        <f>足元帳!J55</f>
        <v>0</v>
      </c>
      <c r="H68" s="575"/>
      <c r="I68" s="574">
        <f>足元帳!K55</f>
        <v>0</v>
      </c>
      <c r="J68" s="576"/>
      <c r="K68" s="575"/>
      <c r="L68" s="73" t="str">
        <f ca="1">IF(足元帳!AB55="●","無",IF(足元帳!AC55="●","半",IF(AG68="周年","半",IF(AG68="プレ6","半",IF(AG68="6割","半","")))))</f>
        <v/>
      </c>
      <c r="M68" s="115" t="str">
        <f>IF(足元帳!AM55="","","○")&amp;IF(足元帳!AL55="","","○")</f>
        <v/>
      </c>
      <c r="N68" s="115" t="str">
        <f>IF(足元帳!AN55="","","○")</f>
        <v/>
      </c>
      <c r="O68" s="587" t="str">
        <f t="shared" ca="1" si="2"/>
        <v/>
      </c>
      <c r="P68" s="565"/>
      <c r="Q68" s="565"/>
      <c r="R68" s="565" t="str">
        <f t="shared" ca="1" si="3"/>
        <v/>
      </c>
      <c r="S68" s="565"/>
      <c r="T68" s="565"/>
      <c r="U68" s="565" t="str">
        <f t="shared" ca="1" si="4"/>
        <v/>
      </c>
      <c r="V68" s="565"/>
      <c r="W68" s="565"/>
      <c r="X68" s="565" t="str">
        <f t="shared" ca="1" si="5"/>
        <v/>
      </c>
      <c r="Y68" s="565"/>
      <c r="Z68" s="565"/>
      <c r="AA68" s="565" t="str">
        <f t="shared" ca="1" si="6"/>
        <v/>
      </c>
      <c r="AB68" s="565"/>
      <c r="AC68" s="565"/>
      <c r="AD68" s="565" t="str">
        <f>IF(足元帳!Z55="","",足元帳!Z55)</f>
        <v/>
      </c>
      <c r="AE68" s="565"/>
      <c r="AF68" s="566"/>
      <c r="AG68" s="587" t="str">
        <f ca="1">IF(ISERROR(MATCH("●",足元帳!AD55:AM55,0)),IF(足元帳!AM55="","",足元帳!$AM$1&amp;足元帳!AM55),INDIRECT("足元帳!R1C"&amp;MATCH("●",足元帳!AD55:AM55,0)+29,FALSE))</f>
        <v/>
      </c>
      <c r="AH68" s="565"/>
      <c r="AI68" s="565"/>
      <c r="AJ68" s="565"/>
      <c r="AK68" s="565" t="str">
        <f>IF(足元帳!AT55="","",足元帳!AT55)</f>
        <v/>
      </c>
      <c r="AL68" s="565"/>
      <c r="AM68" s="565"/>
      <c r="AN68" s="565"/>
      <c r="AO68" s="565"/>
      <c r="AP68" s="565"/>
      <c r="AQ68" s="588"/>
    </row>
    <row r="69" spans="1:43" ht="22.5" customHeight="1">
      <c r="A69" s="586">
        <f t="shared" si="1"/>
        <v>55</v>
      </c>
      <c r="B69" s="566"/>
      <c r="C69" s="73" t="str">
        <f>IF(足元帳!AY56=1,"N",IF(足元帳!AY56=2,"R",""))</f>
        <v/>
      </c>
      <c r="D69" s="74" t="str">
        <f>IF(足元帳!AZ56&gt;0,VLOOKUP(足元帳!AZ56,管理シート!$CF$32:$CG$34,2,FALSE),"")</f>
        <v/>
      </c>
      <c r="E69" s="572" t="str">
        <f>IF(足元帳!BB56&gt;0,VLOOKUP(足元帳!BB56,管理シート!#REF!,2,FALSE),"")</f>
        <v/>
      </c>
      <c r="F69" s="573"/>
      <c r="G69" s="574">
        <f>足元帳!J56</f>
        <v>0</v>
      </c>
      <c r="H69" s="575"/>
      <c r="I69" s="574">
        <f>足元帳!K56</f>
        <v>0</v>
      </c>
      <c r="J69" s="576"/>
      <c r="K69" s="575"/>
      <c r="L69" s="73" t="str">
        <f ca="1">IF(足元帳!AB56="●","無",IF(足元帳!AC56="●","半",IF(AG69="周年","半",IF(AG69="プレ6","半",IF(AG69="6割","半","")))))</f>
        <v/>
      </c>
      <c r="M69" s="115" t="str">
        <f>IF(足元帳!AM56="","","○")&amp;IF(足元帳!AL56="","","○")</f>
        <v/>
      </c>
      <c r="N69" s="115" t="str">
        <f>IF(足元帳!AN56="","","○")</f>
        <v/>
      </c>
      <c r="O69" s="587" t="str">
        <f t="shared" ca="1" si="2"/>
        <v/>
      </c>
      <c r="P69" s="565"/>
      <c r="Q69" s="565"/>
      <c r="R69" s="565" t="str">
        <f t="shared" ca="1" si="3"/>
        <v/>
      </c>
      <c r="S69" s="565"/>
      <c r="T69" s="565"/>
      <c r="U69" s="565" t="str">
        <f t="shared" ca="1" si="4"/>
        <v/>
      </c>
      <c r="V69" s="565"/>
      <c r="W69" s="565"/>
      <c r="X69" s="565" t="str">
        <f t="shared" ca="1" si="5"/>
        <v/>
      </c>
      <c r="Y69" s="565"/>
      <c r="Z69" s="565"/>
      <c r="AA69" s="565" t="str">
        <f t="shared" ca="1" si="6"/>
        <v/>
      </c>
      <c r="AB69" s="565"/>
      <c r="AC69" s="565"/>
      <c r="AD69" s="565" t="str">
        <f>IF(足元帳!Z56="","",足元帳!Z56)</f>
        <v/>
      </c>
      <c r="AE69" s="565"/>
      <c r="AF69" s="566"/>
      <c r="AG69" s="587" t="str">
        <f ca="1">IF(ISERROR(MATCH("●",足元帳!AD56:AM56,0)),IF(足元帳!AM56="","",足元帳!$AM$1&amp;足元帳!AM56),INDIRECT("足元帳!R1C"&amp;MATCH("●",足元帳!AD56:AM56,0)+29,FALSE))</f>
        <v/>
      </c>
      <c r="AH69" s="565"/>
      <c r="AI69" s="565"/>
      <c r="AJ69" s="565"/>
      <c r="AK69" s="565" t="str">
        <f>IF(足元帳!AT56="","",足元帳!AT56)</f>
        <v/>
      </c>
      <c r="AL69" s="565"/>
      <c r="AM69" s="565"/>
      <c r="AN69" s="565"/>
      <c r="AO69" s="565"/>
      <c r="AP69" s="565"/>
      <c r="AQ69" s="588"/>
    </row>
    <row r="70" spans="1:43" ht="22.5" customHeight="1">
      <c r="A70" s="586">
        <f t="shared" si="1"/>
        <v>56</v>
      </c>
      <c r="B70" s="566"/>
      <c r="C70" s="73" t="str">
        <f>IF(足元帳!AY57=1,"N",IF(足元帳!AY57=2,"R",""))</f>
        <v/>
      </c>
      <c r="D70" s="74" t="str">
        <f>IF(足元帳!AZ57&gt;0,VLOOKUP(足元帳!AZ57,管理シート!$CF$32:$CG$34,2,FALSE),"")</f>
        <v/>
      </c>
      <c r="E70" s="572" t="str">
        <f>IF(足元帳!BB57&gt;0,VLOOKUP(足元帳!BB57,管理シート!#REF!,2,FALSE),"")</f>
        <v/>
      </c>
      <c r="F70" s="573"/>
      <c r="G70" s="574">
        <f>足元帳!J57</f>
        <v>0</v>
      </c>
      <c r="H70" s="575"/>
      <c r="I70" s="574">
        <f>足元帳!K57</f>
        <v>0</v>
      </c>
      <c r="J70" s="576"/>
      <c r="K70" s="575"/>
      <c r="L70" s="73" t="str">
        <f ca="1">IF(足元帳!AB57="●","無",IF(足元帳!AC57="●","半",IF(AG70="周年","半",IF(AG70="プレ6","半",IF(AG70="6割","半","")))))</f>
        <v/>
      </c>
      <c r="M70" s="115" t="str">
        <f>IF(足元帳!AM57="","","○")&amp;IF(足元帳!AL57="","","○")</f>
        <v/>
      </c>
      <c r="N70" s="115" t="str">
        <f>IF(足元帳!AN57="","","○")</f>
        <v/>
      </c>
      <c r="O70" s="587" t="str">
        <f t="shared" ca="1" si="2"/>
        <v/>
      </c>
      <c r="P70" s="565"/>
      <c r="Q70" s="565"/>
      <c r="R70" s="565" t="str">
        <f t="shared" ca="1" si="3"/>
        <v/>
      </c>
      <c r="S70" s="565"/>
      <c r="T70" s="565"/>
      <c r="U70" s="565" t="str">
        <f t="shared" ca="1" si="4"/>
        <v/>
      </c>
      <c r="V70" s="565"/>
      <c r="W70" s="565"/>
      <c r="X70" s="565" t="str">
        <f t="shared" ca="1" si="5"/>
        <v/>
      </c>
      <c r="Y70" s="565"/>
      <c r="Z70" s="565"/>
      <c r="AA70" s="565" t="str">
        <f t="shared" ca="1" si="6"/>
        <v/>
      </c>
      <c r="AB70" s="565"/>
      <c r="AC70" s="565"/>
      <c r="AD70" s="565" t="str">
        <f>IF(足元帳!Z57="","",足元帳!Z57)</f>
        <v/>
      </c>
      <c r="AE70" s="565"/>
      <c r="AF70" s="566"/>
      <c r="AG70" s="587" t="str">
        <f ca="1">IF(ISERROR(MATCH("●",足元帳!AD57:AM57,0)),IF(足元帳!AM57="","",足元帳!$AM$1&amp;足元帳!AM57),INDIRECT("足元帳!R1C"&amp;MATCH("●",足元帳!AD57:AM57,0)+29,FALSE))</f>
        <v/>
      </c>
      <c r="AH70" s="565"/>
      <c r="AI70" s="565"/>
      <c r="AJ70" s="565"/>
      <c r="AK70" s="565" t="str">
        <f>IF(足元帳!AT57="","",足元帳!AT57)</f>
        <v/>
      </c>
      <c r="AL70" s="565"/>
      <c r="AM70" s="565"/>
      <c r="AN70" s="565"/>
      <c r="AO70" s="565"/>
      <c r="AP70" s="565"/>
      <c r="AQ70" s="588"/>
    </row>
    <row r="71" spans="1:43" ht="22.5" customHeight="1">
      <c r="A71" s="586">
        <f t="shared" si="1"/>
        <v>57</v>
      </c>
      <c r="B71" s="566"/>
      <c r="C71" s="73" t="str">
        <f>IF(足元帳!AY58=1,"N",IF(足元帳!AY58=2,"R",""))</f>
        <v/>
      </c>
      <c r="D71" s="74" t="str">
        <f>IF(足元帳!AZ58&gt;0,VLOOKUP(足元帳!AZ58,管理シート!$CF$32:$CG$34,2,FALSE),"")</f>
        <v/>
      </c>
      <c r="E71" s="572" t="str">
        <f>IF(足元帳!BB58&gt;0,VLOOKUP(足元帳!BB58,管理シート!#REF!,2,FALSE),"")</f>
        <v/>
      </c>
      <c r="F71" s="573"/>
      <c r="G71" s="574">
        <f>足元帳!J58</f>
        <v>0</v>
      </c>
      <c r="H71" s="575"/>
      <c r="I71" s="574">
        <f>足元帳!K58</f>
        <v>0</v>
      </c>
      <c r="J71" s="576"/>
      <c r="K71" s="575"/>
      <c r="L71" s="73" t="str">
        <f ca="1">IF(足元帳!AB58="●","無",IF(足元帳!AC58="●","半",IF(AG71="周年","半",IF(AG71="プレ6","半",IF(AG71="6割","半","")))))</f>
        <v/>
      </c>
      <c r="M71" s="115" t="str">
        <f>IF(足元帳!AM58="","","○")&amp;IF(足元帳!AL58="","","○")</f>
        <v/>
      </c>
      <c r="N71" s="115" t="str">
        <f>IF(足元帳!AN58="","","○")</f>
        <v/>
      </c>
      <c r="O71" s="587" t="str">
        <f t="shared" ca="1" si="2"/>
        <v/>
      </c>
      <c r="P71" s="565"/>
      <c r="Q71" s="565"/>
      <c r="R71" s="565" t="str">
        <f t="shared" ca="1" si="3"/>
        <v/>
      </c>
      <c r="S71" s="565"/>
      <c r="T71" s="565"/>
      <c r="U71" s="565" t="str">
        <f t="shared" ca="1" si="4"/>
        <v/>
      </c>
      <c r="V71" s="565"/>
      <c r="W71" s="565"/>
      <c r="X71" s="565" t="str">
        <f t="shared" ca="1" si="5"/>
        <v/>
      </c>
      <c r="Y71" s="565"/>
      <c r="Z71" s="565"/>
      <c r="AA71" s="565" t="str">
        <f t="shared" ca="1" si="6"/>
        <v/>
      </c>
      <c r="AB71" s="565"/>
      <c r="AC71" s="565"/>
      <c r="AD71" s="565" t="str">
        <f>IF(足元帳!Z58="","",足元帳!Z58)</f>
        <v/>
      </c>
      <c r="AE71" s="565"/>
      <c r="AF71" s="566"/>
      <c r="AG71" s="587" t="str">
        <f ca="1">IF(ISERROR(MATCH("●",足元帳!AD58:AM58,0)),IF(足元帳!AM58="","",足元帳!$AM$1&amp;足元帳!AM58),INDIRECT("足元帳!R1C"&amp;MATCH("●",足元帳!AD58:AM58,0)+29,FALSE))</f>
        <v/>
      </c>
      <c r="AH71" s="565"/>
      <c r="AI71" s="565"/>
      <c r="AJ71" s="565"/>
      <c r="AK71" s="565" t="str">
        <f>IF(足元帳!AT58="","",足元帳!AT58)</f>
        <v/>
      </c>
      <c r="AL71" s="565"/>
      <c r="AM71" s="565"/>
      <c r="AN71" s="565"/>
      <c r="AO71" s="565"/>
      <c r="AP71" s="565"/>
      <c r="AQ71" s="588"/>
    </row>
    <row r="72" spans="1:43" ht="22.5" customHeight="1">
      <c r="A72" s="586">
        <f t="shared" si="1"/>
        <v>58</v>
      </c>
      <c r="B72" s="566"/>
      <c r="C72" s="73" t="str">
        <f>IF(足元帳!AY59=1,"N",IF(足元帳!AY59=2,"R",""))</f>
        <v/>
      </c>
      <c r="D72" s="74" t="str">
        <f>IF(足元帳!AZ59&gt;0,VLOOKUP(足元帳!AZ59,管理シート!$CF$32:$CG$34,2,FALSE),"")</f>
        <v/>
      </c>
      <c r="E72" s="572" t="str">
        <f>IF(足元帳!BB59&gt;0,VLOOKUP(足元帳!BB59,管理シート!#REF!,2,FALSE),"")</f>
        <v/>
      </c>
      <c r="F72" s="573"/>
      <c r="G72" s="574">
        <f>足元帳!J59</f>
        <v>0</v>
      </c>
      <c r="H72" s="575"/>
      <c r="I72" s="574">
        <f>足元帳!K59</f>
        <v>0</v>
      </c>
      <c r="J72" s="576"/>
      <c r="K72" s="575"/>
      <c r="L72" s="73" t="str">
        <f ca="1">IF(足元帳!AB59="●","無",IF(足元帳!AC59="●","半",IF(AG72="周年","半",IF(AG72="プレ6","半",IF(AG72="6割","半","")))))</f>
        <v/>
      </c>
      <c r="M72" s="115" t="str">
        <f>IF(足元帳!AM59="","","○")&amp;IF(足元帳!AL59="","","○")</f>
        <v/>
      </c>
      <c r="N72" s="115" t="str">
        <f>IF(足元帳!AN59="","","○")</f>
        <v/>
      </c>
      <c r="O72" s="587" t="str">
        <f t="shared" ca="1" si="2"/>
        <v/>
      </c>
      <c r="P72" s="565"/>
      <c r="Q72" s="565"/>
      <c r="R72" s="565" t="str">
        <f t="shared" ca="1" si="3"/>
        <v/>
      </c>
      <c r="S72" s="565"/>
      <c r="T72" s="565"/>
      <c r="U72" s="565" t="str">
        <f t="shared" ca="1" si="4"/>
        <v/>
      </c>
      <c r="V72" s="565"/>
      <c r="W72" s="565"/>
      <c r="X72" s="565" t="str">
        <f t="shared" ca="1" si="5"/>
        <v/>
      </c>
      <c r="Y72" s="565"/>
      <c r="Z72" s="565"/>
      <c r="AA72" s="565" t="str">
        <f t="shared" ca="1" si="6"/>
        <v/>
      </c>
      <c r="AB72" s="565"/>
      <c r="AC72" s="565"/>
      <c r="AD72" s="565" t="str">
        <f>IF(足元帳!Z59="","",足元帳!Z59)</f>
        <v/>
      </c>
      <c r="AE72" s="565"/>
      <c r="AF72" s="566"/>
      <c r="AG72" s="587" t="str">
        <f ca="1">IF(ISERROR(MATCH("●",足元帳!AD59:AM59,0)),IF(足元帳!AM59="","",足元帳!$AM$1&amp;足元帳!AM59),INDIRECT("足元帳!R1C"&amp;MATCH("●",足元帳!AD59:AM59,0)+29,FALSE))</f>
        <v/>
      </c>
      <c r="AH72" s="565"/>
      <c r="AI72" s="565"/>
      <c r="AJ72" s="565"/>
      <c r="AK72" s="565" t="str">
        <f>IF(足元帳!AT59="","",足元帳!AT59)</f>
        <v/>
      </c>
      <c r="AL72" s="565"/>
      <c r="AM72" s="565"/>
      <c r="AN72" s="565"/>
      <c r="AO72" s="565"/>
      <c r="AP72" s="565"/>
      <c r="AQ72" s="588"/>
    </row>
    <row r="73" spans="1:43" ht="22.5" customHeight="1">
      <c r="A73" s="586">
        <f t="shared" si="1"/>
        <v>59</v>
      </c>
      <c r="B73" s="566"/>
      <c r="C73" s="73" t="str">
        <f>IF(足元帳!AY60=1,"N",IF(足元帳!AY60=2,"R",""))</f>
        <v/>
      </c>
      <c r="D73" s="74" t="str">
        <f>IF(足元帳!AZ60&gt;0,VLOOKUP(足元帳!AZ60,管理シート!$CF$32:$CG$34,2,FALSE),"")</f>
        <v/>
      </c>
      <c r="E73" s="572" t="str">
        <f>IF(足元帳!BB60&gt;0,VLOOKUP(足元帳!BB60,管理シート!#REF!,2,FALSE),"")</f>
        <v/>
      </c>
      <c r="F73" s="573"/>
      <c r="G73" s="574">
        <f>足元帳!J60</f>
        <v>0</v>
      </c>
      <c r="H73" s="575"/>
      <c r="I73" s="574">
        <f>足元帳!K60</f>
        <v>0</v>
      </c>
      <c r="J73" s="576"/>
      <c r="K73" s="575"/>
      <c r="L73" s="73" t="str">
        <f ca="1">IF(足元帳!AB60="●","無",IF(足元帳!AC60="●","半",IF(AG73="周年","半",IF(AG73="プレ6","半",IF(AG73="6割","半","")))))</f>
        <v/>
      </c>
      <c r="M73" s="115" t="str">
        <f>IF(足元帳!AM60="","","○")&amp;IF(足元帳!AL60="","","○")</f>
        <v/>
      </c>
      <c r="N73" s="115" t="str">
        <f>IF(足元帳!AN60="","","○")</f>
        <v/>
      </c>
      <c r="O73" s="587" t="str">
        <f t="shared" ca="1" si="2"/>
        <v/>
      </c>
      <c r="P73" s="565"/>
      <c r="Q73" s="565"/>
      <c r="R73" s="565" t="str">
        <f t="shared" ca="1" si="3"/>
        <v/>
      </c>
      <c r="S73" s="565"/>
      <c r="T73" s="565"/>
      <c r="U73" s="565" t="str">
        <f t="shared" ca="1" si="4"/>
        <v/>
      </c>
      <c r="V73" s="565"/>
      <c r="W73" s="565"/>
      <c r="X73" s="565" t="str">
        <f t="shared" ca="1" si="5"/>
        <v/>
      </c>
      <c r="Y73" s="565"/>
      <c r="Z73" s="565"/>
      <c r="AA73" s="565" t="str">
        <f t="shared" ca="1" si="6"/>
        <v/>
      </c>
      <c r="AB73" s="565"/>
      <c r="AC73" s="565"/>
      <c r="AD73" s="565" t="str">
        <f>IF(足元帳!Z60="","",足元帳!Z60)</f>
        <v/>
      </c>
      <c r="AE73" s="565"/>
      <c r="AF73" s="566"/>
      <c r="AG73" s="587" t="str">
        <f ca="1">IF(ISERROR(MATCH("●",足元帳!AD60:AM60,0)),IF(足元帳!AM60="","",足元帳!$AM$1&amp;足元帳!AM60),INDIRECT("足元帳!R1C"&amp;MATCH("●",足元帳!AD60:AM60,0)+29,FALSE))</f>
        <v/>
      </c>
      <c r="AH73" s="565"/>
      <c r="AI73" s="565"/>
      <c r="AJ73" s="565"/>
      <c r="AK73" s="565" t="str">
        <f>IF(足元帳!AT60="","",足元帳!AT60)</f>
        <v/>
      </c>
      <c r="AL73" s="565"/>
      <c r="AM73" s="565"/>
      <c r="AN73" s="565"/>
      <c r="AO73" s="565"/>
      <c r="AP73" s="565"/>
      <c r="AQ73" s="588"/>
    </row>
    <row r="74" spans="1:43" ht="22.5" customHeight="1">
      <c r="A74" s="586">
        <f t="shared" si="1"/>
        <v>60</v>
      </c>
      <c r="B74" s="566"/>
      <c r="C74" s="73" t="str">
        <f>IF(足元帳!AY61=1,"N",IF(足元帳!AY61=2,"R",""))</f>
        <v/>
      </c>
      <c r="D74" s="74" t="str">
        <f>IF(足元帳!AZ61&gt;0,VLOOKUP(足元帳!AZ61,管理シート!$CF$32:$CG$34,2,FALSE),"")</f>
        <v/>
      </c>
      <c r="E74" s="572" t="str">
        <f>IF(足元帳!BB61&gt;0,VLOOKUP(足元帳!BB61,管理シート!#REF!,2,FALSE),"")</f>
        <v/>
      </c>
      <c r="F74" s="573"/>
      <c r="G74" s="574">
        <f>足元帳!J61</f>
        <v>0</v>
      </c>
      <c r="H74" s="575"/>
      <c r="I74" s="574">
        <f>足元帳!K61</f>
        <v>0</v>
      </c>
      <c r="J74" s="576"/>
      <c r="K74" s="575"/>
      <c r="L74" s="73" t="str">
        <f ca="1">IF(足元帳!AB61="●","無",IF(足元帳!AC61="●","半",IF(AG74="周年","半",IF(AG74="プレ6","半",IF(AG74="6割","半","")))))</f>
        <v/>
      </c>
      <c r="M74" s="115" t="str">
        <f>IF(足元帳!AM61="","","○")&amp;IF(足元帳!AL61="","","○")</f>
        <v/>
      </c>
      <c r="N74" s="115" t="str">
        <f>IF(足元帳!AN61="","","○")</f>
        <v/>
      </c>
      <c r="O74" s="587" t="str">
        <f t="shared" ca="1" si="2"/>
        <v/>
      </c>
      <c r="P74" s="565"/>
      <c r="Q74" s="565"/>
      <c r="R74" s="565" t="str">
        <f t="shared" ca="1" si="3"/>
        <v/>
      </c>
      <c r="S74" s="565"/>
      <c r="T74" s="565"/>
      <c r="U74" s="565" t="str">
        <f t="shared" ca="1" si="4"/>
        <v/>
      </c>
      <c r="V74" s="565"/>
      <c r="W74" s="565"/>
      <c r="X74" s="565" t="str">
        <f t="shared" ca="1" si="5"/>
        <v/>
      </c>
      <c r="Y74" s="565"/>
      <c r="Z74" s="565"/>
      <c r="AA74" s="565" t="str">
        <f t="shared" ca="1" si="6"/>
        <v/>
      </c>
      <c r="AB74" s="565"/>
      <c r="AC74" s="565"/>
      <c r="AD74" s="565" t="str">
        <f>IF(足元帳!Z61="","",足元帳!Z61)</f>
        <v/>
      </c>
      <c r="AE74" s="565"/>
      <c r="AF74" s="566"/>
      <c r="AG74" s="587" t="str">
        <f ca="1">IF(ISERROR(MATCH("●",足元帳!AD61:AM61,0)),IF(足元帳!AM61="","",足元帳!$AM$1&amp;足元帳!AM61),INDIRECT("足元帳!R1C"&amp;MATCH("●",足元帳!AD61:AM61,0)+29,FALSE))</f>
        <v/>
      </c>
      <c r="AH74" s="565"/>
      <c r="AI74" s="565"/>
      <c r="AJ74" s="565"/>
      <c r="AK74" s="565" t="str">
        <f>IF(足元帳!AT61="","",足元帳!AT61)</f>
        <v/>
      </c>
      <c r="AL74" s="565"/>
      <c r="AM74" s="565"/>
      <c r="AN74" s="565"/>
      <c r="AO74" s="565"/>
      <c r="AP74" s="565"/>
      <c r="AQ74" s="588"/>
    </row>
    <row r="75" spans="1:43" ht="22.5" customHeight="1">
      <c r="A75" s="586">
        <f t="shared" si="1"/>
        <v>61</v>
      </c>
      <c r="B75" s="566"/>
      <c r="C75" s="73" t="str">
        <f>IF(足元帳!AY62=1,"N",IF(足元帳!AY62=2,"R",""))</f>
        <v/>
      </c>
      <c r="D75" s="74" t="str">
        <f>IF(足元帳!AZ62&gt;0,VLOOKUP(足元帳!AZ62,管理シート!$CF$32:$CG$34,2,FALSE),"")</f>
        <v/>
      </c>
      <c r="E75" s="572" t="str">
        <f>IF(足元帳!BB62&gt;0,VLOOKUP(足元帳!BB62,管理シート!#REF!,2,FALSE),"")</f>
        <v/>
      </c>
      <c r="F75" s="573"/>
      <c r="G75" s="574">
        <f>足元帳!J62</f>
        <v>0</v>
      </c>
      <c r="H75" s="575"/>
      <c r="I75" s="574">
        <f>足元帳!K62</f>
        <v>0</v>
      </c>
      <c r="J75" s="576"/>
      <c r="K75" s="575"/>
      <c r="L75" s="73" t="str">
        <f ca="1">IF(足元帳!AB62="●","無",IF(足元帳!AC62="●","半",IF(AG75="周年","半",IF(AG75="プレ6","半",IF(AG75="6割","半","")))))</f>
        <v/>
      </c>
      <c r="M75" s="116" t="str">
        <f>IF(足元帳!AM62="","","○")&amp;IF(足元帳!AL62="","","○")</f>
        <v/>
      </c>
      <c r="N75" s="116" t="str">
        <f>IF(足元帳!AN62="","","○")</f>
        <v/>
      </c>
      <c r="O75" s="587" t="str">
        <f t="shared" ca="1" si="2"/>
        <v/>
      </c>
      <c r="P75" s="565"/>
      <c r="Q75" s="565"/>
      <c r="R75" s="565" t="str">
        <f t="shared" ca="1" si="3"/>
        <v/>
      </c>
      <c r="S75" s="565"/>
      <c r="T75" s="565"/>
      <c r="U75" s="565" t="str">
        <f t="shared" ca="1" si="4"/>
        <v/>
      </c>
      <c r="V75" s="565"/>
      <c r="W75" s="565"/>
      <c r="X75" s="565" t="str">
        <f t="shared" ca="1" si="5"/>
        <v/>
      </c>
      <c r="Y75" s="565"/>
      <c r="Z75" s="565"/>
      <c r="AA75" s="565" t="str">
        <f t="shared" ca="1" si="6"/>
        <v/>
      </c>
      <c r="AB75" s="565"/>
      <c r="AC75" s="565"/>
      <c r="AD75" s="565" t="str">
        <f>IF(足元帳!Z62="","",足元帳!Z62)</f>
        <v/>
      </c>
      <c r="AE75" s="565"/>
      <c r="AF75" s="566"/>
      <c r="AG75" s="587" t="str">
        <f ca="1">IF(ISERROR(MATCH("●",足元帳!AD62:AM62,0)),IF(足元帳!AM62="","",足元帳!$AM$1&amp;足元帳!AM62),INDIRECT("足元帳!R1C"&amp;MATCH("●",足元帳!AD62:AM62,0)+29,FALSE))</f>
        <v/>
      </c>
      <c r="AH75" s="565"/>
      <c r="AI75" s="565"/>
      <c r="AJ75" s="565"/>
      <c r="AK75" s="565" t="str">
        <f>IF(足元帳!AT62="","",足元帳!AT62)</f>
        <v/>
      </c>
      <c r="AL75" s="565"/>
      <c r="AM75" s="565"/>
      <c r="AN75" s="565"/>
      <c r="AO75" s="565"/>
      <c r="AP75" s="565"/>
      <c r="AQ75" s="588"/>
    </row>
    <row r="76" spans="1:43" ht="22.5" customHeight="1">
      <c r="A76" s="586">
        <f t="shared" si="1"/>
        <v>62</v>
      </c>
      <c r="B76" s="566"/>
      <c r="C76" s="73" t="str">
        <f>IF(足元帳!AY63=1,"N",IF(足元帳!AY63=2,"R",""))</f>
        <v/>
      </c>
      <c r="D76" s="74" t="str">
        <f>IF(足元帳!AZ63&gt;0,VLOOKUP(足元帳!AZ63,管理シート!$CF$32:$CG$34,2,FALSE),"")</f>
        <v/>
      </c>
      <c r="E76" s="572" t="str">
        <f>IF(足元帳!BB63&gt;0,VLOOKUP(足元帳!BB63,管理シート!#REF!,2,FALSE),"")</f>
        <v/>
      </c>
      <c r="F76" s="573"/>
      <c r="G76" s="574">
        <f>足元帳!J63</f>
        <v>0</v>
      </c>
      <c r="H76" s="575"/>
      <c r="I76" s="574">
        <f>足元帳!K63</f>
        <v>0</v>
      </c>
      <c r="J76" s="576"/>
      <c r="K76" s="575"/>
      <c r="L76" s="73" t="str">
        <f ca="1">IF(足元帳!AB63="●","無",IF(足元帳!AC63="●","半",IF(AG76="周年","半",IF(AG76="プレ6","半",IF(AG76="6割","半","")))))</f>
        <v/>
      </c>
      <c r="M76" s="115" t="str">
        <f>IF(足元帳!AM63="","","○")&amp;IF(足元帳!AL63="","","○")</f>
        <v/>
      </c>
      <c r="N76" s="115" t="str">
        <f>IF(足元帳!AN63="","","○")</f>
        <v/>
      </c>
      <c r="O76" s="587" t="str">
        <f t="shared" ca="1" si="2"/>
        <v/>
      </c>
      <c r="P76" s="565"/>
      <c r="Q76" s="565"/>
      <c r="R76" s="565" t="str">
        <f t="shared" ca="1" si="3"/>
        <v/>
      </c>
      <c r="S76" s="565"/>
      <c r="T76" s="565"/>
      <c r="U76" s="565" t="str">
        <f t="shared" ca="1" si="4"/>
        <v/>
      </c>
      <c r="V76" s="565"/>
      <c r="W76" s="565"/>
      <c r="X76" s="565" t="str">
        <f t="shared" ca="1" si="5"/>
        <v/>
      </c>
      <c r="Y76" s="565"/>
      <c r="Z76" s="565"/>
      <c r="AA76" s="565" t="str">
        <f t="shared" ca="1" si="6"/>
        <v/>
      </c>
      <c r="AB76" s="565"/>
      <c r="AC76" s="565"/>
      <c r="AD76" s="565" t="str">
        <f>IF(足元帳!Z63="","",足元帳!Z63)</f>
        <v/>
      </c>
      <c r="AE76" s="565"/>
      <c r="AF76" s="566"/>
      <c r="AG76" s="587" t="str">
        <f ca="1">IF(ISERROR(MATCH("●",足元帳!AD63:AM63,0)),IF(足元帳!AM63="","",足元帳!$AM$1&amp;足元帳!AM63),INDIRECT("足元帳!R1C"&amp;MATCH("●",足元帳!AD63:AM63,0)+29,FALSE))</f>
        <v/>
      </c>
      <c r="AH76" s="565"/>
      <c r="AI76" s="565"/>
      <c r="AJ76" s="565"/>
      <c r="AK76" s="565" t="str">
        <f>IF(足元帳!AT63="","",足元帳!AT63)</f>
        <v/>
      </c>
      <c r="AL76" s="565"/>
      <c r="AM76" s="565"/>
      <c r="AN76" s="565"/>
      <c r="AO76" s="565"/>
      <c r="AP76" s="565"/>
      <c r="AQ76" s="588"/>
    </row>
    <row r="77" spans="1:43" ht="22.5" customHeight="1">
      <c r="A77" s="586">
        <f t="shared" si="1"/>
        <v>63</v>
      </c>
      <c r="B77" s="566"/>
      <c r="C77" s="73" t="str">
        <f>IF(足元帳!AY64=1,"N",IF(足元帳!AY64=2,"R",""))</f>
        <v/>
      </c>
      <c r="D77" s="74" t="str">
        <f>IF(足元帳!AZ64&gt;0,VLOOKUP(足元帳!AZ64,管理シート!$CF$32:$CG$34,2,FALSE),"")</f>
        <v/>
      </c>
      <c r="E77" s="572" t="str">
        <f>IF(足元帳!BB64&gt;0,VLOOKUP(足元帳!BB64,管理シート!#REF!,2,FALSE),"")</f>
        <v/>
      </c>
      <c r="F77" s="573"/>
      <c r="G77" s="574">
        <f>足元帳!J64</f>
        <v>0</v>
      </c>
      <c r="H77" s="575"/>
      <c r="I77" s="574">
        <f>足元帳!K64</f>
        <v>0</v>
      </c>
      <c r="J77" s="576"/>
      <c r="K77" s="575"/>
      <c r="L77" s="73" t="str">
        <f ca="1">IF(足元帳!AB64="●","無",IF(足元帳!AC64="●","半",IF(AG77="周年","半",IF(AG77="プレ6","半",IF(AG77="6割","半","")))))</f>
        <v/>
      </c>
      <c r="M77" s="115" t="str">
        <f>IF(足元帳!AM64="","","○")&amp;IF(足元帳!AL64="","","○")</f>
        <v/>
      </c>
      <c r="N77" s="115" t="str">
        <f>IF(足元帳!AN64="","","○")</f>
        <v/>
      </c>
      <c r="O77" s="587" t="str">
        <f t="shared" ca="1" si="2"/>
        <v/>
      </c>
      <c r="P77" s="565"/>
      <c r="Q77" s="565"/>
      <c r="R77" s="565" t="str">
        <f t="shared" ca="1" si="3"/>
        <v/>
      </c>
      <c r="S77" s="565"/>
      <c r="T77" s="565"/>
      <c r="U77" s="565" t="str">
        <f t="shared" ca="1" si="4"/>
        <v/>
      </c>
      <c r="V77" s="565"/>
      <c r="W77" s="565"/>
      <c r="X77" s="565" t="str">
        <f t="shared" ca="1" si="5"/>
        <v/>
      </c>
      <c r="Y77" s="565"/>
      <c r="Z77" s="565"/>
      <c r="AA77" s="565" t="str">
        <f t="shared" ca="1" si="6"/>
        <v/>
      </c>
      <c r="AB77" s="565"/>
      <c r="AC77" s="565"/>
      <c r="AD77" s="565" t="str">
        <f>IF(足元帳!Z64="","",足元帳!Z64)</f>
        <v/>
      </c>
      <c r="AE77" s="565"/>
      <c r="AF77" s="566"/>
      <c r="AG77" s="587" t="str">
        <f ca="1">IF(ISERROR(MATCH("●",足元帳!AD64:AM64,0)),IF(足元帳!AM64="","",足元帳!$AM$1&amp;足元帳!AM64),INDIRECT("足元帳!R1C"&amp;MATCH("●",足元帳!AD64:AM64,0)+29,FALSE))</f>
        <v/>
      </c>
      <c r="AH77" s="565"/>
      <c r="AI77" s="565"/>
      <c r="AJ77" s="565"/>
      <c r="AK77" s="565" t="str">
        <f>IF(足元帳!AT64="","",足元帳!AT64)</f>
        <v/>
      </c>
      <c r="AL77" s="565"/>
      <c r="AM77" s="565"/>
      <c r="AN77" s="565"/>
      <c r="AO77" s="565"/>
      <c r="AP77" s="565"/>
      <c r="AQ77" s="588"/>
    </row>
    <row r="78" spans="1:43" ht="22.5" customHeight="1">
      <c r="A78" s="586">
        <f t="shared" si="1"/>
        <v>64</v>
      </c>
      <c r="B78" s="566"/>
      <c r="C78" s="73" t="str">
        <f>IF(足元帳!AY65=1,"N",IF(足元帳!AY65=2,"R",""))</f>
        <v/>
      </c>
      <c r="D78" s="74" t="str">
        <f>IF(足元帳!AZ65&gt;0,VLOOKUP(足元帳!AZ65,管理シート!$CF$32:$CG$34,2,FALSE),"")</f>
        <v/>
      </c>
      <c r="E78" s="572" t="str">
        <f>IF(足元帳!BB65&gt;0,VLOOKUP(足元帳!BB65,管理シート!#REF!,2,FALSE),"")</f>
        <v/>
      </c>
      <c r="F78" s="573"/>
      <c r="G78" s="574">
        <f>足元帳!J65</f>
        <v>0</v>
      </c>
      <c r="H78" s="575"/>
      <c r="I78" s="574">
        <f>足元帳!K65</f>
        <v>0</v>
      </c>
      <c r="J78" s="576"/>
      <c r="K78" s="575"/>
      <c r="L78" s="73" t="str">
        <f ca="1">IF(足元帳!AB65="●","無",IF(足元帳!AC65="●","半",IF(AG78="周年","半",IF(AG78="プレ6","半",IF(AG78="6割","半","")))))</f>
        <v/>
      </c>
      <c r="M78" s="115" t="str">
        <f>IF(足元帳!AM65="","","○")&amp;IF(足元帳!AL65="","","○")</f>
        <v/>
      </c>
      <c r="N78" s="115" t="str">
        <f>IF(足元帳!AN65="","","○")</f>
        <v/>
      </c>
      <c r="O78" s="587" t="str">
        <f t="shared" ca="1" si="2"/>
        <v/>
      </c>
      <c r="P78" s="565"/>
      <c r="Q78" s="565"/>
      <c r="R78" s="565" t="str">
        <f t="shared" ca="1" si="3"/>
        <v/>
      </c>
      <c r="S78" s="565"/>
      <c r="T78" s="565"/>
      <c r="U78" s="565" t="str">
        <f t="shared" ca="1" si="4"/>
        <v/>
      </c>
      <c r="V78" s="565"/>
      <c r="W78" s="565"/>
      <c r="X78" s="565" t="str">
        <f t="shared" ca="1" si="5"/>
        <v/>
      </c>
      <c r="Y78" s="565"/>
      <c r="Z78" s="565"/>
      <c r="AA78" s="565" t="str">
        <f t="shared" ca="1" si="6"/>
        <v/>
      </c>
      <c r="AB78" s="565"/>
      <c r="AC78" s="565"/>
      <c r="AD78" s="565" t="str">
        <f>IF(足元帳!Z65="","",足元帳!Z65)</f>
        <v/>
      </c>
      <c r="AE78" s="565"/>
      <c r="AF78" s="566"/>
      <c r="AG78" s="587" t="str">
        <f ca="1">IF(ISERROR(MATCH("●",足元帳!AD65:AM65,0)),IF(足元帳!AM65="","",足元帳!$AM$1&amp;足元帳!AM65),INDIRECT("足元帳!R1C"&amp;MATCH("●",足元帳!AD65:AM65,0)+29,FALSE))</f>
        <v/>
      </c>
      <c r="AH78" s="565"/>
      <c r="AI78" s="565"/>
      <c r="AJ78" s="565"/>
      <c r="AK78" s="565" t="str">
        <f>IF(足元帳!AT65="","",足元帳!AT65)</f>
        <v/>
      </c>
      <c r="AL78" s="565"/>
      <c r="AM78" s="565"/>
      <c r="AN78" s="565"/>
      <c r="AO78" s="565"/>
      <c r="AP78" s="565"/>
      <c r="AQ78" s="588"/>
    </row>
    <row r="79" spans="1:43" ht="22.5" customHeight="1">
      <c r="A79" s="586">
        <f t="shared" si="1"/>
        <v>65</v>
      </c>
      <c r="B79" s="566"/>
      <c r="C79" s="73" t="str">
        <f>IF(足元帳!AY66=1,"N",IF(足元帳!AY66=2,"R",""))</f>
        <v/>
      </c>
      <c r="D79" s="74" t="str">
        <f>IF(足元帳!AZ66&gt;0,VLOOKUP(足元帳!AZ66,管理シート!$CF$32:$CG$34,2,FALSE),"")</f>
        <v/>
      </c>
      <c r="E79" s="572" t="str">
        <f>IF(足元帳!BB66&gt;0,VLOOKUP(足元帳!BB66,管理シート!#REF!,2,FALSE),"")</f>
        <v/>
      </c>
      <c r="F79" s="573"/>
      <c r="G79" s="574">
        <f>足元帳!J66</f>
        <v>0</v>
      </c>
      <c r="H79" s="575"/>
      <c r="I79" s="574">
        <f>足元帳!K66</f>
        <v>0</v>
      </c>
      <c r="J79" s="576"/>
      <c r="K79" s="575"/>
      <c r="L79" s="73" t="str">
        <f ca="1">IF(足元帳!AB66="●","無",IF(足元帳!AC66="●","半",IF(AG79="周年","半",IF(AG79="プレ6","半",IF(AG79="6割","半","")))))</f>
        <v/>
      </c>
      <c r="M79" s="115" t="str">
        <f>IF(足元帳!AM66="","","○")&amp;IF(足元帳!AL66="","","○")</f>
        <v/>
      </c>
      <c r="N79" s="115" t="str">
        <f>IF(足元帳!AN66="","","○")</f>
        <v/>
      </c>
      <c r="O79" s="587" t="str">
        <f t="shared" ca="1" si="2"/>
        <v/>
      </c>
      <c r="P79" s="565"/>
      <c r="Q79" s="565"/>
      <c r="R79" s="565" t="str">
        <f t="shared" ca="1" si="3"/>
        <v/>
      </c>
      <c r="S79" s="565"/>
      <c r="T79" s="565"/>
      <c r="U79" s="565" t="str">
        <f t="shared" ca="1" si="4"/>
        <v/>
      </c>
      <c r="V79" s="565"/>
      <c r="W79" s="565"/>
      <c r="X79" s="565" t="str">
        <f t="shared" ca="1" si="5"/>
        <v/>
      </c>
      <c r="Y79" s="565"/>
      <c r="Z79" s="565"/>
      <c r="AA79" s="565" t="str">
        <f t="shared" ca="1" si="6"/>
        <v/>
      </c>
      <c r="AB79" s="565"/>
      <c r="AC79" s="565"/>
      <c r="AD79" s="565" t="str">
        <f>IF(足元帳!Z66="","",足元帳!Z66)</f>
        <v/>
      </c>
      <c r="AE79" s="565"/>
      <c r="AF79" s="566"/>
      <c r="AG79" s="587" t="str">
        <f ca="1">IF(ISERROR(MATCH("●",足元帳!AD66:AM66,0)),IF(足元帳!AM66="","",足元帳!$AM$1&amp;足元帳!AM66),INDIRECT("足元帳!R1C"&amp;MATCH("●",足元帳!AD66:AM66,0)+29,FALSE))</f>
        <v/>
      </c>
      <c r="AH79" s="565"/>
      <c r="AI79" s="565"/>
      <c r="AJ79" s="565"/>
      <c r="AK79" s="565" t="str">
        <f>IF(足元帳!AT66="","",足元帳!AT66)</f>
        <v/>
      </c>
      <c r="AL79" s="565"/>
      <c r="AM79" s="565"/>
      <c r="AN79" s="565"/>
      <c r="AO79" s="565"/>
      <c r="AP79" s="565"/>
      <c r="AQ79" s="588"/>
    </row>
    <row r="80" spans="1:43" ht="22.5" customHeight="1">
      <c r="A80" s="586">
        <f t="shared" si="1"/>
        <v>66</v>
      </c>
      <c r="B80" s="566"/>
      <c r="C80" s="73" t="str">
        <f>IF(足元帳!AY67=1,"N",IF(足元帳!AY67=2,"R",""))</f>
        <v/>
      </c>
      <c r="D80" s="74" t="str">
        <f>IF(足元帳!AZ67&gt;0,VLOOKUP(足元帳!AZ67,管理シート!$CF$32:$CG$34,2,FALSE),"")</f>
        <v/>
      </c>
      <c r="E80" s="572" t="str">
        <f>IF(足元帳!BB67&gt;0,VLOOKUP(足元帳!BB67,管理シート!#REF!,2,FALSE),"")</f>
        <v/>
      </c>
      <c r="F80" s="573"/>
      <c r="G80" s="574">
        <f>足元帳!J67</f>
        <v>0</v>
      </c>
      <c r="H80" s="575"/>
      <c r="I80" s="574">
        <f>足元帳!K67</f>
        <v>0</v>
      </c>
      <c r="J80" s="576"/>
      <c r="K80" s="575"/>
      <c r="L80" s="73" t="str">
        <f ca="1">IF(足元帳!AB67="●","無",IF(足元帳!AC67="●","半",IF(AG80="周年","半",IF(AG80="プレ6","半",IF(AG80="6割","半","")))))</f>
        <v/>
      </c>
      <c r="M80" s="115" t="str">
        <f>IF(足元帳!AM67="","","○")&amp;IF(足元帳!AL67="","","○")</f>
        <v/>
      </c>
      <c r="N80" s="115" t="str">
        <f>IF(足元帳!AN67="","","○")</f>
        <v/>
      </c>
      <c r="O80" s="587" t="str">
        <f t="shared" ca="1" si="2"/>
        <v/>
      </c>
      <c r="P80" s="565"/>
      <c r="Q80" s="565"/>
      <c r="R80" s="565" t="str">
        <f t="shared" ca="1" si="3"/>
        <v/>
      </c>
      <c r="S80" s="565"/>
      <c r="T80" s="565"/>
      <c r="U80" s="565" t="str">
        <f t="shared" ca="1" si="4"/>
        <v/>
      </c>
      <c r="V80" s="565"/>
      <c r="W80" s="565"/>
      <c r="X80" s="565" t="str">
        <f t="shared" ca="1" si="5"/>
        <v/>
      </c>
      <c r="Y80" s="565"/>
      <c r="Z80" s="565"/>
      <c r="AA80" s="565" t="str">
        <f t="shared" ca="1" si="6"/>
        <v/>
      </c>
      <c r="AB80" s="565"/>
      <c r="AC80" s="565"/>
      <c r="AD80" s="565" t="str">
        <f>IF(足元帳!Z67="","",足元帳!Z67)</f>
        <v/>
      </c>
      <c r="AE80" s="565"/>
      <c r="AF80" s="566"/>
      <c r="AG80" s="587" t="str">
        <f ca="1">IF(ISERROR(MATCH("●",足元帳!AD67:AM67,0)),IF(足元帳!AM67="","",足元帳!$AM$1&amp;足元帳!AM67),INDIRECT("足元帳!R1C"&amp;MATCH("●",足元帳!AD67:AM67,0)+29,FALSE))</f>
        <v/>
      </c>
      <c r="AH80" s="565"/>
      <c r="AI80" s="565"/>
      <c r="AJ80" s="565"/>
      <c r="AK80" s="565" t="str">
        <f>IF(足元帳!AT67="","",足元帳!AT67)</f>
        <v/>
      </c>
      <c r="AL80" s="565"/>
      <c r="AM80" s="565"/>
      <c r="AN80" s="565"/>
      <c r="AO80" s="565"/>
      <c r="AP80" s="565"/>
      <c r="AQ80" s="588"/>
    </row>
    <row r="81" spans="1:43" ht="22.5" customHeight="1">
      <c r="A81" s="586">
        <f t="shared" si="1"/>
        <v>67</v>
      </c>
      <c r="B81" s="566"/>
      <c r="C81" s="73" t="str">
        <f>IF(足元帳!AY68=1,"N",IF(足元帳!AY68=2,"R",""))</f>
        <v/>
      </c>
      <c r="D81" s="74" t="str">
        <f>IF(足元帳!AZ68&gt;0,VLOOKUP(足元帳!AZ68,管理シート!$CF$32:$CG$34,2,FALSE),"")</f>
        <v/>
      </c>
      <c r="E81" s="572" t="str">
        <f>IF(足元帳!BB68&gt;0,VLOOKUP(足元帳!BB68,管理シート!#REF!,2,FALSE),"")</f>
        <v/>
      </c>
      <c r="F81" s="573"/>
      <c r="G81" s="574">
        <f>足元帳!J68</f>
        <v>0</v>
      </c>
      <c r="H81" s="575"/>
      <c r="I81" s="574">
        <f>足元帳!K68</f>
        <v>0</v>
      </c>
      <c r="J81" s="576"/>
      <c r="K81" s="575"/>
      <c r="L81" s="73" t="str">
        <f ca="1">IF(足元帳!AB68="●","無",IF(足元帳!AC68="●","半",IF(AG81="周年","半",IF(AG81="プレ6","半",IF(AG81="6割","半","")))))</f>
        <v/>
      </c>
      <c r="M81" s="115" t="str">
        <f>IF(足元帳!AM68="","","○")&amp;IF(足元帳!AL68="","","○")</f>
        <v/>
      </c>
      <c r="N81" s="115" t="str">
        <f>IF(足元帳!AN68="","","○")</f>
        <v/>
      </c>
      <c r="O81" s="587" t="str">
        <f t="shared" ca="1" si="2"/>
        <v/>
      </c>
      <c r="P81" s="565"/>
      <c r="Q81" s="565"/>
      <c r="R81" s="565" t="str">
        <f t="shared" ca="1" si="3"/>
        <v/>
      </c>
      <c r="S81" s="565"/>
      <c r="T81" s="565"/>
      <c r="U81" s="565" t="str">
        <f t="shared" ca="1" si="4"/>
        <v/>
      </c>
      <c r="V81" s="565"/>
      <c r="W81" s="565"/>
      <c r="X81" s="565" t="str">
        <f t="shared" ca="1" si="5"/>
        <v/>
      </c>
      <c r="Y81" s="565"/>
      <c r="Z81" s="565"/>
      <c r="AA81" s="565" t="str">
        <f t="shared" ca="1" si="6"/>
        <v/>
      </c>
      <c r="AB81" s="565"/>
      <c r="AC81" s="565"/>
      <c r="AD81" s="565" t="str">
        <f>IF(足元帳!Z68="","",足元帳!Z68)</f>
        <v/>
      </c>
      <c r="AE81" s="565"/>
      <c r="AF81" s="566"/>
      <c r="AG81" s="587" t="str">
        <f ca="1">IF(ISERROR(MATCH("●",足元帳!AD68:AM68,0)),IF(足元帳!AM68="","",足元帳!$AM$1&amp;足元帳!AM68),INDIRECT("足元帳!R1C"&amp;MATCH("●",足元帳!AD68:AM68,0)+29,FALSE))</f>
        <v/>
      </c>
      <c r="AH81" s="565"/>
      <c r="AI81" s="565"/>
      <c r="AJ81" s="565"/>
      <c r="AK81" s="565" t="str">
        <f>IF(足元帳!AT68="","",足元帳!AT68)</f>
        <v/>
      </c>
      <c r="AL81" s="565"/>
      <c r="AM81" s="565"/>
      <c r="AN81" s="565"/>
      <c r="AO81" s="565"/>
      <c r="AP81" s="565"/>
      <c r="AQ81" s="588"/>
    </row>
    <row r="82" spans="1:43" ht="22.5" customHeight="1">
      <c r="A82" s="586">
        <f t="shared" si="1"/>
        <v>68</v>
      </c>
      <c r="B82" s="566"/>
      <c r="C82" s="73" t="str">
        <f>IF(足元帳!AY69=1,"N",IF(足元帳!AY69=2,"R",""))</f>
        <v/>
      </c>
      <c r="D82" s="74" t="str">
        <f>IF(足元帳!AZ69&gt;0,VLOOKUP(足元帳!AZ69,管理シート!$CF$32:$CG$34,2,FALSE),"")</f>
        <v/>
      </c>
      <c r="E82" s="572" t="str">
        <f>IF(足元帳!BB69&gt;0,VLOOKUP(足元帳!BB69,管理シート!#REF!,2,FALSE),"")</f>
        <v/>
      </c>
      <c r="F82" s="573"/>
      <c r="G82" s="574">
        <f>足元帳!J69</f>
        <v>0</v>
      </c>
      <c r="H82" s="575"/>
      <c r="I82" s="574">
        <f>足元帳!K69</f>
        <v>0</v>
      </c>
      <c r="J82" s="576"/>
      <c r="K82" s="575"/>
      <c r="L82" s="73" t="str">
        <f ca="1">IF(足元帳!AB69="●","無",IF(足元帳!AC69="●","半",IF(AG82="周年","半",IF(AG82="プレ6","半",IF(AG82="6割","半","")))))</f>
        <v/>
      </c>
      <c r="M82" s="115" t="str">
        <f>IF(足元帳!AM69="","","○")&amp;IF(足元帳!AL69="","","○")</f>
        <v/>
      </c>
      <c r="N82" s="115" t="str">
        <f>IF(足元帳!AN69="","","○")</f>
        <v/>
      </c>
      <c r="O82" s="587" t="str">
        <f t="shared" ca="1" si="2"/>
        <v/>
      </c>
      <c r="P82" s="565"/>
      <c r="Q82" s="565"/>
      <c r="R82" s="565" t="str">
        <f t="shared" ca="1" si="3"/>
        <v/>
      </c>
      <c r="S82" s="565"/>
      <c r="T82" s="565"/>
      <c r="U82" s="565" t="str">
        <f t="shared" ca="1" si="4"/>
        <v/>
      </c>
      <c r="V82" s="565"/>
      <c r="W82" s="565"/>
      <c r="X82" s="565" t="str">
        <f t="shared" ca="1" si="5"/>
        <v/>
      </c>
      <c r="Y82" s="565"/>
      <c r="Z82" s="565"/>
      <c r="AA82" s="565" t="str">
        <f t="shared" ca="1" si="6"/>
        <v/>
      </c>
      <c r="AB82" s="565"/>
      <c r="AC82" s="565"/>
      <c r="AD82" s="565" t="str">
        <f>IF(足元帳!Z69="","",足元帳!Z69)</f>
        <v/>
      </c>
      <c r="AE82" s="565"/>
      <c r="AF82" s="566"/>
      <c r="AG82" s="587" t="str">
        <f ca="1">IF(ISERROR(MATCH("●",足元帳!AD69:AM69,0)),IF(足元帳!AM69="","",足元帳!$AM$1&amp;足元帳!AM69),INDIRECT("足元帳!R1C"&amp;MATCH("●",足元帳!AD69:AM69,0)+29,FALSE))</f>
        <v/>
      </c>
      <c r="AH82" s="565"/>
      <c r="AI82" s="565"/>
      <c r="AJ82" s="565"/>
      <c r="AK82" s="565" t="str">
        <f>IF(足元帳!AT69="","",足元帳!AT69)</f>
        <v/>
      </c>
      <c r="AL82" s="565"/>
      <c r="AM82" s="565"/>
      <c r="AN82" s="565"/>
      <c r="AO82" s="565"/>
      <c r="AP82" s="565"/>
      <c r="AQ82" s="588"/>
    </row>
    <row r="83" spans="1:43" ht="22.5" customHeight="1">
      <c r="A83" s="586">
        <f t="shared" si="1"/>
        <v>69</v>
      </c>
      <c r="B83" s="566"/>
      <c r="C83" s="73" t="str">
        <f>IF(足元帳!AY70=1,"N",IF(足元帳!AY70=2,"R",""))</f>
        <v/>
      </c>
      <c r="D83" s="74" t="str">
        <f>IF(足元帳!AZ70&gt;0,VLOOKUP(足元帳!AZ70,管理シート!$CF$32:$CG$34,2,FALSE),"")</f>
        <v/>
      </c>
      <c r="E83" s="572" t="str">
        <f>IF(足元帳!BB70&gt;0,VLOOKUP(足元帳!BB70,管理シート!#REF!,2,FALSE),"")</f>
        <v/>
      </c>
      <c r="F83" s="573"/>
      <c r="G83" s="574">
        <f>足元帳!J70</f>
        <v>0</v>
      </c>
      <c r="H83" s="575"/>
      <c r="I83" s="574">
        <f>足元帳!K70</f>
        <v>0</v>
      </c>
      <c r="J83" s="576"/>
      <c r="K83" s="575"/>
      <c r="L83" s="73" t="str">
        <f ca="1">IF(足元帳!AB70="●","無",IF(足元帳!AC70="●","半",IF(AG83="周年","半",IF(AG83="プレ6","半",IF(AG83="6割","半","")))))</f>
        <v/>
      </c>
      <c r="M83" s="115" t="str">
        <f>IF(足元帳!AM70="","","○")&amp;IF(足元帳!AL70="","","○")</f>
        <v/>
      </c>
      <c r="N83" s="115" t="str">
        <f>IF(足元帳!AN70="","","○")</f>
        <v/>
      </c>
      <c r="O83" s="587" t="str">
        <f t="shared" ca="1" si="2"/>
        <v/>
      </c>
      <c r="P83" s="565"/>
      <c r="Q83" s="565"/>
      <c r="R83" s="565" t="str">
        <f t="shared" ca="1" si="3"/>
        <v/>
      </c>
      <c r="S83" s="565"/>
      <c r="T83" s="565"/>
      <c r="U83" s="565" t="str">
        <f t="shared" ca="1" si="4"/>
        <v/>
      </c>
      <c r="V83" s="565"/>
      <c r="W83" s="565"/>
      <c r="X83" s="565" t="str">
        <f t="shared" ca="1" si="5"/>
        <v/>
      </c>
      <c r="Y83" s="565"/>
      <c r="Z83" s="565"/>
      <c r="AA83" s="565" t="str">
        <f t="shared" ca="1" si="6"/>
        <v/>
      </c>
      <c r="AB83" s="565"/>
      <c r="AC83" s="565"/>
      <c r="AD83" s="565" t="str">
        <f>IF(足元帳!Z70="","",足元帳!Z70)</f>
        <v/>
      </c>
      <c r="AE83" s="565"/>
      <c r="AF83" s="566"/>
      <c r="AG83" s="587" t="str">
        <f ca="1">IF(ISERROR(MATCH("●",足元帳!AD70:AM70,0)),IF(足元帳!AM70="","",足元帳!$AM$1&amp;足元帳!AM70),INDIRECT("足元帳!R1C"&amp;MATCH("●",足元帳!AD70:AM70,0)+29,FALSE))</f>
        <v/>
      </c>
      <c r="AH83" s="565"/>
      <c r="AI83" s="565"/>
      <c r="AJ83" s="565"/>
      <c r="AK83" s="565" t="str">
        <f>IF(足元帳!AT70="","",足元帳!AT70)</f>
        <v/>
      </c>
      <c r="AL83" s="565"/>
      <c r="AM83" s="565"/>
      <c r="AN83" s="565"/>
      <c r="AO83" s="565"/>
      <c r="AP83" s="565"/>
      <c r="AQ83" s="588"/>
    </row>
    <row r="84" spans="1:43" ht="22.5" customHeight="1" thickBot="1">
      <c r="A84" s="598">
        <f t="shared" si="1"/>
        <v>70</v>
      </c>
      <c r="B84" s="596"/>
      <c r="C84" s="76" t="str">
        <f>IF(足元帳!AY71=1,"N",IF(足元帳!AY71=2,"R",""))</f>
        <v/>
      </c>
      <c r="D84" s="77" t="str">
        <f>IF(足元帳!AZ71&gt;0,VLOOKUP(足元帳!AZ71,管理シート!$CF$32:$CG$34,2,FALSE),"")</f>
        <v/>
      </c>
      <c r="E84" s="599" t="str">
        <f>IF(足元帳!BB71&gt;0,VLOOKUP(足元帳!BB71,管理シート!#REF!,2,FALSE),"")</f>
        <v/>
      </c>
      <c r="F84" s="600"/>
      <c r="G84" s="601">
        <f>足元帳!J71</f>
        <v>0</v>
      </c>
      <c r="H84" s="602"/>
      <c r="I84" s="601">
        <f>足元帳!K71</f>
        <v>0</v>
      </c>
      <c r="J84" s="603"/>
      <c r="K84" s="602"/>
      <c r="L84" s="76" t="str">
        <f ca="1">IF(足元帳!AB71="●","無",IF(足元帳!AC71="●","半",IF(AG84="周年","半",IF(AG84="プレ6","半",IF(AG84="6割","半","")))))</f>
        <v/>
      </c>
      <c r="M84" s="118" t="str">
        <f>IF(足元帳!AM71="","","○")&amp;IF(足元帳!AL71="","","○")</f>
        <v/>
      </c>
      <c r="N84" s="118" t="str">
        <f>IF(足元帳!AN71="","","○")</f>
        <v/>
      </c>
      <c r="O84" s="597" t="str">
        <f t="shared" ca="1" si="2"/>
        <v/>
      </c>
      <c r="P84" s="589"/>
      <c r="Q84" s="589"/>
      <c r="R84" s="589" t="str">
        <f t="shared" ca="1" si="3"/>
        <v/>
      </c>
      <c r="S84" s="589"/>
      <c r="T84" s="589"/>
      <c r="U84" s="589" t="str">
        <f t="shared" ca="1" si="4"/>
        <v/>
      </c>
      <c r="V84" s="589"/>
      <c r="W84" s="589"/>
      <c r="X84" s="589" t="str">
        <f t="shared" ca="1" si="5"/>
        <v/>
      </c>
      <c r="Y84" s="589"/>
      <c r="Z84" s="589"/>
      <c r="AA84" s="589" t="str">
        <f t="shared" ca="1" si="6"/>
        <v/>
      </c>
      <c r="AB84" s="589"/>
      <c r="AC84" s="589"/>
      <c r="AD84" s="589" t="str">
        <f>IF(足元帳!Z71="","",足元帳!Z71)</f>
        <v/>
      </c>
      <c r="AE84" s="589"/>
      <c r="AF84" s="596"/>
      <c r="AG84" s="597" t="str">
        <f ca="1">IF(ISERROR(MATCH("●",足元帳!AD71:AM71,0)),IF(足元帳!AM71="","",足元帳!$AM$1&amp;足元帳!AM71),INDIRECT("足元帳!R1C"&amp;MATCH("●",足元帳!AD71:AM71,0)+29,FALSE))</f>
        <v/>
      </c>
      <c r="AH84" s="589"/>
      <c r="AI84" s="589"/>
      <c r="AJ84" s="589"/>
      <c r="AK84" s="589" t="str">
        <f>IF(足元帳!AT71="","",足元帳!AT71)</f>
        <v/>
      </c>
      <c r="AL84" s="589"/>
      <c r="AM84" s="589"/>
      <c r="AN84" s="589"/>
      <c r="AO84" s="589"/>
      <c r="AP84" s="589"/>
      <c r="AQ84" s="590"/>
    </row>
    <row r="85" spans="1:43" ht="22.5" customHeight="1">
      <c r="A85" s="591"/>
      <c r="B85" s="592"/>
      <c r="C85" s="592" t="s">
        <v>11</v>
      </c>
      <c r="D85" s="592"/>
      <c r="E85" s="592"/>
      <c r="F85" s="592"/>
      <c r="G85" s="592" t="s">
        <v>153</v>
      </c>
      <c r="H85" s="592"/>
      <c r="I85" s="592"/>
      <c r="J85" s="592"/>
      <c r="K85" s="592"/>
      <c r="L85" s="592"/>
      <c r="M85" s="592"/>
      <c r="N85" s="592"/>
      <c r="O85" s="592" t="s">
        <v>154</v>
      </c>
      <c r="P85" s="592"/>
      <c r="Q85" s="592"/>
      <c r="R85" s="592"/>
      <c r="S85" s="592"/>
      <c r="T85" s="592"/>
      <c r="U85" s="592"/>
      <c r="V85" s="592"/>
      <c r="W85" s="592"/>
      <c r="X85" s="592"/>
      <c r="Y85" s="592" t="s">
        <v>155</v>
      </c>
      <c r="Z85" s="592"/>
      <c r="AA85" s="592"/>
      <c r="AB85" s="592"/>
      <c r="AC85" s="592"/>
      <c r="AD85" s="592"/>
      <c r="AE85" s="592"/>
      <c r="AF85" s="592"/>
      <c r="AG85" s="592" t="s">
        <v>156</v>
      </c>
      <c r="AH85" s="592"/>
      <c r="AI85" s="592" t="s">
        <v>157</v>
      </c>
      <c r="AJ85" s="592"/>
      <c r="AK85" s="592"/>
      <c r="AL85" s="592" t="s">
        <v>2</v>
      </c>
      <c r="AM85" s="592"/>
      <c r="AN85" s="592"/>
      <c r="AO85" s="592"/>
      <c r="AP85" s="592"/>
      <c r="AQ85" s="595"/>
    </row>
    <row r="86" spans="1:43" ht="22.5" customHeight="1">
      <c r="A86" s="593"/>
      <c r="B86" s="594"/>
      <c r="C86" s="594" t="s">
        <v>4</v>
      </c>
      <c r="D86" s="594"/>
      <c r="E86" s="594" t="s">
        <v>3</v>
      </c>
      <c r="F86" s="594"/>
      <c r="G86" s="594" t="s">
        <v>14</v>
      </c>
      <c r="H86" s="594"/>
      <c r="I86" s="594" t="s">
        <v>5</v>
      </c>
      <c r="J86" s="594"/>
      <c r="K86" s="594" t="s">
        <v>152</v>
      </c>
      <c r="L86" s="594"/>
      <c r="M86" s="594" t="s">
        <v>0</v>
      </c>
      <c r="N86" s="594"/>
      <c r="O86" s="594">
        <v>45</v>
      </c>
      <c r="P86" s="594"/>
      <c r="Q86" s="594">
        <v>60</v>
      </c>
      <c r="R86" s="594"/>
      <c r="S86" s="594">
        <v>70</v>
      </c>
      <c r="T86" s="594"/>
      <c r="U86" s="594">
        <v>90</v>
      </c>
      <c r="V86" s="594"/>
      <c r="W86" s="594">
        <v>110</v>
      </c>
      <c r="X86" s="594"/>
      <c r="Y86" s="594">
        <v>30</v>
      </c>
      <c r="Z86" s="594"/>
      <c r="AA86" s="594">
        <v>20</v>
      </c>
      <c r="AB86" s="594"/>
      <c r="AC86" s="594">
        <v>15</v>
      </c>
      <c r="AD86" s="594"/>
      <c r="AE86" s="594">
        <v>10</v>
      </c>
      <c r="AF86" s="594"/>
      <c r="AG86" s="594"/>
      <c r="AH86" s="594"/>
      <c r="AI86" s="594"/>
      <c r="AJ86" s="594"/>
      <c r="AK86" s="594"/>
      <c r="AL86" s="604"/>
      <c r="AM86" s="604"/>
      <c r="AN86" s="604"/>
      <c r="AO86" s="604"/>
      <c r="AP86" s="604"/>
      <c r="AQ86" s="605"/>
    </row>
    <row r="87" spans="1:43" ht="22.5" customHeight="1">
      <c r="A87" s="593" t="s">
        <v>158</v>
      </c>
      <c r="B87" s="594"/>
      <c r="C87" s="587">
        <f>SUM(C88:F88)</f>
        <v>0</v>
      </c>
      <c r="D87" s="565"/>
      <c r="E87" s="565"/>
      <c r="F87" s="566"/>
      <c r="G87" s="604">
        <f>SUM(G88:N88)</f>
        <v>0</v>
      </c>
      <c r="H87" s="604"/>
      <c r="I87" s="604"/>
      <c r="J87" s="604"/>
      <c r="K87" s="604"/>
      <c r="L87" s="604"/>
      <c r="M87" s="604"/>
      <c r="N87" s="604"/>
      <c r="O87" s="604">
        <f>SUM(O88:X88)</f>
        <v>0</v>
      </c>
      <c r="P87" s="604"/>
      <c r="Q87" s="604"/>
      <c r="R87" s="604"/>
      <c r="S87" s="604"/>
      <c r="T87" s="604"/>
      <c r="U87" s="604"/>
      <c r="V87" s="604"/>
      <c r="W87" s="604"/>
      <c r="X87" s="604"/>
      <c r="Y87" s="604"/>
      <c r="Z87" s="604"/>
      <c r="AA87" s="604"/>
      <c r="AB87" s="604"/>
      <c r="AC87" s="604"/>
      <c r="AD87" s="604"/>
      <c r="AE87" s="604"/>
      <c r="AF87" s="604"/>
      <c r="AG87" s="604"/>
      <c r="AH87" s="604"/>
      <c r="AI87" s="604"/>
      <c r="AJ87" s="604"/>
      <c r="AK87" s="604"/>
      <c r="AL87" s="604"/>
      <c r="AM87" s="604"/>
      <c r="AN87" s="604"/>
      <c r="AO87" s="604"/>
      <c r="AP87" s="604"/>
      <c r="AQ87" s="605"/>
    </row>
    <row r="88" spans="1:43" ht="22.5" customHeight="1">
      <c r="A88" s="593"/>
      <c r="B88" s="594"/>
      <c r="C88" s="604">
        <f>COUNTIF(C50:C84,"N")</f>
        <v>0</v>
      </c>
      <c r="D88" s="604"/>
      <c r="E88" s="604">
        <f>COUNTIF(C50:C84,"R")</f>
        <v>0</v>
      </c>
      <c r="F88" s="604"/>
      <c r="G88" s="604">
        <f>COUNTIF(D50:D84,"姫")</f>
        <v>0</v>
      </c>
      <c r="H88" s="604"/>
      <c r="I88" s="604">
        <f>COUNTIF(D50:D84,"本")</f>
        <v>0</v>
      </c>
      <c r="J88" s="604"/>
      <c r="K88" s="604">
        <f>COUNTIF(D50:D84,"ネ")</f>
        <v>0</v>
      </c>
      <c r="L88" s="604"/>
      <c r="M88" s="604">
        <f>COUNTIF(D50:D84,"写")</f>
        <v>0</v>
      </c>
      <c r="N88" s="604"/>
      <c r="O88" s="604">
        <f>COUNTIF(E50:F84,45)</f>
        <v>0</v>
      </c>
      <c r="P88" s="604"/>
      <c r="Q88" s="604">
        <f>COUNTIF(E50:F84,60)</f>
        <v>0</v>
      </c>
      <c r="R88" s="604"/>
      <c r="S88" s="604">
        <f>COUNTIF(E50:F84,70)</f>
        <v>0</v>
      </c>
      <c r="T88" s="604"/>
      <c r="U88" s="604">
        <f>COUNTIF(E50:F84,90)</f>
        <v>0</v>
      </c>
      <c r="V88" s="604"/>
      <c r="W88" s="604">
        <f>COUNTIF(E50:F84,110)</f>
        <v>0</v>
      </c>
      <c r="X88" s="604"/>
      <c r="Y88" s="604"/>
      <c r="Z88" s="604"/>
      <c r="AA88" s="604"/>
      <c r="AB88" s="604"/>
      <c r="AC88" s="604"/>
      <c r="AD88" s="604"/>
      <c r="AE88" s="604"/>
      <c r="AF88" s="604"/>
      <c r="AG88" s="604"/>
      <c r="AH88" s="604"/>
      <c r="AI88" s="604"/>
      <c r="AJ88" s="604"/>
      <c r="AK88" s="604"/>
      <c r="AL88" s="604"/>
      <c r="AM88" s="604"/>
      <c r="AN88" s="604"/>
      <c r="AO88" s="604"/>
      <c r="AP88" s="604"/>
      <c r="AQ88" s="605"/>
    </row>
    <row r="89" spans="1:43" ht="22.5" customHeight="1">
      <c r="A89" s="593" t="s">
        <v>159</v>
      </c>
      <c r="B89" s="594"/>
      <c r="C89" s="604"/>
      <c r="D89" s="604"/>
      <c r="E89" s="604"/>
      <c r="F89" s="604"/>
      <c r="G89" s="604"/>
      <c r="H89" s="604"/>
      <c r="I89" s="604"/>
      <c r="J89" s="604"/>
      <c r="K89" s="604"/>
      <c r="L89" s="604"/>
      <c r="M89" s="604"/>
      <c r="N89" s="604"/>
      <c r="O89" s="604"/>
      <c r="P89" s="604"/>
      <c r="Q89" s="604"/>
      <c r="R89" s="604"/>
      <c r="S89" s="604"/>
      <c r="T89" s="604"/>
      <c r="U89" s="604"/>
      <c r="V89" s="604"/>
      <c r="W89" s="604"/>
      <c r="X89" s="604"/>
      <c r="Y89" s="604"/>
      <c r="Z89" s="604"/>
      <c r="AA89" s="604"/>
      <c r="AB89" s="604"/>
      <c r="AC89" s="604"/>
      <c r="AD89" s="604"/>
      <c r="AE89" s="604"/>
      <c r="AF89" s="604"/>
      <c r="AG89" s="604"/>
      <c r="AH89" s="604"/>
      <c r="AI89" s="604"/>
      <c r="AJ89" s="604"/>
      <c r="AK89" s="604"/>
      <c r="AL89" s="604"/>
      <c r="AM89" s="604"/>
      <c r="AN89" s="604"/>
      <c r="AO89" s="604"/>
      <c r="AP89" s="604"/>
      <c r="AQ89" s="605"/>
    </row>
    <row r="90" spans="1:43" ht="22.5" customHeight="1" thickBot="1">
      <c r="A90" s="606"/>
      <c r="B90" s="607"/>
      <c r="C90" s="608"/>
      <c r="D90" s="608"/>
      <c r="E90" s="608"/>
      <c r="F90" s="608"/>
      <c r="G90" s="608"/>
      <c r="H90" s="608"/>
      <c r="I90" s="608"/>
      <c r="J90" s="608"/>
      <c r="K90" s="608"/>
      <c r="L90" s="608"/>
      <c r="M90" s="608"/>
      <c r="N90" s="608"/>
      <c r="O90" s="608"/>
      <c r="P90" s="608"/>
      <c r="Q90" s="608"/>
      <c r="R90" s="608"/>
      <c r="S90" s="608"/>
      <c r="T90" s="608"/>
      <c r="U90" s="608"/>
      <c r="V90" s="608"/>
      <c r="W90" s="608"/>
      <c r="X90" s="608"/>
      <c r="Y90" s="608"/>
      <c r="Z90" s="608"/>
      <c r="AA90" s="608"/>
      <c r="AB90" s="608"/>
      <c r="AC90" s="608"/>
      <c r="AD90" s="608"/>
      <c r="AE90" s="608"/>
      <c r="AF90" s="608"/>
      <c r="AG90" s="608"/>
      <c r="AH90" s="608"/>
      <c r="AI90" s="608"/>
      <c r="AJ90" s="608"/>
      <c r="AK90" s="608"/>
      <c r="AL90" s="608"/>
      <c r="AM90" s="608"/>
      <c r="AN90" s="608"/>
      <c r="AO90" s="608"/>
      <c r="AP90" s="608"/>
      <c r="AQ90" s="611"/>
    </row>
    <row r="91" spans="1:43" ht="22.5" customHeight="1">
      <c r="A91" s="609" t="s">
        <v>160</v>
      </c>
      <c r="B91" s="610"/>
      <c r="C91" s="610"/>
      <c r="D91" s="610"/>
      <c r="E91" s="610"/>
      <c r="F91" s="610"/>
      <c r="G91" s="610" t="s">
        <v>161</v>
      </c>
      <c r="H91" s="610"/>
      <c r="I91" s="610" t="s">
        <v>162</v>
      </c>
      <c r="J91" s="610"/>
      <c r="K91" s="610"/>
      <c r="L91" s="610"/>
      <c r="M91" s="610"/>
      <c r="N91" s="610"/>
      <c r="O91" s="610" t="s">
        <v>161</v>
      </c>
      <c r="P91" s="610"/>
      <c r="Q91" s="610" t="s">
        <v>163</v>
      </c>
      <c r="R91" s="610"/>
      <c r="S91" s="610"/>
      <c r="T91" s="610"/>
      <c r="U91" s="610"/>
      <c r="V91" s="610"/>
      <c r="W91" s="610" t="s">
        <v>164</v>
      </c>
      <c r="X91" s="610"/>
      <c r="Y91" s="610" t="s">
        <v>165</v>
      </c>
      <c r="Z91" s="610"/>
      <c r="AA91" s="610"/>
      <c r="AB91" s="610"/>
      <c r="AC91" s="610"/>
      <c r="AD91" s="610"/>
      <c r="AE91" s="610" t="s">
        <v>166</v>
      </c>
      <c r="AF91" s="610"/>
      <c r="AG91" s="610" t="s">
        <v>167</v>
      </c>
      <c r="AH91" s="610"/>
      <c r="AI91" s="610"/>
      <c r="AJ91" s="610"/>
      <c r="AK91" s="610"/>
      <c r="AL91" s="610"/>
      <c r="AM91" s="610"/>
      <c r="AN91" s="610"/>
      <c r="AO91" s="610"/>
      <c r="AP91" s="610"/>
      <c r="AQ91" s="614"/>
    </row>
    <row r="92" spans="1:43" ht="22.5" customHeight="1" thickBot="1">
      <c r="A92" s="615">
        <f>IF(C133&gt;0,"",精算表!$BD$46)</f>
        <v>0</v>
      </c>
      <c r="B92" s="616"/>
      <c r="C92" s="616"/>
      <c r="D92" s="616"/>
      <c r="E92" s="616"/>
      <c r="F92" s="616"/>
      <c r="G92" s="607" t="s">
        <v>161</v>
      </c>
      <c r="H92" s="607"/>
      <c r="I92" s="616">
        <f>IF(C133&gt;0,"",精算表!$BD$49)</f>
        <v>0</v>
      </c>
      <c r="J92" s="616"/>
      <c r="K92" s="616"/>
      <c r="L92" s="616"/>
      <c r="M92" s="616"/>
      <c r="N92" s="616"/>
      <c r="O92" s="607" t="s">
        <v>161</v>
      </c>
      <c r="P92" s="607"/>
      <c r="Q92" s="616">
        <f>IF(C133&gt;0,"",精算表!$BD$50)</f>
        <v>0</v>
      </c>
      <c r="R92" s="616"/>
      <c r="S92" s="616"/>
      <c r="T92" s="616"/>
      <c r="U92" s="616"/>
      <c r="V92" s="616"/>
      <c r="W92" s="607" t="s">
        <v>164</v>
      </c>
      <c r="X92" s="607"/>
      <c r="Y92" s="616">
        <f>IF(C133&gt;0,"",精算表!$BD$56)</f>
        <v>0</v>
      </c>
      <c r="Z92" s="616"/>
      <c r="AA92" s="616"/>
      <c r="AB92" s="616"/>
      <c r="AC92" s="616"/>
      <c r="AD92" s="616"/>
      <c r="AE92" s="607" t="s">
        <v>166</v>
      </c>
      <c r="AF92" s="607"/>
      <c r="AG92" s="613">
        <f>IF(C133&gt;0,"",A92-I92-Q92+Y92)</f>
        <v>0</v>
      </c>
      <c r="AH92" s="608"/>
      <c r="AI92" s="608"/>
      <c r="AJ92" s="608"/>
      <c r="AK92" s="608"/>
      <c r="AL92" s="608"/>
      <c r="AM92" s="608"/>
      <c r="AN92" s="608"/>
      <c r="AO92" s="608"/>
      <c r="AP92" s="608"/>
      <c r="AQ92" s="611"/>
    </row>
    <row r="93" spans="1:43" ht="22.5" customHeight="1">
      <c r="AD93" s="113" t="s">
        <v>142</v>
      </c>
      <c r="AF93" s="617" t="str">
        <f>AF47</f>
        <v>31</v>
      </c>
      <c r="AG93" s="617"/>
      <c r="AH93" s="113" t="s">
        <v>143</v>
      </c>
      <c r="AI93" s="617">
        <f>AI47</f>
        <v>10</v>
      </c>
      <c r="AJ93" s="617"/>
      <c r="AK93" s="617"/>
      <c r="AL93" s="578" t="s">
        <v>144</v>
      </c>
      <c r="AM93" s="578"/>
      <c r="AN93" s="617">
        <f>AN47</f>
        <v>17</v>
      </c>
      <c r="AO93" s="617"/>
      <c r="AP93" s="578" t="s">
        <v>145</v>
      </c>
      <c r="AQ93" s="578"/>
    </row>
    <row r="94" spans="1:43" ht="22.5" customHeight="1" thickBot="1">
      <c r="A94" s="579">
        <f>A48+1</f>
        <v>3</v>
      </c>
      <c r="B94" s="612"/>
      <c r="C94" s="612"/>
      <c r="D94" s="612"/>
      <c r="E94" s="612"/>
      <c r="F94" s="612"/>
      <c r="G94" s="612"/>
      <c r="H94" s="612"/>
      <c r="I94" s="612"/>
      <c r="J94" s="612"/>
      <c r="K94" s="612"/>
      <c r="L94" s="612"/>
      <c r="M94" s="612"/>
      <c r="N94" s="612"/>
      <c r="O94" s="612"/>
      <c r="P94" s="612"/>
      <c r="Q94" s="612"/>
      <c r="R94" s="612"/>
      <c r="S94" s="612"/>
      <c r="T94" s="612"/>
      <c r="U94" s="612"/>
      <c r="V94" s="612"/>
      <c r="W94" s="612"/>
      <c r="X94" s="612"/>
      <c r="Y94" s="612"/>
      <c r="Z94" s="612"/>
      <c r="AA94" s="612"/>
      <c r="AB94" s="612"/>
      <c r="AC94" s="612"/>
      <c r="AD94" s="612"/>
      <c r="AE94" s="612"/>
      <c r="AF94" s="612"/>
      <c r="AG94" s="612"/>
      <c r="AH94" s="612"/>
      <c r="AI94" s="612"/>
      <c r="AJ94" s="612"/>
      <c r="AK94" s="612"/>
      <c r="AL94" s="612"/>
      <c r="AM94" s="612"/>
      <c r="AN94" s="612"/>
      <c r="AO94" s="612"/>
      <c r="AP94" s="612"/>
      <c r="AQ94" s="612"/>
    </row>
    <row r="95" spans="1:43" ht="22.5" customHeight="1" thickBot="1">
      <c r="A95" s="580" t="s">
        <v>146</v>
      </c>
      <c r="B95" s="581"/>
      <c r="C95" s="582" t="s">
        <v>147</v>
      </c>
      <c r="D95" s="581"/>
      <c r="E95" s="582" t="s">
        <v>154</v>
      </c>
      <c r="F95" s="583"/>
      <c r="G95" s="583" t="s">
        <v>6</v>
      </c>
      <c r="H95" s="581"/>
      <c r="I95" s="583" t="s">
        <v>148</v>
      </c>
      <c r="J95" s="583"/>
      <c r="K95" s="581"/>
      <c r="L95" s="72" t="s">
        <v>2</v>
      </c>
      <c r="M95" s="72" t="s">
        <v>149</v>
      </c>
      <c r="N95" s="75" t="s">
        <v>150</v>
      </c>
      <c r="O95" s="582" t="s">
        <v>168</v>
      </c>
      <c r="P95" s="583"/>
      <c r="Q95" s="583"/>
      <c r="R95" s="583"/>
      <c r="S95" s="583"/>
      <c r="T95" s="583"/>
      <c r="U95" s="583"/>
      <c r="V95" s="583"/>
      <c r="W95" s="583"/>
      <c r="X95" s="583"/>
      <c r="Y95" s="583"/>
      <c r="Z95" s="583"/>
      <c r="AA95" s="583"/>
      <c r="AB95" s="583"/>
      <c r="AC95" s="583"/>
      <c r="AD95" s="583"/>
      <c r="AE95" s="583"/>
      <c r="AF95" s="581"/>
      <c r="AG95" s="583" t="s">
        <v>151</v>
      </c>
      <c r="AH95" s="583"/>
      <c r="AI95" s="583"/>
      <c r="AJ95" s="583"/>
      <c r="AK95" s="583"/>
      <c r="AL95" s="583"/>
      <c r="AM95" s="583"/>
      <c r="AN95" s="583"/>
      <c r="AO95" s="583"/>
      <c r="AP95" s="583"/>
      <c r="AQ95" s="584"/>
    </row>
    <row r="96" spans="1:43" ht="22.5" customHeight="1">
      <c r="A96" s="570">
        <f>A84+1</f>
        <v>71</v>
      </c>
      <c r="B96" s="571"/>
      <c r="C96" s="73" t="str">
        <f>IF(足元帳!AY72=1,"N",IF(足元帳!AY72=2,"R",""))</f>
        <v/>
      </c>
      <c r="D96" s="74" t="str">
        <f>IF(足元帳!AZ72&gt;0,VLOOKUP(足元帳!AZ72,管理シート!$CF$32:$CG$34,2,FALSE),"")</f>
        <v/>
      </c>
      <c r="E96" s="572" t="str">
        <f>IF(足元帳!BB72&gt;0,VLOOKUP(足元帳!BB72,管理シート!#REF!,2,FALSE),"")</f>
        <v/>
      </c>
      <c r="F96" s="573"/>
      <c r="G96" s="574">
        <f>足元帳!J72</f>
        <v>0</v>
      </c>
      <c r="H96" s="575"/>
      <c r="I96" s="574">
        <f>足元帳!K72</f>
        <v>0</v>
      </c>
      <c r="J96" s="576"/>
      <c r="K96" s="575"/>
      <c r="L96" s="73" t="str">
        <f ca="1">IF(足元帳!AB72="●","無",IF(足元帳!AC72="●","半",IF(AG96="周年","半",IF(AG96="プレ6","半",IF(AG96="6割","半","")))))</f>
        <v/>
      </c>
      <c r="M96" s="115" t="str">
        <f>IF(足元帳!AM72="","","○")&amp;IF(足元帳!AL72="","","○")</f>
        <v/>
      </c>
      <c r="N96" s="115" t="str">
        <f>IF(足元帳!AN72="","","○")</f>
        <v/>
      </c>
      <c r="O96" s="587" t="str">
        <f>IF(足元帳!U72="","",足元帳!U72)</f>
        <v/>
      </c>
      <c r="P96" s="565"/>
      <c r="Q96" s="565"/>
      <c r="R96" s="565" t="str">
        <f>IF(足元帳!V72="","",足元帳!V72)</f>
        <v/>
      </c>
      <c r="S96" s="565"/>
      <c r="T96" s="565"/>
      <c r="U96" s="565" t="str">
        <f>IF(足元帳!W72="","",足元帳!W72)</f>
        <v/>
      </c>
      <c r="V96" s="565"/>
      <c r="W96" s="565"/>
      <c r="X96" s="565" t="str">
        <f>IF(足元帳!X72="","",足元帳!X72)</f>
        <v/>
      </c>
      <c r="Y96" s="565"/>
      <c r="Z96" s="565"/>
      <c r="AA96" s="565" t="str">
        <f>IF(足元帳!Y72="","",足元帳!Y72)</f>
        <v/>
      </c>
      <c r="AB96" s="565"/>
      <c r="AC96" s="565"/>
      <c r="AD96" s="565" t="str">
        <f>IF(足元帳!Z72="","",足元帳!Z72)</f>
        <v/>
      </c>
      <c r="AE96" s="565"/>
      <c r="AF96" s="566"/>
      <c r="AG96" s="587" t="str">
        <f ca="1">IF(ISERROR(MATCH("●",足元帳!AD72:AM72,0)),IF(足元帳!AM72="","",足元帳!$AM$1&amp;足元帳!AM72),INDIRECT("足元帳!R1C"&amp;MATCH("●",足元帳!AD72:AM72,0)+29,FALSE))</f>
        <v/>
      </c>
      <c r="AH96" s="565"/>
      <c r="AI96" s="565"/>
      <c r="AJ96" s="565"/>
      <c r="AK96" s="565" t="str">
        <f>IF(足元帳!AT72="","",足元帳!AT72)</f>
        <v/>
      </c>
      <c r="AL96" s="565"/>
      <c r="AM96" s="565"/>
      <c r="AN96" s="565"/>
      <c r="AO96" s="565"/>
      <c r="AP96" s="565"/>
      <c r="AQ96" s="588"/>
    </row>
    <row r="97" spans="1:43" ht="22.5" customHeight="1">
      <c r="A97" s="586">
        <f>A96+1</f>
        <v>72</v>
      </c>
      <c r="B97" s="566"/>
      <c r="C97" s="73" t="str">
        <f>IF(足元帳!AY73=1,"N",IF(足元帳!AY73=2,"R",""))</f>
        <v/>
      </c>
      <c r="D97" s="74" t="str">
        <f>IF(足元帳!AZ73&gt;0,VLOOKUP(足元帳!AZ73,管理シート!$CF$32:$CG$34,2,FALSE),"")</f>
        <v/>
      </c>
      <c r="E97" s="572" t="str">
        <f>IF(足元帳!BB73&gt;0,VLOOKUP(足元帳!BB73,管理シート!#REF!,2,FALSE),"")</f>
        <v/>
      </c>
      <c r="F97" s="573"/>
      <c r="G97" s="574">
        <f>足元帳!J73</f>
        <v>0</v>
      </c>
      <c r="H97" s="575"/>
      <c r="I97" s="574">
        <f>足元帳!K73</f>
        <v>0</v>
      </c>
      <c r="J97" s="576"/>
      <c r="K97" s="575"/>
      <c r="L97" s="73" t="str">
        <f ca="1">IF(足元帳!AB73="●","無",IF(足元帳!AC73="●","半",IF(AG97="周年","半",IF(AG97="プレ6","半",IF(AG97="6割","半","")))))</f>
        <v/>
      </c>
      <c r="M97" s="115" t="str">
        <f>IF(足元帳!AM73="","","○")&amp;IF(足元帳!AL73="","","○")</f>
        <v/>
      </c>
      <c r="N97" s="115" t="str">
        <f>IF(足元帳!AN73="","","○")</f>
        <v/>
      </c>
      <c r="O97" s="587" t="str">
        <f>IF(足元帳!U73="","",足元帳!U73)</f>
        <v/>
      </c>
      <c r="P97" s="565"/>
      <c r="Q97" s="565"/>
      <c r="R97" s="565" t="str">
        <f>IF(足元帳!V73="","",足元帳!V73)</f>
        <v/>
      </c>
      <c r="S97" s="565"/>
      <c r="T97" s="565"/>
      <c r="U97" s="565" t="str">
        <f>IF(足元帳!W73="","",足元帳!W73)</f>
        <v/>
      </c>
      <c r="V97" s="565"/>
      <c r="W97" s="565"/>
      <c r="X97" s="565" t="str">
        <f>IF(足元帳!X73="","",足元帳!X73)</f>
        <v/>
      </c>
      <c r="Y97" s="565"/>
      <c r="Z97" s="565"/>
      <c r="AA97" s="565" t="str">
        <f>IF(足元帳!Y73="","",足元帳!Y73)</f>
        <v/>
      </c>
      <c r="AB97" s="565"/>
      <c r="AC97" s="565"/>
      <c r="AD97" s="565" t="str">
        <f>IF(足元帳!Z73="","",足元帳!Z73)</f>
        <v/>
      </c>
      <c r="AE97" s="565"/>
      <c r="AF97" s="566"/>
      <c r="AG97" s="587" t="str">
        <f ca="1">IF(ISERROR(MATCH("●",足元帳!AD73:AM73,0)),IF(足元帳!AM73="","",足元帳!$AM$1&amp;足元帳!AM73),INDIRECT("足元帳!R1C"&amp;MATCH("●",足元帳!AD73:AM73,0)+29,FALSE))</f>
        <v/>
      </c>
      <c r="AH97" s="565"/>
      <c r="AI97" s="565"/>
      <c r="AJ97" s="565"/>
      <c r="AK97" s="565" t="str">
        <f>IF(足元帳!AT73="","",足元帳!AT73)</f>
        <v/>
      </c>
      <c r="AL97" s="565"/>
      <c r="AM97" s="565"/>
      <c r="AN97" s="565"/>
      <c r="AO97" s="565"/>
      <c r="AP97" s="565"/>
      <c r="AQ97" s="588"/>
    </row>
    <row r="98" spans="1:43" ht="22.5" customHeight="1">
      <c r="A98" s="586">
        <f t="shared" ref="A98:A130" si="7">A97+1</f>
        <v>73</v>
      </c>
      <c r="B98" s="566"/>
      <c r="C98" s="73" t="str">
        <f>IF(足元帳!AY74=1,"N",IF(足元帳!AY74=2,"R",""))</f>
        <v/>
      </c>
      <c r="D98" s="74" t="str">
        <f>IF(足元帳!AZ74&gt;0,VLOOKUP(足元帳!AZ74,管理シート!$CF$32:$CG$34,2,FALSE),"")</f>
        <v/>
      </c>
      <c r="E98" s="572" t="str">
        <f>IF(足元帳!BB74&gt;0,VLOOKUP(足元帳!BB74,管理シート!#REF!,2,FALSE),"")</f>
        <v/>
      </c>
      <c r="F98" s="573"/>
      <c r="G98" s="574">
        <f>足元帳!J74</f>
        <v>0</v>
      </c>
      <c r="H98" s="575"/>
      <c r="I98" s="574">
        <f>足元帳!K74</f>
        <v>0</v>
      </c>
      <c r="J98" s="576"/>
      <c r="K98" s="575"/>
      <c r="L98" s="73" t="str">
        <f ca="1">IF(足元帳!AB74="●","無",IF(足元帳!AC74="●","半",IF(AG98="周年","半",IF(AG98="プレ6","半",IF(AG98="6割","半","")))))</f>
        <v/>
      </c>
      <c r="M98" s="115" t="str">
        <f>IF(足元帳!AM74="","","○")&amp;IF(足元帳!AL74="","","○")</f>
        <v/>
      </c>
      <c r="N98" s="115" t="str">
        <f>IF(足元帳!AN74="","","○")</f>
        <v/>
      </c>
      <c r="O98" s="587" t="str">
        <f>IF(足元帳!U74="","",足元帳!U74)</f>
        <v/>
      </c>
      <c r="P98" s="565"/>
      <c r="Q98" s="565"/>
      <c r="R98" s="565" t="str">
        <f>IF(足元帳!V74="","",足元帳!V74)</f>
        <v/>
      </c>
      <c r="S98" s="565"/>
      <c r="T98" s="565"/>
      <c r="U98" s="565" t="str">
        <f>IF(足元帳!W74="","",足元帳!W74)</f>
        <v/>
      </c>
      <c r="V98" s="565"/>
      <c r="W98" s="565"/>
      <c r="X98" s="565" t="str">
        <f>IF(足元帳!X74="","",足元帳!X74)</f>
        <v/>
      </c>
      <c r="Y98" s="565"/>
      <c r="Z98" s="565"/>
      <c r="AA98" s="565" t="str">
        <f>IF(足元帳!Y74="","",足元帳!Y74)</f>
        <v/>
      </c>
      <c r="AB98" s="565"/>
      <c r="AC98" s="565"/>
      <c r="AD98" s="565" t="str">
        <f>IF(足元帳!Z74="","",足元帳!Z74)</f>
        <v/>
      </c>
      <c r="AE98" s="565"/>
      <c r="AF98" s="566"/>
      <c r="AG98" s="587" t="str">
        <f ca="1">IF(ISERROR(MATCH("●",足元帳!AD74:AM74,0)),IF(足元帳!AM74="","",足元帳!$AM$1&amp;足元帳!AM74),INDIRECT("足元帳!R1C"&amp;MATCH("●",足元帳!AD74:AM74,0)+29,FALSE))</f>
        <v/>
      </c>
      <c r="AH98" s="565"/>
      <c r="AI98" s="565"/>
      <c r="AJ98" s="565"/>
      <c r="AK98" s="565" t="str">
        <f>IF(足元帳!AT74="","",足元帳!AT74)</f>
        <v/>
      </c>
      <c r="AL98" s="565"/>
      <c r="AM98" s="565"/>
      <c r="AN98" s="565"/>
      <c r="AO98" s="565"/>
      <c r="AP98" s="565"/>
      <c r="AQ98" s="588"/>
    </row>
    <row r="99" spans="1:43" ht="22.5" customHeight="1">
      <c r="A99" s="586">
        <f t="shared" si="7"/>
        <v>74</v>
      </c>
      <c r="B99" s="566"/>
      <c r="C99" s="73" t="str">
        <f>IF(足元帳!AY75=1,"N",IF(足元帳!AY75=2,"R",""))</f>
        <v/>
      </c>
      <c r="D99" s="74" t="str">
        <f>IF(足元帳!AZ75&gt;0,VLOOKUP(足元帳!AZ75,管理シート!$CF$32:$CG$34,2,FALSE),"")</f>
        <v/>
      </c>
      <c r="E99" s="572" t="str">
        <f>IF(足元帳!BB75&gt;0,VLOOKUP(足元帳!BB75,管理シート!#REF!,2,FALSE),"")</f>
        <v/>
      </c>
      <c r="F99" s="573"/>
      <c r="G99" s="574">
        <f>足元帳!J75</f>
        <v>0</v>
      </c>
      <c r="H99" s="575"/>
      <c r="I99" s="574">
        <f>足元帳!K75</f>
        <v>0</v>
      </c>
      <c r="J99" s="576"/>
      <c r="K99" s="575"/>
      <c r="L99" s="73" t="str">
        <f ca="1">IF(足元帳!AB75="●","無",IF(足元帳!AC75="●","半",IF(AG99="周年","半",IF(AG99="プレ6","半",IF(AG99="6割","半","")))))</f>
        <v/>
      </c>
      <c r="M99" s="115" t="str">
        <f>IF(足元帳!AM75="","","○")&amp;IF(足元帳!AL75="","","○")</f>
        <v/>
      </c>
      <c r="N99" s="115" t="str">
        <f>IF(足元帳!AN75="","","○")</f>
        <v/>
      </c>
      <c r="O99" s="587" t="str">
        <f>IF(足元帳!U75="","",足元帳!U75)</f>
        <v/>
      </c>
      <c r="P99" s="565"/>
      <c r="Q99" s="565"/>
      <c r="R99" s="565" t="str">
        <f>IF(足元帳!V75="","",足元帳!V75)</f>
        <v/>
      </c>
      <c r="S99" s="565"/>
      <c r="T99" s="565"/>
      <c r="U99" s="565" t="str">
        <f>IF(足元帳!W75="","",足元帳!W75)</f>
        <v/>
      </c>
      <c r="V99" s="565"/>
      <c r="W99" s="565"/>
      <c r="X99" s="565" t="str">
        <f>IF(足元帳!X75="","",足元帳!X75)</f>
        <v/>
      </c>
      <c r="Y99" s="565"/>
      <c r="Z99" s="565"/>
      <c r="AA99" s="565" t="str">
        <f>IF(足元帳!Y75="","",足元帳!Y75)</f>
        <v/>
      </c>
      <c r="AB99" s="565"/>
      <c r="AC99" s="565"/>
      <c r="AD99" s="565" t="str">
        <f>IF(足元帳!Z75="","",足元帳!Z75)</f>
        <v/>
      </c>
      <c r="AE99" s="565"/>
      <c r="AF99" s="566"/>
      <c r="AG99" s="587" t="str">
        <f ca="1">IF(ISERROR(MATCH("●",足元帳!AD75:AM75,0)),IF(足元帳!AM75="","",足元帳!$AM$1&amp;足元帳!AM75),INDIRECT("足元帳!R1C"&amp;MATCH("●",足元帳!AD75:AM75,0)+29,FALSE))</f>
        <v/>
      </c>
      <c r="AH99" s="565"/>
      <c r="AI99" s="565"/>
      <c r="AJ99" s="565"/>
      <c r="AK99" s="565" t="str">
        <f>IF(足元帳!AT75="","",足元帳!AT75)</f>
        <v/>
      </c>
      <c r="AL99" s="565"/>
      <c r="AM99" s="565"/>
      <c r="AN99" s="565"/>
      <c r="AO99" s="565"/>
      <c r="AP99" s="565"/>
      <c r="AQ99" s="588"/>
    </row>
    <row r="100" spans="1:43" ht="22.5" customHeight="1">
      <c r="A100" s="586">
        <f t="shared" si="7"/>
        <v>75</v>
      </c>
      <c r="B100" s="566"/>
      <c r="C100" s="73" t="str">
        <f>IF(足元帳!AY76=1,"N",IF(足元帳!AY76=2,"R",""))</f>
        <v/>
      </c>
      <c r="D100" s="74" t="str">
        <f>IF(足元帳!AZ76&gt;0,VLOOKUP(足元帳!AZ76,管理シート!$CF$32:$CG$34,2,FALSE),"")</f>
        <v/>
      </c>
      <c r="E100" s="572" t="str">
        <f>IF(足元帳!BB76&gt;0,VLOOKUP(足元帳!BB76,管理シート!#REF!,2,FALSE),"")</f>
        <v/>
      </c>
      <c r="F100" s="573"/>
      <c r="G100" s="574">
        <f>足元帳!J76</f>
        <v>0</v>
      </c>
      <c r="H100" s="575"/>
      <c r="I100" s="574">
        <f>足元帳!K76</f>
        <v>0</v>
      </c>
      <c r="J100" s="576"/>
      <c r="K100" s="575"/>
      <c r="L100" s="73" t="str">
        <f ca="1">IF(足元帳!AB76="●","無",IF(足元帳!AC76="●","半",IF(AG100="周年","半",IF(AG100="プレ6","半",IF(AG100="6割","半","")))))</f>
        <v/>
      </c>
      <c r="M100" s="115" t="str">
        <f>IF(足元帳!AM76="","","○")&amp;IF(足元帳!AL76="","","○")</f>
        <v/>
      </c>
      <c r="N100" s="115" t="str">
        <f>IF(足元帳!AN76="","","○")</f>
        <v/>
      </c>
      <c r="O100" s="587" t="str">
        <f>IF(足元帳!U76="","",足元帳!U76)</f>
        <v/>
      </c>
      <c r="P100" s="565"/>
      <c r="Q100" s="565"/>
      <c r="R100" s="565" t="str">
        <f>IF(足元帳!V76="","",足元帳!V76)</f>
        <v/>
      </c>
      <c r="S100" s="565"/>
      <c r="T100" s="565"/>
      <c r="U100" s="565" t="str">
        <f>IF(足元帳!W76="","",足元帳!W76)</f>
        <v/>
      </c>
      <c r="V100" s="565"/>
      <c r="W100" s="565"/>
      <c r="X100" s="565" t="str">
        <f>IF(足元帳!X76="","",足元帳!X76)</f>
        <v/>
      </c>
      <c r="Y100" s="565"/>
      <c r="Z100" s="565"/>
      <c r="AA100" s="565" t="str">
        <f>IF(足元帳!Y76="","",足元帳!Y76)</f>
        <v/>
      </c>
      <c r="AB100" s="565"/>
      <c r="AC100" s="565"/>
      <c r="AD100" s="565" t="str">
        <f>IF(足元帳!Z76="","",足元帳!Z76)</f>
        <v/>
      </c>
      <c r="AE100" s="565"/>
      <c r="AF100" s="566"/>
      <c r="AG100" s="587" t="str">
        <f ca="1">IF(ISERROR(MATCH("●",足元帳!AD76:AM76,0)),IF(足元帳!AM76="","",足元帳!$AM$1&amp;足元帳!AM76),INDIRECT("足元帳!R1C"&amp;MATCH("●",足元帳!AD76:AM76,0)+29,FALSE))</f>
        <v/>
      </c>
      <c r="AH100" s="565"/>
      <c r="AI100" s="565"/>
      <c r="AJ100" s="565"/>
      <c r="AK100" s="565" t="str">
        <f>IF(足元帳!AT76="","",足元帳!AT76)</f>
        <v/>
      </c>
      <c r="AL100" s="565"/>
      <c r="AM100" s="565"/>
      <c r="AN100" s="565"/>
      <c r="AO100" s="565"/>
      <c r="AP100" s="565"/>
      <c r="AQ100" s="588"/>
    </row>
    <row r="101" spans="1:43" ht="22.5" customHeight="1">
      <c r="A101" s="586">
        <f t="shared" si="7"/>
        <v>76</v>
      </c>
      <c r="B101" s="566"/>
      <c r="C101" s="73" t="str">
        <f>IF(足元帳!AY77=1,"N",IF(足元帳!AY77=2,"R",""))</f>
        <v/>
      </c>
      <c r="D101" s="74" t="str">
        <f>IF(足元帳!AZ77&gt;0,VLOOKUP(足元帳!AZ77,管理シート!$CF$32:$CG$34,2,FALSE),"")</f>
        <v/>
      </c>
      <c r="E101" s="572" t="str">
        <f>IF(足元帳!BB77&gt;0,VLOOKUP(足元帳!BB77,管理シート!#REF!,2,FALSE),"")</f>
        <v/>
      </c>
      <c r="F101" s="573"/>
      <c r="G101" s="574">
        <f>足元帳!J77</f>
        <v>0</v>
      </c>
      <c r="H101" s="575"/>
      <c r="I101" s="574">
        <f>足元帳!K77</f>
        <v>0</v>
      </c>
      <c r="J101" s="576"/>
      <c r="K101" s="575"/>
      <c r="L101" s="73" t="str">
        <f ca="1">IF(足元帳!AB77="●","無",IF(足元帳!AC77="●","半",IF(AG101="周年","半",IF(AG101="プレ6","半",IF(AG101="6割","半","")))))</f>
        <v/>
      </c>
      <c r="M101" s="115" t="str">
        <f>IF(足元帳!AM77="","","○")&amp;IF(足元帳!AL77="","","○")</f>
        <v/>
      </c>
      <c r="N101" s="115" t="str">
        <f>IF(足元帳!AN77="","","○")</f>
        <v/>
      </c>
      <c r="O101" s="587" t="str">
        <f>IF(足元帳!U77="","",足元帳!U77)</f>
        <v/>
      </c>
      <c r="P101" s="565"/>
      <c r="Q101" s="565"/>
      <c r="R101" s="565" t="str">
        <f>IF(足元帳!V77="","",足元帳!V77)</f>
        <v/>
      </c>
      <c r="S101" s="565"/>
      <c r="T101" s="565"/>
      <c r="U101" s="565" t="str">
        <f>IF(足元帳!W77="","",足元帳!W77)</f>
        <v/>
      </c>
      <c r="V101" s="565"/>
      <c r="W101" s="565"/>
      <c r="X101" s="565" t="str">
        <f>IF(足元帳!X77="","",足元帳!X77)</f>
        <v/>
      </c>
      <c r="Y101" s="565"/>
      <c r="Z101" s="565"/>
      <c r="AA101" s="565" t="str">
        <f>IF(足元帳!Y77="","",足元帳!Y77)</f>
        <v/>
      </c>
      <c r="AB101" s="565"/>
      <c r="AC101" s="565"/>
      <c r="AD101" s="565" t="str">
        <f>IF(足元帳!Z77="","",足元帳!Z77)</f>
        <v/>
      </c>
      <c r="AE101" s="565"/>
      <c r="AF101" s="566"/>
      <c r="AG101" s="587" t="str">
        <f ca="1">IF(ISERROR(MATCH("●",足元帳!AD77:AM77,0)),IF(足元帳!AM77="","",足元帳!$AM$1&amp;足元帳!AM77),INDIRECT("足元帳!R1C"&amp;MATCH("●",足元帳!AD77:AM77,0)+29,FALSE))</f>
        <v/>
      </c>
      <c r="AH101" s="565"/>
      <c r="AI101" s="565"/>
      <c r="AJ101" s="565"/>
      <c r="AK101" s="565" t="str">
        <f>IF(足元帳!AT77="","",足元帳!AT77)</f>
        <v/>
      </c>
      <c r="AL101" s="565"/>
      <c r="AM101" s="565"/>
      <c r="AN101" s="565"/>
      <c r="AO101" s="565"/>
      <c r="AP101" s="565"/>
      <c r="AQ101" s="588"/>
    </row>
    <row r="102" spans="1:43" ht="22.5" customHeight="1">
      <c r="A102" s="586">
        <f t="shared" si="7"/>
        <v>77</v>
      </c>
      <c r="B102" s="566"/>
      <c r="C102" s="73" t="str">
        <f>IF(足元帳!AY78=1,"N",IF(足元帳!AY78=2,"R",""))</f>
        <v/>
      </c>
      <c r="D102" s="74" t="str">
        <f>IF(足元帳!AZ78&gt;0,VLOOKUP(足元帳!AZ78,管理シート!$CF$32:$CG$34,2,FALSE),"")</f>
        <v/>
      </c>
      <c r="E102" s="572" t="str">
        <f>IF(足元帳!BB78&gt;0,VLOOKUP(足元帳!BB78,管理シート!#REF!,2,FALSE),"")</f>
        <v/>
      </c>
      <c r="F102" s="573"/>
      <c r="G102" s="574">
        <f>足元帳!J78</f>
        <v>0</v>
      </c>
      <c r="H102" s="575"/>
      <c r="I102" s="574">
        <f>足元帳!K78</f>
        <v>0</v>
      </c>
      <c r="J102" s="576"/>
      <c r="K102" s="575"/>
      <c r="L102" s="73" t="str">
        <f ca="1">IF(足元帳!AB78="●","無",IF(足元帳!AC78="●","半",IF(AG102="周年","半",IF(AG102="プレ6","半",IF(AG102="6割","半","")))))</f>
        <v/>
      </c>
      <c r="M102" s="115" t="str">
        <f>IF(足元帳!AM78="","","○")&amp;IF(足元帳!AL78="","","○")</f>
        <v/>
      </c>
      <c r="N102" s="115" t="str">
        <f>IF(足元帳!AN78="","","○")</f>
        <v/>
      </c>
      <c r="O102" s="587" t="str">
        <f>IF(足元帳!U78="","",足元帳!U78)</f>
        <v/>
      </c>
      <c r="P102" s="565"/>
      <c r="Q102" s="565"/>
      <c r="R102" s="565" t="str">
        <f>IF(足元帳!V78="","",足元帳!V78)</f>
        <v/>
      </c>
      <c r="S102" s="565"/>
      <c r="T102" s="565"/>
      <c r="U102" s="565" t="str">
        <f>IF(足元帳!W78="","",足元帳!W78)</f>
        <v/>
      </c>
      <c r="V102" s="565"/>
      <c r="W102" s="565"/>
      <c r="X102" s="565" t="str">
        <f>IF(足元帳!X78="","",足元帳!X78)</f>
        <v/>
      </c>
      <c r="Y102" s="565"/>
      <c r="Z102" s="565"/>
      <c r="AA102" s="565" t="str">
        <f>IF(足元帳!Y78="","",足元帳!Y78)</f>
        <v/>
      </c>
      <c r="AB102" s="565"/>
      <c r="AC102" s="565"/>
      <c r="AD102" s="565" t="str">
        <f>IF(足元帳!Z78="","",足元帳!Z78)</f>
        <v/>
      </c>
      <c r="AE102" s="565"/>
      <c r="AF102" s="566"/>
      <c r="AG102" s="587" t="str">
        <f ca="1">IF(ISERROR(MATCH("●",足元帳!AD78:AM78,0)),IF(足元帳!AM78="","",足元帳!$AM$1&amp;足元帳!AM78),INDIRECT("足元帳!R1C"&amp;MATCH("●",足元帳!AD78:AM78,0)+29,FALSE))</f>
        <v/>
      </c>
      <c r="AH102" s="565"/>
      <c r="AI102" s="565"/>
      <c r="AJ102" s="565"/>
      <c r="AK102" s="565" t="str">
        <f>IF(足元帳!AT78="","",足元帳!AT78)</f>
        <v/>
      </c>
      <c r="AL102" s="565"/>
      <c r="AM102" s="565"/>
      <c r="AN102" s="565"/>
      <c r="AO102" s="565"/>
      <c r="AP102" s="565"/>
      <c r="AQ102" s="588"/>
    </row>
    <row r="103" spans="1:43" ht="22.5" customHeight="1">
      <c r="A103" s="586">
        <f t="shared" si="7"/>
        <v>78</v>
      </c>
      <c r="B103" s="566"/>
      <c r="C103" s="73" t="str">
        <f>IF(足元帳!AY79=1,"N",IF(足元帳!AY79=2,"R",""))</f>
        <v/>
      </c>
      <c r="D103" s="74" t="str">
        <f>IF(足元帳!AZ79&gt;0,VLOOKUP(足元帳!AZ79,管理シート!$CF$32:$CG$34,2,FALSE),"")</f>
        <v/>
      </c>
      <c r="E103" s="572" t="str">
        <f>IF(足元帳!BB79&gt;0,VLOOKUP(足元帳!BB79,管理シート!#REF!,2,FALSE),"")</f>
        <v/>
      </c>
      <c r="F103" s="573"/>
      <c r="G103" s="574">
        <f>足元帳!J79</f>
        <v>0</v>
      </c>
      <c r="H103" s="575"/>
      <c r="I103" s="574">
        <f>足元帳!K79</f>
        <v>0</v>
      </c>
      <c r="J103" s="576"/>
      <c r="K103" s="575"/>
      <c r="L103" s="73" t="str">
        <f ca="1">IF(足元帳!AB79="●","無",IF(足元帳!AC79="●","半",IF(AG103="周年","半",IF(AG103="プレ6","半",IF(AG103="6割","半","")))))</f>
        <v/>
      </c>
      <c r="M103" s="115" t="str">
        <f>IF(足元帳!AM79="","","○")&amp;IF(足元帳!AL79="","","○")</f>
        <v/>
      </c>
      <c r="N103" s="115" t="str">
        <f>IF(足元帳!AN79="","","○")</f>
        <v/>
      </c>
      <c r="O103" s="587" t="str">
        <f>IF(足元帳!U79="","",足元帳!U79)</f>
        <v/>
      </c>
      <c r="P103" s="565"/>
      <c r="Q103" s="565"/>
      <c r="R103" s="565" t="str">
        <f>IF(足元帳!V79="","",足元帳!V79)</f>
        <v/>
      </c>
      <c r="S103" s="565"/>
      <c r="T103" s="565"/>
      <c r="U103" s="565" t="str">
        <f>IF(足元帳!W79="","",足元帳!W79)</f>
        <v/>
      </c>
      <c r="V103" s="565"/>
      <c r="W103" s="565"/>
      <c r="X103" s="565" t="str">
        <f>IF(足元帳!X79="","",足元帳!X79)</f>
        <v/>
      </c>
      <c r="Y103" s="565"/>
      <c r="Z103" s="565"/>
      <c r="AA103" s="565" t="str">
        <f>IF(足元帳!Y79="","",足元帳!Y79)</f>
        <v/>
      </c>
      <c r="AB103" s="565"/>
      <c r="AC103" s="565"/>
      <c r="AD103" s="565" t="str">
        <f>IF(足元帳!Z79="","",足元帳!Z79)</f>
        <v/>
      </c>
      <c r="AE103" s="565"/>
      <c r="AF103" s="566"/>
      <c r="AG103" s="587" t="str">
        <f ca="1">IF(ISERROR(MATCH("●",足元帳!AD79:AM79,0)),IF(足元帳!AM79="","",足元帳!$AM$1&amp;足元帳!AM79),INDIRECT("足元帳!R1C"&amp;MATCH("●",足元帳!AD79:AM79,0)+29,FALSE))</f>
        <v/>
      </c>
      <c r="AH103" s="565"/>
      <c r="AI103" s="565"/>
      <c r="AJ103" s="565"/>
      <c r="AK103" s="565" t="str">
        <f>IF(足元帳!AT79="","",足元帳!AT79)</f>
        <v/>
      </c>
      <c r="AL103" s="565"/>
      <c r="AM103" s="565"/>
      <c r="AN103" s="565"/>
      <c r="AO103" s="565"/>
      <c r="AP103" s="565"/>
      <c r="AQ103" s="588"/>
    </row>
    <row r="104" spans="1:43" ht="22.5" customHeight="1">
      <c r="A104" s="586">
        <f t="shared" si="7"/>
        <v>79</v>
      </c>
      <c r="B104" s="566"/>
      <c r="C104" s="73" t="str">
        <f>IF(足元帳!AY80=1,"N",IF(足元帳!AY80=2,"R",""))</f>
        <v/>
      </c>
      <c r="D104" s="74" t="str">
        <f>IF(足元帳!AZ80&gt;0,VLOOKUP(足元帳!AZ80,管理シート!$CF$32:$CG$34,2,FALSE),"")</f>
        <v/>
      </c>
      <c r="E104" s="572" t="str">
        <f>IF(足元帳!BB80&gt;0,VLOOKUP(足元帳!BB80,管理シート!#REF!,2,FALSE),"")</f>
        <v/>
      </c>
      <c r="F104" s="573"/>
      <c r="G104" s="574">
        <f>足元帳!J80</f>
        <v>0</v>
      </c>
      <c r="H104" s="575"/>
      <c r="I104" s="574">
        <f>足元帳!K80</f>
        <v>0</v>
      </c>
      <c r="J104" s="576"/>
      <c r="K104" s="575"/>
      <c r="L104" s="73" t="str">
        <f ca="1">IF(足元帳!AB80="●","無",IF(足元帳!AC80="●","半",IF(AG104="周年","半",IF(AG104="プレ6","半",IF(AG104="6割","半","")))))</f>
        <v/>
      </c>
      <c r="M104" s="115" t="str">
        <f>IF(足元帳!AM80="","","○")&amp;IF(足元帳!AL80="","","○")</f>
        <v/>
      </c>
      <c r="N104" s="115" t="str">
        <f>IF(足元帳!AN80="","","○")</f>
        <v/>
      </c>
      <c r="O104" s="587" t="str">
        <f>IF(足元帳!U80="","",足元帳!U80)</f>
        <v/>
      </c>
      <c r="P104" s="565"/>
      <c r="Q104" s="565"/>
      <c r="R104" s="565" t="str">
        <f>IF(足元帳!V80="","",足元帳!V80)</f>
        <v/>
      </c>
      <c r="S104" s="565"/>
      <c r="T104" s="565"/>
      <c r="U104" s="565" t="str">
        <f>IF(足元帳!W80="","",足元帳!W80)</f>
        <v/>
      </c>
      <c r="V104" s="565"/>
      <c r="W104" s="565"/>
      <c r="X104" s="565" t="str">
        <f>IF(足元帳!X80="","",足元帳!X80)</f>
        <v/>
      </c>
      <c r="Y104" s="565"/>
      <c r="Z104" s="565"/>
      <c r="AA104" s="565" t="str">
        <f>IF(足元帳!Y80="","",足元帳!Y80)</f>
        <v/>
      </c>
      <c r="AB104" s="565"/>
      <c r="AC104" s="565"/>
      <c r="AD104" s="565" t="str">
        <f>IF(足元帳!Z80="","",足元帳!Z80)</f>
        <v/>
      </c>
      <c r="AE104" s="565"/>
      <c r="AF104" s="566"/>
      <c r="AG104" s="587" t="str">
        <f ca="1">IF(ISERROR(MATCH("●",足元帳!AD80:AM80,0)),IF(足元帳!AM80="","",足元帳!$AM$1&amp;足元帳!AM80),INDIRECT("足元帳!R1C"&amp;MATCH("●",足元帳!AD80:AM80,0)+29,FALSE))</f>
        <v/>
      </c>
      <c r="AH104" s="565"/>
      <c r="AI104" s="565"/>
      <c r="AJ104" s="565"/>
      <c r="AK104" s="565" t="str">
        <f>IF(足元帳!AT80="","",足元帳!AT80)</f>
        <v/>
      </c>
      <c r="AL104" s="565"/>
      <c r="AM104" s="565"/>
      <c r="AN104" s="565"/>
      <c r="AO104" s="565"/>
      <c r="AP104" s="565"/>
      <c r="AQ104" s="588"/>
    </row>
    <row r="105" spans="1:43" ht="22.5" customHeight="1">
      <c r="A105" s="586">
        <f t="shared" si="7"/>
        <v>80</v>
      </c>
      <c r="B105" s="566"/>
      <c r="C105" s="73" t="str">
        <f>IF(足元帳!AY81=1,"N",IF(足元帳!AY81=2,"R",""))</f>
        <v/>
      </c>
      <c r="D105" s="74" t="str">
        <f>IF(足元帳!AZ81&gt;0,VLOOKUP(足元帳!AZ81,管理シート!$CF$32:$CG$34,2,FALSE),"")</f>
        <v/>
      </c>
      <c r="E105" s="572" t="str">
        <f>IF(足元帳!BB81&gt;0,VLOOKUP(足元帳!BB81,管理シート!#REF!,2,FALSE),"")</f>
        <v/>
      </c>
      <c r="F105" s="573"/>
      <c r="G105" s="574">
        <f>足元帳!J81</f>
        <v>0</v>
      </c>
      <c r="H105" s="575"/>
      <c r="I105" s="574">
        <f>足元帳!K81</f>
        <v>0</v>
      </c>
      <c r="J105" s="576"/>
      <c r="K105" s="575"/>
      <c r="L105" s="73" t="str">
        <f ca="1">IF(足元帳!AB81="●","無",IF(足元帳!AC81="●","半",IF(AG105="周年","半",IF(AG105="プレ6","半",IF(AG105="6割","半","")))))</f>
        <v/>
      </c>
      <c r="M105" s="115" t="str">
        <f>IF(足元帳!AM81="","","○")&amp;IF(足元帳!AL81="","","○")</f>
        <v/>
      </c>
      <c r="N105" s="115" t="str">
        <f>IF(足元帳!AN81="","","○")</f>
        <v/>
      </c>
      <c r="O105" s="587" t="str">
        <f>IF(足元帳!U81="","",足元帳!U81)</f>
        <v/>
      </c>
      <c r="P105" s="565"/>
      <c r="Q105" s="565"/>
      <c r="R105" s="565" t="str">
        <f>IF(足元帳!V81="","",足元帳!V81)</f>
        <v/>
      </c>
      <c r="S105" s="565"/>
      <c r="T105" s="565"/>
      <c r="U105" s="565" t="str">
        <f>IF(足元帳!W81="","",足元帳!W81)</f>
        <v/>
      </c>
      <c r="V105" s="565"/>
      <c r="W105" s="565"/>
      <c r="X105" s="565" t="str">
        <f>IF(足元帳!X81="","",足元帳!X81)</f>
        <v/>
      </c>
      <c r="Y105" s="565"/>
      <c r="Z105" s="565"/>
      <c r="AA105" s="565" t="str">
        <f>IF(足元帳!Y81="","",足元帳!Y81)</f>
        <v/>
      </c>
      <c r="AB105" s="565"/>
      <c r="AC105" s="565"/>
      <c r="AD105" s="565" t="str">
        <f>IF(足元帳!Z81="","",足元帳!Z81)</f>
        <v/>
      </c>
      <c r="AE105" s="565"/>
      <c r="AF105" s="566"/>
      <c r="AG105" s="587" t="str">
        <f ca="1">IF(ISERROR(MATCH("●",足元帳!AD81:AM81,0)),IF(足元帳!AM81="","",足元帳!$AM$1&amp;足元帳!AM81),INDIRECT("足元帳!R1C"&amp;MATCH("●",足元帳!AD81:AM81,0)+29,FALSE))</f>
        <v/>
      </c>
      <c r="AH105" s="565"/>
      <c r="AI105" s="565"/>
      <c r="AJ105" s="565"/>
      <c r="AK105" s="565" t="str">
        <f>IF(足元帳!AT81="","",足元帳!AT81)</f>
        <v/>
      </c>
      <c r="AL105" s="565"/>
      <c r="AM105" s="565"/>
      <c r="AN105" s="565"/>
      <c r="AO105" s="565"/>
      <c r="AP105" s="565"/>
      <c r="AQ105" s="588"/>
    </row>
    <row r="106" spans="1:43" ht="22.5" customHeight="1">
      <c r="A106" s="586">
        <f t="shared" si="7"/>
        <v>81</v>
      </c>
      <c r="B106" s="566"/>
      <c r="C106" s="73" t="str">
        <f>IF(足元帳!AY82=1,"N",IF(足元帳!AY82=2,"R",""))</f>
        <v/>
      </c>
      <c r="D106" s="74" t="str">
        <f>IF(足元帳!AZ82&gt;0,VLOOKUP(足元帳!AZ82,管理シート!$CF$32:$CG$34,2,FALSE),"")</f>
        <v/>
      </c>
      <c r="E106" s="572" t="str">
        <f>IF(足元帳!BB82&gt;0,VLOOKUP(足元帳!BB82,管理シート!#REF!,2,FALSE),"")</f>
        <v/>
      </c>
      <c r="F106" s="573"/>
      <c r="G106" s="574">
        <f>足元帳!J82</f>
        <v>0</v>
      </c>
      <c r="H106" s="575"/>
      <c r="I106" s="574">
        <f>足元帳!K82</f>
        <v>0</v>
      </c>
      <c r="J106" s="576"/>
      <c r="K106" s="575"/>
      <c r="L106" s="73" t="str">
        <f ca="1">IF(足元帳!AB82="●","無",IF(足元帳!AC82="●","半",IF(AG106="周年","半",IF(AG106="プレ6","半",IF(AG106="6割","半","")))))</f>
        <v/>
      </c>
      <c r="M106" s="115" t="str">
        <f>IF(足元帳!AM82="","","○")&amp;IF(足元帳!AL82="","","○")</f>
        <v/>
      </c>
      <c r="N106" s="115" t="str">
        <f>IF(足元帳!AN82="","","○")</f>
        <v/>
      </c>
      <c r="O106" s="587" t="str">
        <f>IF(足元帳!U82="","",足元帳!U82)</f>
        <v/>
      </c>
      <c r="P106" s="565"/>
      <c r="Q106" s="565"/>
      <c r="R106" s="565" t="str">
        <f>IF(足元帳!V82="","",足元帳!V82)</f>
        <v/>
      </c>
      <c r="S106" s="565"/>
      <c r="T106" s="565"/>
      <c r="U106" s="565" t="str">
        <f>IF(足元帳!W82="","",足元帳!W82)</f>
        <v/>
      </c>
      <c r="V106" s="565"/>
      <c r="W106" s="565"/>
      <c r="X106" s="565" t="str">
        <f>IF(足元帳!X82="","",足元帳!X82)</f>
        <v/>
      </c>
      <c r="Y106" s="565"/>
      <c r="Z106" s="565"/>
      <c r="AA106" s="565" t="str">
        <f>IF(足元帳!Y82="","",足元帳!Y82)</f>
        <v/>
      </c>
      <c r="AB106" s="565"/>
      <c r="AC106" s="565"/>
      <c r="AD106" s="565" t="str">
        <f>IF(足元帳!Z82="","",足元帳!Z82)</f>
        <v/>
      </c>
      <c r="AE106" s="565"/>
      <c r="AF106" s="566"/>
      <c r="AG106" s="587" t="str">
        <f ca="1">IF(ISERROR(MATCH("●",足元帳!AD82:AM82,0)),IF(足元帳!AM82="","",足元帳!$AM$1&amp;足元帳!AM82),INDIRECT("足元帳!R1C"&amp;MATCH("●",足元帳!AD82:AM82,0)+29,FALSE))</f>
        <v/>
      </c>
      <c r="AH106" s="565"/>
      <c r="AI106" s="565"/>
      <c r="AJ106" s="565"/>
      <c r="AK106" s="565" t="str">
        <f>IF(足元帳!AT82="","",足元帳!AT82)</f>
        <v/>
      </c>
      <c r="AL106" s="565"/>
      <c r="AM106" s="565"/>
      <c r="AN106" s="565"/>
      <c r="AO106" s="565"/>
      <c r="AP106" s="565"/>
      <c r="AQ106" s="588"/>
    </row>
    <row r="107" spans="1:43" ht="22.5" customHeight="1">
      <c r="A107" s="586">
        <f t="shared" si="7"/>
        <v>82</v>
      </c>
      <c r="B107" s="566"/>
      <c r="C107" s="73" t="str">
        <f>IF(足元帳!AY83=1,"N",IF(足元帳!AY83=2,"R",""))</f>
        <v/>
      </c>
      <c r="D107" s="74" t="str">
        <f>IF(足元帳!AZ83&gt;0,VLOOKUP(足元帳!AZ83,管理シート!$CF$32:$CG$34,2,FALSE),"")</f>
        <v/>
      </c>
      <c r="E107" s="572" t="str">
        <f>IF(足元帳!BB83&gt;0,VLOOKUP(足元帳!BB83,管理シート!#REF!,2,FALSE),"")</f>
        <v/>
      </c>
      <c r="F107" s="573"/>
      <c r="G107" s="574">
        <f>足元帳!J83</f>
        <v>0</v>
      </c>
      <c r="H107" s="575"/>
      <c r="I107" s="574">
        <f>足元帳!K83</f>
        <v>0</v>
      </c>
      <c r="J107" s="576"/>
      <c r="K107" s="575"/>
      <c r="L107" s="73" t="str">
        <f ca="1">IF(足元帳!AB83="●","無",IF(足元帳!AC83="●","半",IF(AG107="周年","半",IF(AG107="プレ6","半",IF(AG107="6割","半","")))))</f>
        <v/>
      </c>
      <c r="M107" s="115" t="str">
        <f>IF(足元帳!AM83="","","○")&amp;IF(足元帳!AL83="","","○")</f>
        <v/>
      </c>
      <c r="N107" s="115" t="str">
        <f>IF(足元帳!AN83="","","○")</f>
        <v/>
      </c>
      <c r="O107" s="587" t="str">
        <f>IF(足元帳!U83="","",足元帳!U83)</f>
        <v/>
      </c>
      <c r="P107" s="565"/>
      <c r="Q107" s="565"/>
      <c r="R107" s="565" t="str">
        <f>IF(足元帳!V83="","",足元帳!V83)</f>
        <v/>
      </c>
      <c r="S107" s="565"/>
      <c r="T107" s="565"/>
      <c r="U107" s="565" t="str">
        <f>IF(足元帳!W83="","",足元帳!W83)</f>
        <v/>
      </c>
      <c r="V107" s="565"/>
      <c r="W107" s="565"/>
      <c r="X107" s="565" t="str">
        <f>IF(足元帳!X83="","",足元帳!X83)</f>
        <v/>
      </c>
      <c r="Y107" s="565"/>
      <c r="Z107" s="565"/>
      <c r="AA107" s="565" t="str">
        <f>IF(足元帳!Y83="","",足元帳!Y83)</f>
        <v/>
      </c>
      <c r="AB107" s="565"/>
      <c r="AC107" s="565"/>
      <c r="AD107" s="565" t="str">
        <f>IF(足元帳!Z83="","",足元帳!Z83)</f>
        <v/>
      </c>
      <c r="AE107" s="565"/>
      <c r="AF107" s="566"/>
      <c r="AG107" s="587" t="str">
        <f ca="1">IF(ISERROR(MATCH("●",足元帳!AD83:AM83,0)),IF(足元帳!AM83="","",足元帳!$AM$1&amp;足元帳!AM83),INDIRECT("足元帳!R1C"&amp;MATCH("●",足元帳!AD83:AM83,0)+29,FALSE))</f>
        <v/>
      </c>
      <c r="AH107" s="565"/>
      <c r="AI107" s="565"/>
      <c r="AJ107" s="565"/>
      <c r="AK107" s="565" t="str">
        <f>IF(足元帳!AT83="","",足元帳!AT83)</f>
        <v/>
      </c>
      <c r="AL107" s="565"/>
      <c r="AM107" s="565"/>
      <c r="AN107" s="565"/>
      <c r="AO107" s="565"/>
      <c r="AP107" s="565"/>
      <c r="AQ107" s="588"/>
    </row>
    <row r="108" spans="1:43" ht="22.5" customHeight="1">
      <c r="A108" s="586">
        <f t="shared" si="7"/>
        <v>83</v>
      </c>
      <c r="B108" s="566"/>
      <c r="C108" s="73" t="str">
        <f>IF(足元帳!AY84=1,"N",IF(足元帳!AY84=2,"R",""))</f>
        <v/>
      </c>
      <c r="D108" s="74" t="str">
        <f>IF(足元帳!AZ84&gt;0,VLOOKUP(足元帳!AZ84,管理シート!$CF$32:$CG$34,2,FALSE),"")</f>
        <v/>
      </c>
      <c r="E108" s="572" t="str">
        <f>IF(足元帳!BB84&gt;0,VLOOKUP(足元帳!BB84,管理シート!#REF!,2,FALSE),"")</f>
        <v/>
      </c>
      <c r="F108" s="573"/>
      <c r="G108" s="574">
        <f>足元帳!J84</f>
        <v>0</v>
      </c>
      <c r="H108" s="575"/>
      <c r="I108" s="574">
        <f>足元帳!K84</f>
        <v>0</v>
      </c>
      <c r="J108" s="576"/>
      <c r="K108" s="575"/>
      <c r="L108" s="73" t="str">
        <f ca="1">IF(足元帳!AB84="●","無",IF(足元帳!AC84="●","半",IF(AG108="周年","半",IF(AG108="プレ6","半",IF(AG108="6割","半","")))))</f>
        <v/>
      </c>
      <c r="M108" s="115" t="str">
        <f>IF(足元帳!AM84="","","○")&amp;IF(足元帳!AL84="","","○")</f>
        <v/>
      </c>
      <c r="N108" s="115" t="str">
        <f>IF(足元帳!AN84="","","○")</f>
        <v/>
      </c>
      <c r="O108" s="587" t="str">
        <f>IF(足元帳!U84="","",足元帳!U84)</f>
        <v/>
      </c>
      <c r="P108" s="565"/>
      <c r="Q108" s="565"/>
      <c r="R108" s="565" t="str">
        <f>IF(足元帳!V84="","",足元帳!V84)</f>
        <v/>
      </c>
      <c r="S108" s="565"/>
      <c r="T108" s="565"/>
      <c r="U108" s="565" t="str">
        <f>IF(足元帳!W84="","",足元帳!W84)</f>
        <v/>
      </c>
      <c r="V108" s="565"/>
      <c r="W108" s="565"/>
      <c r="X108" s="565" t="str">
        <f>IF(足元帳!X84="","",足元帳!X84)</f>
        <v/>
      </c>
      <c r="Y108" s="565"/>
      <c r="Z108" s="565"/>
      <c r="AA108" s="565" t="str">
        <f>IF(足元帳!Y84="","",足元帳!Y84)</f>
        <v/>
      </c>
      <c r="AB108" s="565"/>
      <c r="AC108" s="565"/>
      <c r="AD108" s="565" t="str">
        <f>IF(足元帳!Z84="","",足元帳!Z84)</f>
        <v/>
      </c>
      <c r="AE108" s="565"/>
      <c r="AF108" s="566"/>
      <c r="AG108" s="587" t="str">
        <f ca="1">IF(ISERROR(MATCH("●",足元帳!AD84:AM84,0)),IF(足元帳!AM84="","",足元帳!$AM$1&amp;足元帳!AM84),INDIRECT("足元帳!R1C"&amp;MATCH("●",足元帳!AD84:AM84,0)+29,FALSE))</f>
        <v/>
      </c>
      <c r="AH108" s="565"/>
      <c r="AI108" s="565"/>
      <c r="AJ108" s="565"/>
      <c r="AK108" s="565" t="str">
        <f>IF(足元帳!AT84="","",足元帳!AT84)</f>
        <v/>
      </c>
      <c r="AL108" s="565"/>
      <c r="AM108" s="565"/>
      <c r="AN108" s="565"/>
      <c r="AO108" s="565"/>
      <c r="AP108" s="565"/>
      <c r="AQ108" s="588"/>
    </row>
    <row r="109" spans="1:43" ht="22.5" customHeight="1">
      <c r="A109" s="586">
        <f t="shared" si="7"/>
        <v>84</v>
      </c>
      <c r="B109" s="566"/>
      <c r="C109" s="73" t="str">
        <f>IF(足元帳!AY85=1,"N",IF(足元帳!AY85=2,"R",""))</f>
        <v/>
      </c>
      <c r="D109" s="74" t="str">
        <f>IF(足元帳!AZ85&gt;0,VLOOKUP(足元帳!AZ85,管理シート!$CF$32:$CG$34,2,FALSE),"")</f>
        <v/>
      </c>
      <c r="E109" s="572" t="str">
        <f>IF(足元帳!BB85&gt;0,VLOOKUP(足元帳!BB85,管理シート!#REF!,2,FALSE),"")</f>
        <v/>
      </c>
      <c r="F109" s="573"/>
      <c r="G109" s="574">
        <f>足元帳!J85</f>
        <v>0</v>
      </c>
      <c r="H109" s="575"/>
      <c r="I109" s="574">
        <f>足元帳!K85</f>
        <v>0</v>
      </c>
      <c r="J109" s="576"/>
      <c r="K109" s="575"/>
      <c r="L109" s="73" t="str">
        <f ca="1">IF(足元帳!AB85="●","無",IF(足元帳!AC85="●","半",IF(AG109="周年","半",IF(AG109="プレ6","半",IF(AG109="6割","半","")))))</f>
        <v/>
      </c>
      <c r="M109" s="115" t="str">
        <f>IF(足元帳!AM85="","","○")&amp;IF(足元帳!AL85="","","○")</f>
        <v/>
      </c>
      <c r="N109" s="115" t="str">
        <f>IF(足元帳!AN85="","","○")</f>
        <v/>
      </c>
      <c r="O109" s="587" t="str">
        <f>IF(足元帳!U85="","",足元帳!U85)</f>
        <v/>
      </c>
      <c r="P109" s="565"/>
      <c r="Q109" s="565"/>
      <c r="R109" s="565" t="str">
        <f>IF(足元帳!V85="","",足元帳!V85)</f>
        <v/>
      </c>
      <c r="S109" s="565"/>
      <c r="T109" s="565"/>
      <c r="U109" s="565" t="str">
        <f>IF(足元帳!W85="","",足元帳!W85)</f>
        <v/>
      </c>
      <c r="V109" s="565"/>
      <c r="W109" s="565"/>
      <c r="X109" s="565" t="str">
        <f>IF(足元帳!X85="","",足元帳!X85)</f>
        <v/>
      </c>
      <c r="Y109" s="565"/>
      <c r="Z109" s="565"/>
      <c r="AA109" s="565" t="str">
        <f>IF(足元帳!Y85="","",足元帳!Y85)</f>
        <v/>
      </c>
      <c r="AB109" s="565"/>
      <c r="AC109" s="565"/>
      <c r="AD109" s="565" t="str">
        <f>IF(足元帳!Z85="","",足元帳!Z85)</f>
        <v/>
      </c>
      <c r="AE109" s="565"/>
      <c r="AF109" s="566"/>
      <c r="AG109" s="587" t="str">
        <f ca="1">IF(ISERROR(MATCH("●",足元帳!AD85:AM85,0)),IF(足元帳!AM85="","",足元帳!$AM$1&amp;足元帳!AM85),INDIRECT("足元帳!R1C"&amp;MATCH("●",足元帳!AD85:AM85,0)+29,FALSE))</f>
        <v/>
      </c>
      <c r="AH109" s="565"/>
      <c r="AI109" s="565"/>
      <c r="AJ109" s="565"/>
      <c r="AK109" s="565" t="str">
        <f>IF(足元帳!AT85="","",足元帳!AT85)</f>
        <v/>
      </c>
      <c r="AL109" s="565"/>
      <c r="AM109" s="565"/>
      <c r="AN109" s="565"/>
      <c r="AO109" s="565"/>
      <c r="AP109" s="565"/>
      <c r="AQ109" s="588"/>
    </row>
    <row r="110" spans="1:43" ht="22.5" customHeight="1">
      <c r="A110" s="586">
        <f t="shared" si="7"/>
        <v>85</v>
      </c>
      <c r="B110" s="566"/>
      <c r="C110" s="73" t="str">
        <f>IF(足元帳!AY86=1,"N",IF(足元帳!AY86=2,"R",""))</f>
        <v/>
      </c>
      <c r="D110" s="74" t="str">
        <f>IF(足元帳!AZ86&gt;0,VLOOKUP(足元帳!AZ86,管理シート!$CF$32:$CG$34,2,FALSE),"")</f>
        <v/>
      </c>
      <c r="E110" s="572" t="str">
        <f>IF(足元帳!BB86&gt;0,VLOOKUP(足元帳!BB86,管理シート!#REF!,2,FALSE),"")</f>
        <v/>
      </c>
      <c r="F110" s="573"/>
      <c r="G110" s="574">
        <f>足元帳!J86</f>
        <v>0</v>
      </c>
      <c r="H110" s="575"/>
      <c r="I110" s="574">
        <f>足元帳!K86</f>
        <v>0</v>
      </c>
      <c r="J110" s="576"/>
      <c r="K110" s="575"/>
      <c r="L110" s="73" t="str">
        <f ca="1">IF(足元帳!AB86="●","無",IF(足元帳!AC86="●","半",IF(AG110="周年","半",IF(AG110="プレ6","半",IF(AG110="6割","半","")))))</f>
        <v/>
      </c>
      <c r="M110" s="115" t="str">
        <f>IF(足元帳!AM86="","","○")&amp;IF(足元帳!AL86="","","○")</f>
        <v/>
      </c>
      <c r="N110" s="115" t="str">
        <f>IF(足元帳!AN86="","","○")</f>
        <v/>
      </c>
      <c r="O110" s="587" t="str">
        <f>IF(足元帳!U86="","",足元帳!U86)</f>
        <v/>
      </c>
      <c r="P110" s="565"/>
      <c r="Q110" s="565"/>
      <c r="R110" s="565" t="str">
        <f>IF(足元帳!V86="","",足元帳!V86)</f>
        <v/>
      </c>
      <c r="S110" s="565"/>
      <c r="T110" s="565"/>
      <c r="U110" s="565" t="str">
        <f>IF(足元帳!W86="","",足元帳!W86)</f>
        <v/>
      </c>
      <c r="V110" s="565"/>
      <c r="W110" s="565"/>
      <c r="X110" s="565" t="str">
        <f>IF(足元帳!X86="","",足元帳!X86)</f>
        <v/>
      </c>
      <c r="Y110" s="565"/>
      <c r="Z110" s="565"/>
      <c r="AA110" s="565" t="str">
        <f>IF(足元帳!Y86="","",足元帳!Y86)</f>
        <v/>
      </c>
      <c r="AB110" s="565"/>
      <c r="AC110" s="565"/>
      <c r="AD110" s="565" t="str">
        <f>IF(足元帳!Z86="","",足元帳!Z86)</f>
        <v/>
      </c>
      <c r="AE110" s="565"/>
      <c r="AF110" s="566"/>
      <c r="AG110" s="587" t="str">
        <f ca="1">IF(ISERROR(MATCH("●",足元帳!AD86:AM86,0)),IF(足元帳!AM86="","",足元帳!$AM$1&amp;足元帳!AM86),INDIRECT("足元帳!R1C"&amp;MATCH("●",足元帳!AD86:AM86,0)+29,FALSE))</f>
        <v/>
      </c>
      <c r="AH110" s="565"/>
      <c r="AI110" s="565"/>
      <c r="AJ110" s="565"/>
      <c r="AK110" s="565" t="str">
        <f>IF(足元帳!AT86="","",足元帳!AT86)</f>
        <v/>
      </c>
      <c r="AL110" s="565"/>
      <c r="AM110" s="565"/>
      <c r="AN110" s="565"/>
      <c r="AO110" s="565"/>
      <c r="AP110" s="565"/>
      <c r="AQ110" s="588"/>
    </row>
    <row r="111" spans="1:43" ht="22.5" customHeight="1">
      <c r="A111" s="586">
        <f t="shared" si="7"/>
        <v>86</v>
      </c>
      <c r="B111" s="566"/>
      <c r="C111" s="73" t="str">
        <f>IF(足元帳!AY87=1,"N",IF(足元帳!AY87=2,"R",""))</f>
        <v/>
      </c>
      <c r="D111" s="74" t="str">
        <f>IF(足元帳!AZ87&gt;0,VLOOKUP(足元帳!AZ87,管理シート!$CF$32:$CG$34,2,FALSE),"")</f>
        <v/>
      </c>
      <c r="E111" s="572" t="str">
        <f>IF(足元帳!BB87&gt;0,VLOOKUP(足元帳!BB87,管理シート!#REF!,2,FALSE),"")</f>
        <v/>
      </c>
      <c r="F111" s="573"/>
      <c r="G111" s="574">
        <f>足元帳!J87</f>
        <v>0</v>
      </c>
      <c r="H111" s="575"/>
      <c r="I111" s="574">
        <f>足元帳!K87</f>
        <v>0</v>
      </c>
      <c r="J111" s="576"/>
      <c r="K111" s="575"/>
      <c r="L111" s="73" t="str">
        <f ca="1">IF(足元帳!AB87="●","無",IF(足元帳!AC87="●","半",IF(AG111="周年","半",IF(AG111="プレ6","半",IF(AG111="6割","半","")))))</f>
        <v/>
      </c>
      <c r="M111" s="115" t="str">
        <f>IF(足元帳!AM87="","","○")&amp;IF(足元帳!AL87="","","○")</f>
        <v/>
      </c>
      <c r="N111" s="115" t="str">
        <f>IF(足元帳!AN87="","","○")</f>
        <v/>
      </c>
      <c r="O111" s="587" t="str">
        <f>IF(足元帳!U87="","",足元帳!U87)</f>
        <v/>
      </c>
      <c r="P111" s="565"/>
      <c r="Q111" s="565"/>
      <c r="R111" s="565" t="str">
        <f>IF(足元帳!V87="","",足元帳!V87)</f>
        <v/>
      </c>
      <c r="S111" s="565"/>
      <c r="T111" s="565"/>
      <c r="U111" s="565" t="str">
        <f>IF(足元帳!W87="","",足元帳!W87)</f>
        <v/>
      </c>
      <c r="V111" s="565"/>
      <c r="W111" s="565"/>
      <c r="X111" s="565" t="str">
        <f>IF(足元帳!X87="","",足元帳!X87)</f>
        <v/>
      </c>
      <c r="Y111" s="565"/>
      <c r="Z111" s="565"/>
      <c r="AA111" s="565" t="str">
        <f>IF(足元帳!Y87="","",足元帳!Y87)</f>
        <v/>
      </c>
      <c r="AB111" s="565"/>
      <c r="AC111" s="565"/>
      <c r="AD111" s="565" t="str">
        <f>IF(足元帳!Z87="","",足元帳!Z87)</f>
        <v/>
      </c>
      <c r="AE111" s="565"/>
      <c r="AF111" s="566"/>
      <c r="AG111" s="587" t="str">
        <f ca="1">IF(ISERROR(MATCH("●",足元帳!AD87:AM87,0)),IF(足元帳!AM87="","",足元帳!$AM$1&amp;足元帳!AM87),INDIRECT("足元帳!R1C"&amp;MATCH("●",足元帳!AD87:AM87,0)+29,FALSE))</f>
        <v/>
      </c>
      <c r="AH111" s="565"/>
      <c r="AI111" s="565"/>
      <c r="AJ111" s="565"/>
      <c r="AK111" s="565" t="str">
        <f>IF(足元帳!AT87="","",足元帳!AT87)</f>
        <v/>
      </c>
      <c r="AL111" s="565"/>
      <c r="AM111" s="565"/>
      <c r="AN111" s="565"/>
      <c r="AO111" s="565"/>
      <c r="AP111" s="565"/>
      <c r="AQ111" s="588"/>
    </row>
    <row r="112" spans="1:43" ht="22.5" customHeight="1">
      <c r="A112" s="586">
        <f t="shared" si="7"/>
        <v>87</v>
      </c>
      <c r="B112" s="566"/>
      <c r="C112" s="73" t="str">
        <f>IF(足元帳!AY88=1,"N",IF(足元帳!AY88=2,"R",""))</f>
        <v/>
      </c>
      <c r="D112" s="74" t="str">
        <f>IF(足元帳!AZ88&gt;0,VLOOKUP(足元帳!AZ88,管理シート!$CF$32:$CG$34,2,FALSE),"")</f>
        <v/>
      </c>
      <c r="E112" s="572" t="str">
        <f>IF(足元帳!BB88&gt;0,VLOOKUP(足元帳!BB88,管理シート!#REF!,2,FALSE),"")</f>
        <v/>
      </c>
      <c r="F112" s="573"/>
      <c r="G112" s="574">
        <f>足元帳!J88</f>
        <v>0</v>
      </c>
      <c r="H112" s="575"/>
      <c r="I112" s="574">
        <f>足元帳!K88</f>
        <v>0</v>
      </c>
      <c r="J112" s="576"/>
      <c r="K112" s="575"/>
      <c r="L112" s="73" t="str">
        <f ca="1">IF(足元帳!AB88="●","無",IF(足元帳!AC88="●","半",IF(AG112="周年","半",IF(AG112="プレ6","半",IF(AG112="6割","半","")))))</f>
        <v/>
      </c>
      <c r="M112" s="115" t="str">
        <f>IF(足元帳!AM88="","","○")&amp;IF(足元帳!AL88="","","○")</f>
        <v/>
      </c>
      <c r="N112" s="115" t="str">
        <f>IF(足元帳!AN88="","","○")</f>
        <v/>
      </c>
      <c r="O112" s="587" t="str">
        <f>IF(足元帳!U88="","",足元帳!U88)</f>
        <v/>
      </c>
      <c r="P112" s="565"/>
      <c r="Q112" s="565"/>
      <c r="R112" s="565" t="str">
        <f>IF(足元帳!V88="","",足元帳!V88)</f>
        <v/>
      </c>
      <c r="S112" s="565"/>
      <c r="T112" s="565"/>
      <c r="U112" s="565" t="str">
        <f>IF(足元帳!W88="","",足元帳!W88)</f>
        <v/>
      </c>
      <c r="V112" s="565"/>
      <c r="W112" s="565"/>
      <c r="X112" s="565" t="str">
        <f>IF(足元帳!X88="","",足元帳!X88)</f>
        <v/>
      </c>
      <c r="Y112" s="565"/>
      <c r="Z112" s="565"/>
      <c r="AA112" s="565" t="str">
        <f>IF(足元帳!Y88="","",足元帳!Y88)</f>
        <v/>
      </c>
      <c r="AB112" s="565"/>
      <c r="AC112" s="565"/>
      <c r="AD112" s="565" t="str">
        <f>IF(足元帳!Z88="","",足元帳!Z88)</f>
        <v/>
      </c>
      <c r="AE112" s="565"/>
      <c r="AF112" s="566"/>
      <c r="AG112" s="587" t="str">
        <f ca="1">IF(ISERROR(MATCH("●",足元帳!AD88:AM88,0)),IF(足元帳!AM88="","",足元帳!$AM$1&amp;足元帳!AM88),INDIRECT("足元帳!R1C"&amp;MATCH("●",足元帳!AD88:AM88,0)+29,FALSE))</f>
        <v/>
      </c>
      <c r="AH112" s="565"/>
      <c r="AI112" s="565"/>
      <c r="AJ112" s="565"/>
      <c r="AK112" s="565" t="str">
        <f>IF(足元帳!AT88="","",足元帳!AT88)</f>
        <v/>
      </c>
      <c r="AL112" s="565"/>
      <c r="AM112" s="565"/>
      <c r="AN112" s="565"/>
      <c r="AO112" s="565"/>
      <c r="AP112" s="565"/>
      <c r="AQ112" s="588"/>
    </row>
    <row r="113" spans="1:43" ht="22.5" customHeight="1">
      <c r="A113" s="586">
        <f t="shared" si="7"/>
        <v>88</v>
      </c>
      <c r="B113" s="566"/>
      <c r="C113" s="73" t="str">
        <f>IF(足元帳!AY89=1,"N",IF(足元帳!AY89=2,"R",""))</f>
        <v/>
      </c>
      <c r="D113" s="74" t="str">
        <f>IF(足元帳!AZ89&gt;0,VLOOKUP(足元帳!AZ89,管理シート!$CF$32:$CG$34,2,FALSE),"")</f>
        <v/>
      </c>
      <c r="E113" s="572" t="str">
        <f>IF(足元帳!BB89&gt;0,VLOOKUP(足元帳!BB89,管理シート!#REF!,2,FALSE),"")</f>
        <v/>
      </c>
      <c r="F113" s="573"/>
      <c r="G113" s="574">
        <f>足元帳!J89</f>
        <v>0</v>
      </c>
      <c r="H113" s="575"/>
      <c r="I113" s="574">
        <f>足元帳!K89</f>
        <v>0</v>
      </c>
      <c r="J113" s="576"/>
      <c r="K113" s="575"/>
      <c r="L113" s="73" t="str">
        <f ca="1">IF(足元帳!AB89="●","無",IF(足元帳!AC89="●","半",IF(AG113="周年","半",IF(AG113="プレ6","半",IF(AG113="6割","半","")))))</f>
        <v/>
      </c>
      <c r="M113" s="115" t="str">
        <f>IF(足元帳!AM89="","","○")&amp;IF(足元帳!AL89="","","○")</f>
        <v/>
      </c>
      <c r="N113" s="115" t="str">
        <f>IF(足元帳!AN89="","","○")</f>
        <v/>
      </c>
      <c r="O113" s="587" t="str">
        <f>IF(足元帳!U89="","",足元帳!U89)</f>
        <v/>
      </c>
      <c r="P113" s="565"/>
      <c r="Q113" s="565"/>
      <c r="R113" s="565" t="str">
        <f>IF(足元帳!V89="","",足元帳!V89)</f>
        <v/>
      </c>
      <c r="S113" s="565"/>
      <c r="T113" s="565"/>
      <c r="U113" s="565" t="str">
        <f>IF(足元帳!W89="","",足元帳!W89)</f>
        <v/>
      </c>
      <c r="V113" s="565"/>
      <c r="W113" s="565"/>
      <c r="X113" s="565" t="str">
        <f>IF(足元帳!X89="","",足元帳!X89)</f>
        <v/>
      </c>
      <c r="Y113" s="565"/>
      <c r="Z113" s="565"/>
      <c r="AA113" s="565" t="str">
        <f>IF(足元帳!Y89="","",足元帳!Y89)</f>
        <v/>
      </c>
      <c r="AB113" s="565"/>
      <c r="AC113" s="565"/>
      <c r="AD113" s="565" t="str">
        <f>IF(足元帳!Z89="","",足元帳!Z89)</f>
        <v/>
      </c>
      <c r="AE113" s="565"/>
      <c r="AF113" s="566"/>
      <c r="AG113" s="587" t="str">
        <f ca="1">IF(ISERROR(MATCH("●",足元帳!AD89:AM89,0)),IF(足元帳!AM89="","",足元帳!$AM$1&amp;足元帳!AM89),INDIRECT("足元帳!R1C"&amp;MATCH("●",足元帳!AD89:AM89,0)+29,FALSE))</f>
        <v/>
      </c>
      <c r="AH113" s="565"/>
      <c r="AI113" s="565"/>
      <c r="AJ113" s="565"/>
      <c r="AK113" s="565" t="str">
        <f>IF(足元帳!AT89="","",足元帳!AT89)</f>
        <v/>
      </c>
      <c r="AL113" s="565"/>
      <c r="AM113" s="565"/>
      <c r="AN113" s="565"/>
      <c r="AO113" s="565"/>
      <c r="AP113" s="565"/>
      <c r="AQ113" s="588"/>
    </row>
    <row r="114" spans="1:43" ht="22.5" customHeight="1">
      <c r="A114" s="586">
        <f t="shared" si="7"/>
        <v>89</v>
      </c>
      <c r="B114" s="566"/>
      <c r="C114" s="73" t="str">
        <f>IF(足元帳!AY90=1,"N",IF(足元帳!AY90=2,"R",""))</f>
        <v/>
      </c>
      <c r="D114" s="74" t="str">
        <f>IF(足元帳!AZ90&gt;0,VLOOKUP(足元帳!AZ90,管理シート!$CF$32:$CG$34,2,FALSE),"")</f>
        <v/>
      </c>
      <c r="E114" s="572" t="str">
        <f>IF(足元帳!BB90&gt;0,VLOOKUP(足元帳!BB90,管理シート!#REF!,2,FALSE),"")</f>
        <v/>
      </c>
      <c r="F114" s="573"/>
      <c r="G114" s="574">
        <f>足元帳!J90</f>
        <v>0</v>
      </c>
      <c r="H114" s="575"/>
      <c r="I114" s="574">
        <f>足元帳!K90</f>
        <v>0</v>
      </c>
      <c r="J114" s="576"/>
      <c r="K114" s="575"/>
      <c r="L114" s="73" t="str">
        <f ca="1">IF(足元帳!AB90="●","無",IF(足元帳!AC90="●","半",IF(AG114="周年","半",IF(AG114="プレ6","半",IF(AG114="6割","半","")))))</f>
        <v/>
      </c>
      <c r="M114" s="115" t="str">
        <f>IF(足元帳!AM90="","","○")&amp;IF(足元帳!AL90="","","○")</f>
        <v/>
      </c>
      <c r="N114" s="115" t="str">
        <f>IF(足元帳!AN90="","","○")</f>
        <v/>
      </c>
      <c r="O114" s="587" t="str">
        <f>IF(足元帳!U90="","",足元帳!U90)</f>
        <v/>
      </c>
      <c r="P114" s="565"/>
      <c r="Q114" s="565"/>
      <c r="R114" s="565" t="str">
        <f>IF(足元帳!V90="","",足元帳!V90)</f>
        <v/>
      </c>
      <c r="S114" s="565"/>
      <c r="T114" s="565"/>
      <c r="U114" s="565" t="str">
        <f>IF(足元帳!W90="","",足元帳!W90)</f>
        <v/>
      </c>
      <c r="V114" s="565"/>
      <c r="W114" s="565"/>
      <c r="X114" s="565" t="str">
        <f>IF(足元帳!X90="","",足元帳!X90)</f>
        <v/>
      </c>
      <c r="Y114" s="565"/>
      <c r="Z114" s="565"/>
      <c r="AA114" s="565" t="str">
        <f>IF(足元帳!Y90="","",足元帳!Y90)</f>
        <v/>
      </c>
      <c r="AB114" s="565"/>
      <c r="AC114" s="565"/>
      <c r="AD114" s="565" t="str">
        <f>IF(足元帳!Z90="","",足元帳!Z90)</f>
        <v/>
      </c>
      <c r="AE114" s="565"/>
      <c r="AF114" s="566"/>
      <c r="AG114" s="587" t="str">
        <f ca="1">IF(ISERROR(MATCH("●",足元帳!AD90:AM90,0)),IF(足元帳!AM90="","",足元帳!$AM$1&amp;足元帳!AM90),INDIRECT("足元帳!R1C"&amp;MATCH("●",足元帳!AD90:AM90,0)+29,FALSE))</f>
        <v/>
      </c>
      <c r="AH114" s="565"/>
      <c r="AI114" s="565"/>
      <c r="AJ114" s="565"/>
      <c r="AK114" s="565" t="str">
        <f>IF(足元帳!AT90="","",足元帳!AT90)</f>
        <v/>
      </c>
      <c r="AL114" s="565"/>
      <c r="AM114" s="565"/>
      <c r="AN114" s="565"/>
      <c r="AO114" s="565"/>
      <c r="AP114" s="565"/>
      <c r="AQ114" s="588"/>
    </row>
    <row r="115" spans="1:43" ht="22.5" customHeight="1">
      <c r="A115" s="586">
        <f t="shared" si="7"/>
        <v>90</v>
      </c>
      <c r="B115" s="566"/>
      <c r="C115" s="73" t="str">
        <f>IF(足元帳!AY91=1,"N",IF(足元帳!AY91=2,"R",""))</f>
        <v/>
      </c>
      <c r="D115" s="74" t="str">
        <f>IF(足元帳!AZ91&gt;0,VLOOKUP(足元帳!AZ91,管理シート!$CF$32:$CG$34,2,FALSE),"")</f>
        <v/>
      </c>
      <c r="E115" s="572" t="str">
        <f>IF(足元帳!BB91&gt;0,VLOOKUP(足元帳!BB91,管理シート!#REF!,2,FALSE),"")</f>
        <v/>
      </c>
      <c r="F115" s="573"/>
      <c r="G115" s="574">
        <f>足元帳!J91</f>
        <v>0</v>
      </c>
      <c r="H115" s="575"/>
      <c r="I115" s="574">
        <f>足元帳!K91</f>
        <v>0</v>
      </c>
      <c r="J115" s="576"/>
      <c r="K115" s="575"/>
      <c r="L115" s="73" t="str">
        <f ca="1">IF(足元帳!AB91="●","無",IF(足元帳!AC91="●","半",IF(AG115="周年","半",IF(AG115="プレ6","半",IF(AG115="6割","半","")))))</f>
        <v/>
      </c>
      <c r="M115" s="115" t="str">
        <f>IF(足元帳!AM91="","","○")&amp;IF(足元帳!AL91="","","○")</f>
        <v/>
      </c>
      <c r="N115" s="115" t="str">
        <f>IF(足元帳!AN91="","","○")</f>
        <v/>
      </c>
      <c r="O115" s="587" t="str">
        <f>IF(足元帳!U91="","",足元帳!U91)</f>
        <v/>
      </c>
      <c r="P115" s="565"/>
      <c r="Q115" s="565"/>
      <c r="R115" s="565" t="str">
        <f>IF(足元帳!V91="","",足元帳!V91)</f>
        <v/>
      </c>
      <c r="S115" s="565"/>
      <c r="T115" s="565"/>
      <c r="U115" s="565" t="str">
        <f>IF(足元帳!W91="","",足元帳!W91)</f>
        <v/>
      </c>
      <c r="V115" s="565"/>
      <c r="W115" s="565"/>
      <c r="X115" s="565" t="str">
        <f>IF(足元帳!X91="","",足元帳!X91)</f>
        <v/>
      </c>
      <c r="Y115" s="565"/>
      <c r="Z115" s="565"/>
      <c r="AA115" s="565" t="str">
        <f>IF(足元帳!Y91="","",足元帳!Y91)</f>
        <v/>
      </c>
      <c r="AB115" s="565"/>
      <c r="AC115" s="565"/>
      <c r="AD115" s="565" t="str">
        <f>IF(足元帳!Z91="","",足元帳!Z91)</f>
        <v/>
      </c>
      <c r="AE115" s="565"/>
      <c r="AF115" s="566"/>
      <c r="AG115" s="587" t="str">
        <f ca="1">IF(ISERROR(MATCH("●",足元帳!AD91:AM91,0)),IF(足元帳!AM91="","",足元帳!$AM$1&amp;足元帳!AM91),INDIRECT("足元帳!R1C"&amp;MATCH("●",足元帳!AD91:AM91,0)+29,FALSE))</f>
        <v/>
      </c>
      <c r="AH115" s="565"/>
      <c r="AI115" s="565"/>
      <c r="AJ115" s="565"/>
      <c r="AK115" s="565" t="str">
        <f>IF(足元帳!AT91="","",足元帳!AT91)</f>
        <v/>
      </c>
      <c r="AL115" s="565"/>
      <c r="AM115" s="565"/>
      <c r="AN115" s="565"/>
      <c r="AO115" s="565"/>
      <c r="AP115" s="565"/>
      <c r="AQ115" s="588"/>
    </row>
    <row r="116" spans="1:43" ht="22.5" customHeight="1">
      <c r="A116" s="586">
        <f t="shared" si="7"/>
        <v>91</v>
      </c>
      <c r="B116" s="566"/>
      <c r="C116" s="73" t="str">
        <f>IF(足元帳!AY92=1,"N",IF(足元帳!AY92=2,"R",""))</f>
        <v/>
      </c>
      <c r="D116" s="74" t="str">
        <f>IF(足元帳!AZ92&gt;0,VLOOKUP(足元帳!AZ92,管理シート!$CF$32:$CG$34,2,FALSE),"")</f>
        <v/>
      </c>
      <c r="E116" s="572" t="str">
        <f>IF(足元帳!BB92&gt;0,VLOOKUP(足元帳!BB92,管理シート!#REF!,2,FALSE),"")</f>
        <v/>
      </c>
      <c r="F116" s="573"/>
      <c r="G116" s="574">
        <f>足元帳!J92</f>
        <v>0</v>
      </c>
      <c r="H116" s="575"/>
      <c r="I116" s="574">
        <f>足元帳!K92</f>
        <v>0</v>
      </c>
      <c r="J116" s="576"/>
      <c r="K116" s="575"/>
      <c r="L116" s="73" t="str">
        <f ca="1">IF(足元帳!AB92="●","無",IF(足元帳!AC92="●","半",IF(AG116="周年","半",IF(AG116="プレ6","半",IF(AG116="6割","半","")))))</f>
        <v/>
      </c>
      <c r="M116" s="115" t="str">
        <f>IF(足元帳!AM92="","","○")&amp;IF(足元帳!AL92="","","○")</f>
        <v/>
      </c>
      <c r="N116" s="115" t="str">
        <f>IF(足元帳!AN92="","","○")</f>
        <v/>
      </c>
      <c r="O116" s="587" t="str">
        <f>IF(足元帳!U92="","",足元帳!U92)</f>
        <v/>
      </c>
      <c r="P116" s="565"/>
      <c r="Q116" s="565"/>
      <c r="R116" s="565" t="str">
        <f>IF(足元帳!V92="","",足元帳!V92)</f>
        <v/>
      </c>
      <c r="S116" s="565"/>
      <c r="T116" s="565"/>
      <c r="U116" s="565" t="str">
        <f>IF(足元帳!W92="","",足元帳!W92)</f>
        <v/>
      </c>
      <c r="V116" s="565"/>
      <c r="W116" s="565"/>
      <c r="X116" s="565" t="str">
        <f>IF(足元帳!X92="","",足元帳!X92)</f>
        <v/>
      </c>
      <c r="Y116" s="565"/>
      <c r="Z116" s="565"/>
      <c r="AA116" s="565" t="str">
        <f>IF(足元帳!Y92="","",足元帳!Y92)</f>
        <v/>
      </c>
      <c r="AB116" s="565"/>
      <c r="AC116" s="565"/>
      <c r="AD116" s="565" t="str">
        <f>IF(足元帳!Z92="","",足元帳!Z92)</f>
        <v/>
      </c>
      <c r="AE116" s="565"/>
      <c r="AF116" s="566"/>
      <c r="AG116" s="587" t="str">
        <f ca="1">IF(ISERROR(MATCH("●",足元帳!AD92:AM92,0)),IF(足元帳!AM92="","",足元帳!$AM$1&amp;足元帳!AM92),INDIRECT("足元帳!R1C"&amp;MATCH("●",足元帳!AD92:AM92,0)+29,FALSE))</f>
        <v/>
      </c>
      <c r="AH116" s="565"/>
      <c r="AI116" s="565"/>
      <c r="AJ116" s="565"/>
      <c r="AK116" s="565" t="str">
        <f>IF(足元帳!AT92="","",足元帳!AT92)</f>
        <v/>
      </c>
      <c r="AL116" s="565"/>
      <c r="AM116" s="565"/>
      <c r="AN116" s="565"/>
      <c r="AO116" s="565"/>
      <c r="AP116" s="565"/>
      <c r="AQ116" s="588"/>
    </row>
    <row r="117" spans="1:43" ht="22.5" customHeight="1">
      <c r="A117" s="586">
        <f t="shared" si="7"/>
        <v>92</v>
      </c>
      <c r="B117" s="566"/>
      <c r="C117" s="73" t="str">
        <f>IF(足元帳!AY93=1,"N",IF(足元帳!AY93=2,"R",""))</f>
        <v/>
      </c>
      <c r="D117" s="74" t="str">
        <f>IF(足元帳!AZ93&gt;0,VLOOKUP(足元帳!AZ93,管理シート!$CF$32:$CG$34,2,FALSE),"")</f>
        <v/>
      </c>
      <c r="E117" s="572" t="str">
        <f>IF(足元帳!BB93&gt;0,VLOOKUP(足元帳!BB93,管理シート!#REF!,2,FALSE),"")</f>
        <v/>
      </c>
      <c r="F117" s="573"/>
      <c r="G117" s="574">
        <f>足元帳!J93</f>
        <v>0</v>
      </c>
      <c r="H117" s="575"/>
      <c r="I117" s="574">
        <f>足元帳!K93</f>
        <v>0</v>
      </c>
      <c r="J117" s="576"/>
      <c r="K117" s="575"/>
      <c r="L117" s="73" t="str">
        <f ca="1">IF(足元帳!AB93="●","無",IF(足元帳!AC93="●","半",IF(AG117="周年","半",IF(AG117="プレ6","半",IF(AG117="6割","半","")))))</f>
        <v/>
      </c>
      <c r="M117" s="115" t="str">
        <f>IF(足元帳!AM93="","","○")&amp;IF(足元帳!AL93="","","○")</f>
        <v/>
      </c>
      <c r="N117" s="115" t="str">
        <f>IF(足元帳!AN93="","","○")</f>
        <v/>
      </c>
      <c r="O117" s="587" t="str">
        <f>IF(足元帳!U93="","",足元帳!U93)</f>
        <v/>
      </c>
      <c r="P117" s="565"/>
      <c r="Q117" s="565"/>
      <c r="R117" s="565" t="str">
        <f>IF(足元帳!V93="","",足元帳!V93)</f>
        <v/>
      </c>
      <c r="S117" s="565"/>
      <c r="T117" s="565"/>
      <c r="U117" s="565" t="str">
        <f>IF(足元帳!W93="","",足元帳!W93)</f>
        <v/>
      </c>
      <c r="V117" s="565"/>
      <c r="W117" s="565"/>
      <c r="X117" s="565" t="str">
        <f>IF(足元帳!X93="","",足元帳!X93)</f>
        <v/>
      </c>
      <c r="Y117" s="565"/>
      <c r="Z117" s="565"/>
      <c r="AA117" s="565" t="str">
        <f>IF(足元帳!Y93="","",足元帳!Y93)</f>
        <v/>
      </c>
      <c r="AB117" s="565"/>
      <c r="AC117" s="565"/>
      <c r="AD117" s="565" t="str">
        <f>IF(足元帳!Z93="","",足元帳!Z93)</f>
        <v/>
      </c>
      <c r="AE117" s="565"/>
      <c r="AF117" s="566"/>
      <c r="AG117" s="587" t="str">
        <f ca="1">IF(ISERROR(MATCH("●",足元帳!AD93:AM93,0)),IF(足元帳!AM93="","",足元帳!$AM$1&amp;足元帳!AM93),INDIRECT("足元帳!R1C"&amp;MATCH("●",足元帳!AD93:AM93,0)+29,FALSE))</f>
        <v/>
      </c>
      <c r="AH117" s="565"/>
      <c r="AI117" s="565"/>
      <c r="AJ117" s="565"/>
      <c r="AK117" s="565" t="str">
        <f>IF(足元帳!AT93="","",足元帳!AT93)</f>
        <v/>
      </c>
      <c r="AL117" s="565"/>
      <c r="AM117" s="565"/>
      <c r="AN117" s="565"/>
      <c r="AO117" s="565"/>
      <c r="AP117" s="565"/>
      <c r="AQ117" s="588"/>
    </row>
    <row r="118" spans="1:43" ht="22.5" customHeight="1">
      <c r="A118" s="586">
        <f t="shared" si="7"/>
        <v>93</v>
      </c>
      <c r="B118" s="566"/>
      <c r="C118" s="73" t="str">
        <f>IF(足元帳!AY94=1,"N",IF(足元帳!AY94=2,"R",""))</f>
        <v/>
      </c>
      <c r="D118" s="74" t="str">
        <f>IF(足元帳!AZ94&gt;0,VLOOKUP(足元帳!AZ94,管理シート!$CF$32:$CG$34,2,FALSE),"")</f>
        <v/>
      </c>
      <c r="E118" s="572" t="str">
        <f>IF(足元帳!BB94&gt;0,VLOOKUP(足元帳!BB94,管理シート!#REF!,2,FALSE),"")</f>
        <v/>
      </c>
      <c r="F118" s="573"/>
      <c r="G118" s="574">
        <f>足元帳!J94</f>
        <v>0</v>
      </c>
      <c r="H118" s="575"/>
      <c r="I118" s="574">
        <f>足元帳!K94</f>
        <v>0</v>
      </c>
      <c r="J118" s="576"/>
      <c r="K118" s="575"/>
      <c r="L118" s="73" t="str">
        <f ca="1">IF(足元帳!AB94="●","無",IF(足元帳!AC94="●","半",IF(AG118="周年","半",IF(AG118="プレ6","半",IF(AG118="6割","半","")))))</f>
        <v/>
      </c>
      <c r="M118" s="115" t="str">
        <f>IF(足元帳!AM94="","","○")&amp;IF(足元帳!AL94="","","○")</f>
        <v/>
      </c>
      <c r="N118" s="115" t="str">
        <f>IF(足元帳!AN94="","","○")</f>
        <v/>
      </c>
      <c r="O118" s="587" t="str">
        <f>IF(足元帳!U94="","",足元帳!U94)</f>
        <v/>
      </c>
      <c r="P118" s="565"/>
      <c r="Q118" s="565"/>
      <c r="R118" s="565" t="str">
        <f>IF(足元帳!V94="","",足元帳!V94)</f>
        <v/>
      </c>
      <c r="S118" s="565"/>
      <c r="T118" s="565"/>
      <c r="U118" s="565" t="str">
        <f>IF(足元帳!W94="","",足元帳!W94)</f>
        <v/>
      </c>
      <c r="V118" s="565"/>
      <c r="W118" s="565"/>
      <c r="X118" s="565" t="str">
        <f>IF(足元帳!X94="","",足元帳!X94)</f>
        <v/>
      </c>
      <c r="Y118" s="565"/>
      <c r="Z118" s="565"/>
      <c r="AA118" s="565" t="str">
        <f>IF(足元帳!Y94="","",足元帳!Y94)</f>
        <v/>
      </c>
      <c r="AB118" s="565"/>
      <c r="AC118" s="565"/>
      <c r="AD118" s="565" t="str">
        <f>IF(足元帳!Z94="","",足元帳!Z94)</f>
        <v/>
      </c>
      <c r="AE118" s="565"/>
      <c r="AF118" s="566"/>
      <c r="AG118" s="587" t="str">
        <f ca="1">IF(ISERROR(MATCH("●",足元帳!AD94:AM94,0)),IF(足元帳!AM94="","",足元帳!$AM$1&amp;足元帳!AM94),INDIRECT("足元帳!R1C"&amp;MATCH("●",足元帳!AD94:AM94,0)+29,FALSE))</f>
        <v/>
      </c>
      <c r="AH118" s="565"/>
      <c r="AI118" s="565"/>
      <c r="AJ118" s="565"/>
      <c r="AK118" s="565" t="str">
        <f>IF(足元帳!AT94="","",足元帳!AT94)</f>
        <v/>
      </c>
      <c r="AL118" s="565"/>
      <c r="AM118" s="565"/>
      <c r="AN118" s="565"/>
      <c r="AO118" s="565"/>
      <c r="AP118" s="565"/>
      <c r="AQ118" s="588"/>
    </row>
    <row r="119" spans="1:43" ht="22.5" customHeight="1">
      <c r="A119" s="586">
        <f t="shared" si="7"/>
        <v>94</v>
      </c>
      <c r="B119" s="566"/>
      <c r="C119" s="73" t="str">
        <f>IF(足元帳!AY95=1,"N",IF(足元帳!AY95=2,"R",""))</f>
        <v/>
      </c>
      <c r="D119" s="74" t="str">
        <f>IF(足元帳!AZ95&gt;0,VLOOKUP(足元帳!AZ95,管理シート!$CF$32:$CG$34,2,FALSE),"")</f>
        <v/>
      </c>
      <c r="E119" s="572" t="str">
        <f>IF(足元帳!BB95&gt;0,VLOOKUP(足元帳!BB95,管理シート!#REF!,2,FALSE),"")</f>
        <v/>
      </c>
      <c r="F119" s="573"/>
      <c r="G119" s="574">
        <f>足元帳!J95</f>
        <v>0</v>
      </c>
      <c r="H119" s="575"/>
      <c r="I119" s="574">
        <f>足元帳!K95</f>
        <v>0</v>
      </c>
      <c r="J119" s="576"/>
      <c r="K119" s="575"/>
      <c r="L119" s="73" t="str">
        <f ca="1">IF(足元帳!AB95="●","無",IF(足元帳!AC95="●","半",IF(AG119="周年","半",IF(AG119="プレ6","半",IF(AG119="6割","半","")))))</f>
        <v/>
      </c>
      <c r="M119" s="115" t="str">
        <f>IF(足元帳!AM95="","","○")&amp;IF(足元帳!AL95="","","○")</f>
        <v/>
      </c>
      <c r="N119" s="115" t="str">
        <f>IF(足元帳!AN95="","","○")</f>
        <v/>
      </c>
      <c r="O119" s="587" t="str">
        <f>IF(足元帳!U95="","",足元帳!U95)</f>
        <v/>
      </c>
      <c r="P119" s="565"/>
      <c r="Q119" s="565"/>
      <c r="R119" s="565" t="str">
        <f>IF(足元帳!V95="","",足元帳!V95)</f>
        <v/>
      </c>
      <c r="S119" s="565"/>
      <c r="T119" s="565"/>
      <c r="U119" s="565" t="str">
        <f>IF(足元帳!W95="","",足元帳!W95)</f>
        <v/>
      </c>
      <c r="V119" s="565"/>
      <c r="W119" s="565"/>
      <c r="X119" s="565" t="str">
        <f>IF(足元帳!X95="","",足元帳!X95)</f>
        <v/>
      </c>
      <c r="Y119" s="565"/>
      <c r="Z119" s="565"/>
      <c r="AA119" s="565" t="str">
        <f>IF(足元帳!Y95="","",足元帳!Y95)</f>
        <v/>
      </c>
      <c r="AB119" s="565"/>
      <c r="AC119" s="565"/>
      <c r="AD119" s="565" t="str">
        <f>IF(足元帳!Z95="","",足元帳!Z95)</f>
        <v/>
      </c>
      <c r="AE119" s="565"/>
      <c r="AF119" s="566"/>
      <c r="AG119" s="587" t="str">
        <f ca="1">IF(ISERROR(MATCH("●",足元帳!AD95:AM95,0)),IF(足元帳!AM95="","",足元帳!$AM$1&amp;足元帳!AM95),INDIRECT("足元帳!R1C"&amp;MATCH("●",足元帳!AD95:AM95,0)+29,FALSE))</f>
        <v/>
      </c>
      <c r="AH119" s="565"/>
      <c r="AI119" s="565"/>
      <c r="AJ119" s="565"/>
      <c r="AK119" s="565" t="str">
        <f>IF(足元帳!AT95="","",足元帳!AT95)</f>
        <v/>
      </c>
      <c r="AL119" s="565"/>
      <c r="AM119" s="565"/>
      <c r="AN119" s="565"/>
      <c r="AO119" s="565"/>
      <c r="AP119" s="565"/>
      <c r="AQ119" s="588"/>
    </row>
    <row r="120" spans="1:43" ht="22.5" customHeight="1">
      <c r="A120" s="586">
        <f t="shared" si="7"/>
        <v>95</v>
      </c>
      <c r="B120" s="566"/>
      <c r="C120" s="73" t="str">
        <f>IF(足元帳!AY96=1,"N",IF(足元帳!AY96=2,"R",""))</f>
        <v/>
      </c>
      <c r="D120" s="74" t="str">
        <f>IF(足元帳!AZ96&gt;0,VLOOKUP(足元帳!AZ96,管理シート!$CF$32:$CG$34,2,FALSE),"")</f>
        <v/>
      </c>
      <c r="E120" s="572" t="str">
        <f>IF(足元帳!BB96&gt;0,VLOOKUP(足元帳!BB96,管理シート!#REF!,2,FALSE),"")</f>
        <v/>
      </c>
      <c r="F120" s="573"/>
      <c r="G120" s="574">
        <f>足元帳!J96</f>
        <v>0</v>
      </c>
      <c r="H120" s="575"/>
      <c r="I120" s="574">
        <f>足元帳!K96</f>
        <v>0</v>
      </c>
      <c r="J120" s="576"/>
      <c r="K120" s="575"/>
      <c r="L120" s="73" t="str">
        <f ca="1">IF(足元帳!AB96="●","無",IF(足元帳!AC96="●","半",IF(AG120="周年","半",IF(AG120="プレ6","半",IF(AG120="6割","半","")))))</f>
        <v/>
      </c>
      <c r="M120" s="115" t="str">
        <f>IF(足元帳!AM96="","","○")&amp;IF(足元帳!AL96="","","○")</f>
        <v/>
      </c>
      <c r="N120" s="115" t="str">
        <f>IF(足元帳!AN96="","","○")</f>
        <v/>
      </c>
      <c r="O120" s="587" t="str">
        <f>IF(足元帳!U96="","",足元帳!U96)</f>
        <v/>
      </c>
      <c r="P120" s="565"/>
      <c r="Q120" s="565"/>
      <c r="R120" s="565" t="str">
        <f>IF(足元帳!V96="","",足元帳!V96)</f>
        <v/>
      </c>
      <c r="S120" s="565"/>
      <c r="T120" s="565"/>
      <c r="U120" s="565" t="str">
        <f>IF(足元帳!W96="","",足元帳!W96)</f>
        <v/>
      </c>
      <c r="V120" s="565"/>
      <c r="W120" s="565"/>
      <c r="X120" s="565" t="str">
        <f>IF(足元帳!X96="","",足元帳!X96)</f>
        <v/>
      </c>
      <c r="Y120" s="565"/>
      <c r="Z120" s="565"/>
      <c r="AA120" s="565" t="str">
        <f>IF(足元帳!Y96="","",足元帳!Y96)</f>
        <v/>
      </c>
      <c r="AB120" s="565"/>
      <c r="AC120" s="565"/>
      <c r="AD120" s="565" t="str">
        <f>IF(足元帳!Z96="","",足元帳!Z96)</f>
        <v/>
      </c>
      <c r="AE120" s="565"/>
      <c r="AF120" s="566"/>
      <c r="AG120" s="587" t="str">
        <f ca="1">IF(ISERROR(MATCH("●",足元帳!AD96:AM96,0)),IF(足元帳!AM96="","",足元帳!$AM$1&amp;足元帳!AM96),INDIRECT("足元帳!R1C"&amp;MATCH("●",足元帳!AD96:AM96,0)+29,FALSE))</f>
        <v/>
      </c>
      <c r="AH120" s="565"/>
      <c r="AI120" s="565"/>
      <c r="AJ120" s="565"/>
      <c r="AK120" s="565" t="str">
        <f>IF(足元帳!AT96="","",足元帳!AT96)</f>
        <v/>
      </c>
      <c r="AL120" s="565"/>
      <c r="AM120" s="565"/>
      <c r="AN120" s="565"/>
      <c r="AO120" s="565"/>
      <c r="AP120" s="565"/>
      <c r="AQ120" s="588"/>
    </row>
    <row r="121" spans="1:43" ht="22.5" customHeight="1">
      <c r="A121" s="586">
        <f t="shared" si="7"/>
        <v>96</v>
      </c>
      <c r="B121" s="566"/>
      <c r="C121" s="73" t="str">
        <f>IF(足元帳!AY97=1,"N",IF(足元帳!AY97=2,"R",""))</f>
        <v/>
      </c>
      <c r="D121" s="74" t="str">
        <f>IF(足元帳!AZ97&gt;0,VLOOKUP(足元帳!AZ97,管理シート!$CF$32:$CG$34,2,FALSE),"")</f>
        <v/>
      </c>
      <c r="E121" s="572" t="str">
        <f>IF(足元帳!BB97&gt;0,VLOOKUP(足元帳!BB97,管理シート!#REF!,2,FALSE),"")</f>
        <v/>
      </c>
      <c r="F121" s="573"/>
      <c r="G121" s="574">
        <f>足元帳!J97</f>
        <v>0</v>
      </c>
      <c r="H121" s="575"/>
      <c r="I121" s="574">
        <f>足元帳!K97</f>
        <v>0</v>
      </c>
      <c r="J121" s="576"/>
      <c r="K121" s="575"/>
      <c r="L121" s="73" t="str">
        <f ca="1">IF(足元帳!AB97="●","無",IF(足元帳!AC97="●","半",IF(AG121="周年","半",IF(AG121="プレ6","半",IF(AG121="6割","半","")))))</f>
        <v/>
      </c>
      <c r="M121" s="115" t="str">
        <f>IF(足元帳!AM97="","","○")&amp;IF(足元帳!AL97="","","○")</f>
        <v/>
      </c>
      <c r="N121" s="115" t="str">
        <f>IF(足元帳!AN97="","","○")</f>
        <v/>
      </c>
      <c r="O121" s="587" t="str">
        <f>IF(足元帳!U97="","",足元帳!U97)</f>
        <v/>
      </c>
      <c r="P121" s="565"/>
      <c r="Q121" s="565"/>
      <c r="R121" s="565" t="str">
        <f>IF(足元帳!V97="","",足元帳!V97)</f>
        <v/>
      </c>
      <c r="S121" s="565"/>
      <c r="T121" s="565"/>
      <c r="U121" s="565" t="str">
        <f>IF(足元帳!W97="","",足元帳!W97)</f>
        <v/>
      </c>
      <c r="V121" s="565"/>
      <c r="W121" s="565"/>
      <c r="X121" s="565" t="str">
        <f>IF(足元帳!X97="","",足元帳!X97)</f>
        <v/>
      </c>
      <c r="Y121" s="565"/>
      <c r="Z121" s="565"/>
      <c r="AA121" s="565" t="str">
        <f>IF(足元帳!Y97="","",足元帳!Y97)</f>
        <v/>
      </c>
      <c r="AB121" s="565"/>
      <c r="AC121" s="565"/>
      <c r="AD121" s="565" t="str">
        <f>IF(足元帳!Z97="","",足元帳!Z97)</f>
        <v/>
      </c>
      <c r="AE121" s="565"/>
      <c r="AF121" s="566"/>
      <c r="AG121" s="587" t="str">
        <f ca="1">IF(ISERROR(MATCH("●",足元帳!AD97:AM97,0)),IF(足元帳!AM97="","",足元帳!$AM$1&amp;足元帳!AM97),INDIRECT("足元帳!R1C"&amp;MATCH("●",足元帳!AD97:AM97,0)+29,FALSE))</f>
        <v/>
      </c>
      <c r="AH121" s="565"/>
      <c r="AI121" s="565"/>
      <c r="AJ121" s="565"/>
      <c r="AK121" s="565" t="str">
        <f>IF(足元帳!AT97="","",足元帳!AT97)</f>
        <v/>
      </c>
      <c r="AL121" s="565"/>
      <c r="AM121" s="565"/>
      <c r="AN121" s="565"/>
      <c r="AO121" s="565"/>
      <c r="AP121" s="565"/>
      <c r="AQ121" s="588"/>
    </row>
    <row r="122" spans="1:43" ht="22.5" customHeight="1">
      <c r="A122" s="586">
        <f t="shared" si="7"/>
        <v>97</v>
      </c>
      <c r="B122" s="566"/>
      <c r="C122" s="73" t="str">
        <f>IF(足元帳!AY98=1,"N",IF(足元帳!AY98=2,"R",""))</f>
        <v/>
      </c>
      <c r="D122" s="74" t="str">
        <f>IF(足元帳!AZ98&gt;0,VLOOKUP(足元帳!AZ98,管理シート!$CF$32:$CG$34,2,FALSE),"")</f>
        <v/>
      </c>
      <c r="E122" s="572" t="str">
        <f>IF(足元帳!BB98&gt;0,VLOOKUP(足元帳!BB98,管理シート!#REF!,2,FALSE),"")</f>
        <v/>
      </c>
      <c r="F122" s="573"/>
      <c r="G122" s="574">
        <f>足元帳!J98</f>
        <v>0</v>
      </c>
      <c r="H122" s="575"/>
      <c r="I122" s="574">
        <f>足元帳!K98</f>
        <v>0</v>
      </c>
      <c r="J122" s="576"/>
      <c r="K122" s="575"/>
      <c r="L122" s="73" t="str">
        <f ca="1">IF(足元帳!AB98="●","無",IF(足元帳!AC98="●","半",IF(AG122="周年","半",IF(AG122="プレ6","半",IF(AG122="6割","半","")))))</f>
        <v/>
      </c>
      <c r="M122" s="115" t="str">
        <f>IF(足元帳!AM98="","","○")&amp;IF(足元帳!AL98="","","○")</f>
        <v/>
      </c>
      <c r="N122" s="115" t="str">
        <f>IF(足元帳!AN98="","","○")</f>
        <v/>
      </c>
      <c r="O122" s="587" t="str">
        <f>IF(足元帳!U98="","",足元帳!U98)</f>
        <v/>
      </c>
      <c r="P122" s="565"/>
      <c r="Q122" s="565"/>
      <c r="R122" s="565" t="str">
        <f>IF(足元帳!V98="","",足元帳!V98)</f>
        <v/>
      </c>
      <c r="S122" s="565"/>
      <c r="T122" s="565"/>
      <c r="U122" s="565" t="str">
        <f>IF(足元帳!W98="","",足元帳!W98)</f>
        <v/>
      </c>
      <c r="V122" s="565"/>
      <c r="W122" s="565"/>
      <c r="X122" s="565" t="str">
        <f>IF(足元帳!X98="","",足元帳!X98)</f>
        <v/>
      </c>
      <c r="Y122" s="565"/>
      <c r="Z122" s="565"/>
      <c r="AA122" s="565" t="str">
        <f>IF(足元帳!Y98="","",足元帳!Y98)</f>
        <v/>
      </c>
      <c r="AB122" s="565"/>
      <c r="AC122" s="565"/>
      <c r="AD122" s="565" t="str">
        <f>IF(足元帳!Z98="","",足元帳!Z98)</f>
        <v/>
      </c>
      <c r="AE122" s="565"/>
      <c r="AF122" s="566"/>
      <c r="AG122" s="587" t="str">
        <f ca="1">IF(ISERROR(MATCH("●",足元帳!AD98:AM98,0)),IF(足元帳!AM98="","",足元帳!$AM$1&amp;足元帳!AM98),INDIRECT("足元帳!R1C"&amp;MATCH("●",足元帳!AD98:AM98,0)+29,FALSE))</f>
        <v/>
      </c>
      <c r="AH122" s="565"/>
      <c r="AI122" s="565"/>
      <c r="AJ122" s="565"/>
      <c r="AK122" s="565" t="str">
        <f>IF(足元帳!AT98="","",足元帳!AT98)</f>
        <v/>
      </c>
      <c r="AL122" s="565"/>
      <c r="AM122" s="565"/>
      <c r="AN122" s="565"/>
      <c r="AO122" s="565"/>
      <c r="AP122" s="565"/>
      <c r="AQ122" s="588"/>
    </row>
    <row r="123" spans="1:43" ht="22.5" customHeight="1">
      <c r="A123" s="586">
        <f t="shared" si="7"/>
        <v>98</v>
      </c>
      <c r="B123" s="566"/>
      <c r="C123" s="73" t="str">
        <f>IF(足元帳!AY99=1,"N",IF(足元帳!AY99=2,"R",""))</f>
        <v/>
      </c>
      <c r="D123" s="74" t="str">
        <f>IF(足元帳!AZ99&gt;0,VLOOKUP(足元帳!AZ99,管理シート!$CF$32:$CG$34,2,FALSE),"")</f>
        <v/>
      </c>
      <c r="E123" s="572" t="str">
        <f>IF(足元帳!BB99&gt;0,VLOOKUP(足元帳!BB99,管理シート!#REF!,2,FALSE),"")</f>
        <v/>
      </c>
      <c r="F123" s="573"/>
      <c r="G123" s="574">
        <f>足元帳!J99</f>
        <v>0</v>
      </c>
      <c r="H123" s="575"/>
      <c r="I123" s="574">
        <f>足元帳!K99</f>
        <v>0</v>
      </c>
      <c r="J123" s="576"/>
      <c r="K123" s="575"/>
      <c r="L123" s="73" t="str">
        <f ca="1">IF(足元帳!AB99="●","無",IF(足元帳!AC99="●","半",IF(AG123="周年","半",IF(AG123="プレ6","半",IF(AG123="6割","半","")))))</f>
        <v/>
      </c>
      <c r="M123" s="115" t="str">
        <f>IF(足元帳!AM99="","","○")&amp;IF(足元帳!AL99="","","○")</f>
        <v/>
      </c>
      <c r="N123" s="115" t="str">
        <f>IF(足元帳!AN99="","","○")</f>
        <v/>
      </c>
      <c r="O123" s="587" t="str">
        <f>IF(足元帳!U99="","",足元帳!U99)</f>
        <v/>
      </c>
      <c r="P123" s="565"/>
      <c r="Q123" s="565"/>
      <c r="R123" s="565" t="str">
        <f>IF(足元帳!V99="","",足元帳!V99)</f>
        <v/>
      </c>
      <c r="S123" s="565"/>
      <c r="T123" s="565"/>
      <c r="U123" s="565" t="str">
        <f>IF(足元帳!W99="","",足元帳!W99)</f>
        <v/>
      </c>
      <c r="V123" s="565"/>
      <c r="W123" s="565"/>
      <c r="X123" s="565" t="str">
        <f>IF(足元帳!X99="","",足元帳!X99)</f>
        <v/>
      </c>
      <c r="Y123" s="565"/>
      <c r="Z123" s="565"/>
      <c r="AA123" s="565" t="str">
        <f>IF(足元帳!Y99="","",足元帳!Y99)</f>
        <v/>
      </c>
      <c r="AB123" s="565"/>
      <c r="AC123" s="565"/>
      <c r="AD123" s="565" t="str">
        <f>IF(足元帳!Z99="","",足元帳!Z99)</f>
        <v/>
      </c>
      <c r="AE123" s="565"/>
      <c r="AF123" s="566"/>
      <c r="AG123" s="587" t="str">
        <f ca="1">IF(ISERROR(MATCH("●",足元帳!AD99:AM99,0)),IF(足元帳!AM99="","",足元帳!$AM$1&amp;足元帳!AM99),INDIRECT("足元帳!R1C"&amp;MATCH("●",足元帳!AD99:AM99,0)+29,FALSE))</f>
        <v/>
      </c>
      <c r="AH123" s="565"/>
      <c r="AI123" s="565"/>
      <c r="AJ123" s="565"/>
      <c r="AK123" s="565" t="str">
        <f>IF(足元帳!AT99="","",足元帳!AT99)</f>
        <v/>
      </c>
      <c r="AL123" s="565"/>
      <c r="AM123" s="565"/>
      <c r="AN123" s="565"/>
      <c r="AO123" s="565"/>
      <c r="AP123" s="565"/>
      <c r="AQ123" s="588"/>
    </row>
    <row r="124" spans="1:43" ht="22.5" customHeight="1">
      <c r="A124" s="586">
        <f t="shared" si="7"/>
        <v>99</v>
      </c>
      <c r="B124" s="566"/>
      <c r="C124" s="73" t="str">
        <f>IF(足元帳!AY100=1,"N",IF(足元帳!AY100=2,"R",""))</f>
        <v/>
      </c>
      <c r="D124" s="74" t="str">
        <f>IF(足元帳!AZ100&gt;0,VLOOKUP(足元帳!AZ100,管理シート!$CF$32:$CG$34,2,FALSE),"")</f>
        <v/>
      </c>
      <c r="E124" s="572" t="str">
        <f>IF(足元帳!BB100&gt;0,VLOOKUP(足元帳!BB100,管理シート!#REF!,2,FALSE),"")</f>
        <v/>
      </c>
      <c r="F124" s="573"/>
      <c r="G124" s="574">
        <f>足元帳!J100</f>
        <v>0</v>
      </c>
      <c r="H124" s="575"/>
      <c r="I124" s="574">
        <f>足元帳!K100</f>
        <v>0</v>
      </c>
      <c r="J124" s="576"/>
      <c r="K124" s="575"/>
      <c r="L124" s="73" t="str">
        <f ca="1">IF(足元帳!AB100="●","無",IF(足元帳!AC100="●","半",IF(AG124="周年","半",IF(AG124="プレ6","半",IF(AG124="6割","半","")))))</f>
        <v/>
      </c>
      <c r="M124" s="115" t="str">
        <f>IF(足元帳!AM100="","","○")&amp;IF(足元帳!AL100="","","○")</f>
        <v/>
      </c>
      <c r="N124" s="115" t="str">
        <f>IF(足元帳!AN100="","","○")</f>
        <v/>
      </c>
      <c r="O124" s="587" t="str">
        <f>IF(足元帳!U100="","",足元帳!U100)</f>
        <v/>
      </c>
      <c r="P124" s="565"/>
      <c r="Q124" s="565"/>
      <c r="R124" s="565" t="str">
        <f>IF(足元帳!V100="","",足元帳!V100)</f>
        <v/>
      </c>
      <c r="S124" s="565"/>
      <c r="T124" s="565"/>
      <c r="U124" s="565" t="str">
        <f>IF(足元帳!W100="","",足元帳!W100)</f>
        <v/>
      </c>
      <c r="V124" s="565"/>
      <c r="W124" s="565"/>
      <c r="X124" s="565" t="str">
        <f>IF(足元帳!X100="","",足元帳!X100)</f>
        <v/>
      </c>
      <c r="Y124" s="565"/>
      <c r="Z124" s="565"/>
      <c r="AA124" s="565" t="str">
        <f>IF(足元帳!Y100="","",足元帳!Y100)</f>
        <v/>
      </c>
      <c r="AB124" s="565"/>
      <c r="AC124" s="565"/>
      <c r="AD124" s="565" t="str">
        <f>IF(足元帳!Z100="","",足元帳!Z100)</f>
        <v/>
      </c>
      <c r="AE124" s="565"/>
      <c r="AF124" s="566"/>
      <c r="AG124" s="587" t="str">
        <f ca="1">IF(ISERROR(MATCH("●",足元帳!AD100:AM100,0)),IF(足元帳!AM100="","",足元帳!$AM$1&amp;足元帳!AM100),INDIRECT("足元帳!R1C"&amp;MATCH("●",足元帳!AD100:AM100,0)+29,FALSE))</f>
        <v/>
      </c>
      <c r="AH124" s="565"/>
      <c r="AI124" s="565"/>
      <c r="AJ124" s="565"/>
      <c r="AK124" s="565" t="str">
        <f>IF(足元帳!AT100="","",足元帳!AT100)</f>
        <v/>
      </c>
      <c r="AL124" s="565"/>
      <c r="AM124" s="565"/>
      <c r="AN124" s="565"/>
      <c r="AO124" s="565"/>
      <c r="AP124" s="565"/>
      <c r="AQ124" s="588"/>
    </row>
    <row r="125" spans="1:43" ht="22.5" customHeight="1">
      <c r="A125" s="586">
        <f t="shared" si="7"/>
        <v>100</v>
      </c>
      <c r="B125" s="566"/>
      <c r="C125" s="73" t="str">
        <f>IF(足元帳!AY101=1,"N",IF(足元帳!AY101=2,"R",""))</f>
        <v/>
      </c>
      <c r="D125" s="74" t="str">
        <f>IF(足元帳!AZ101&gt;0,VLOOKUP(足元帳!AZ101,管理シート!$CF$32:$CG$34,2,FALSE),"")</f>
        <v/>
      </c>
      <c r="E125" s="572" t="str">
        <f>IF(足元帳!BB101&gt;0,VLOOKUP(足元帳!BB101,管理シート!#REF!,2,FALSE),"")</f>
        <v/>
      </c>
      <c r="F125" s="573"/>
      <c r="G125" s="574">
        <f>足元帳!J101</f>
        <v>0</v>
      </c>
      <c r="H125" s="575"/>
      <c r="I125" s="574">
        <f>足元帳!K101</f>
        <v>0</v>
      </c>
      <c r="J125" s="576"/>
      <c r="K125" s="575"/>
      <c r="L125" s="73" t="str">
        <f ca="1">IF(足元帳!AB101="●","無",IF(足元帳!AC101="●","半",IF(AG125="周年","半",IF(AG125="プレ6","半",IF(AG125="6割","半","")))))</f>
        <v/>
      </c>
      <c r="M125" s="115" t="str">
        <f>IF(足元帳!AM101="","","○")&amp;IF(足元帳!AL101="","","○")</f>
        <v/>
      </c>
      <c r="N125" s="115" t="str">
        <f>IF(足元帳!AN101="","","○")</f>
        <v/>
      </c>
      <c r="O125" s="587" t="str">
        <f>IF(足元帳!U101="","",足元帳!U101)</f>
        <v/>
      </c>
      <c r="P125" s="565"/>
      <c r="Q125" s="565"/>
      <c r="R125" s="565" t="str">
        <f>IF(足元帳!V101="","",足元帳!V101)</f>
        <v/>
      </c>
      <c r="S125" s="565"/>
      <c r="T125" s="565"/>
      <c r="U125" s="565" t="str">
        <f>IF(足元帳!W101="","",足元帳!W101)</f>
        <v/>
      </c>
      <c r="V125" s="565"/>
      <c r="W125" s="565"/>
      <c r="X125" s="565" t="str">
        <f>IF(足元帳!X101="","",足元帳!X101)</f>
        <v/>
      </c>
      <c r="Y125" s="565"/>
      <c r="Z125" s="565"/>
      <c r="AA125" s="565" t="str">
        <f>IF(足元帳!Y101="","",足元帳!Y101)</f>
        <v/>
      </c>
      <c r="AB125" s="565"/>
      <c r="AC125" s="565"/>
      <c r="AD125" s="565" t="str">
        <f>IF(足元帳!Z101="","",足元帳!Z101)</f>
        <v/>
      </c>
      <c r="AE125" s="565"/>
      <c r="AF125" s="566"/>
      <c r="AG125" s="587" t="str">
        <f ca="1">IF(ISERROR(MATCH("●",足元帳!AD101:AM101,0)),IF(足元帳!AM101="","",足元帳!$AM$1&amp;足元帳!AM101),INDIRECT("足元帳!R1C"&amp;MATCH("●",足元帳!AD101:AM101,0)+29,FALSE))</f>
        <v/>
      </c>
      <c r="AH125" s="565"/>
      <c r="AI125" s="565"/>
      <c r="AJ125" s="565"/>
      <c r="AK125" s="565" t="str">
        <f>IF(足元帳!AT101="","",足元帳!AT101)</f>
        <v/>
      </c>
      <c r="AL125" s="565"/>
      <c r="AM125" s="565"/>
      <c r="AN125" s="565"/>
      <c r="AO125" s="565"/>
      <c r="AP125" s="565"/>
      <c r="AQ125" s="588"/>
    </row>
    <row r="126" spans="1:43" ht="22.5" customHeight="1">
      <c r="A126" s="586">
        <f t="shared" si="7"/>
        <v>101</v>
      </c>
      <c r="B126" s="566"/>
      <c r="C126" s="73" t="str">
        <f>IF(足元帳!AY102=1,"N",IF(足元帳!AY102=2,"R",""))</f>
        <v/>
      </c>
      <c r="D126" s="74" t="str">
        <f>IF(足元帳!AZ102&gt;0,VLOOKUP(足元帳!AZ102,管理シート!$CF$32:$CG$34,2,FALSE),"")</f>
        <v/>
      </c>
      <c r="E126" s="572" t="str">
        <f>IF(足元帳!BB102&gt;0,VLOOKUP(足元帳!BB102,管理シート!#REF!,2,FALSE),"")</f>
        <v/>
      </c>
      <c r="F126" s="573"/>
      <c r="G126" s="574">
        <f>足元帳!J102</f>
        <v>0</v>
      </c>
      <c r="H126" s="575"/>
      <c r="I126" s="574">
        <f>足元帳!K102</f>
        <v>0</v>
      </c>
      <c r="J126" s="576"/>
      <c r="K126" s="575"/>
      <c r="L126" s="73" t="str">
        <f ca="1">IF(足元帳!AB102="●","無",IF(足元帳!AC102="●","半",IF(AG126="周年","半",IF(AG126="プレ6","半",IF(AG126="6割","半","")))))</f>
        <v/>
      </c>
      <c r="M126" s="115" t="str">
        <f>IF(足元帳!AM102="","","○")&amp;IF(足元帳!AL102="","","○")</f>
        <v/>
      </c>
      <c r="N126" s="115" t="str">
        <f>IF(足元帳!AN102="","","○")</f>
        <v/>
      </c>
      <c r="O126" s="587" t="str">
        <f>IF(足元帳!U102="","",足元帳!U102)</f>
        <v/>
      </c>
      <c r="P126" s="565"/>
      <c r="Q126" s="565"/>
      <c r="R126" s="565" t="str">
        <f>IF(足元帳!V102="","",足元帳!V102)</f>
        <v/>
      </c>
      <c r="S126" s="565"/>
      <c r="T126" s="565"/>
      <c r="U126" s="565" t="str">
        <f>IF(足元帳!W102="","",足元帳!W102)</f>
        <v/>
      </c>
      <c r="V126" s="565"/>
      <c r="W126" s="565"/>
      <c r="X126" s="565" t="str">
        <f>IF(足元帳!X102="","",足元帳!X102)</f>
        <v/>
      </c>
      <c r="Y126" s="565"/>
      <c r="Z126" s="565"/>
      <c r="AA126" s="565" t="str">
        <f>IF(足元帳!Y102="","",足元帳!Y102)</f>
        <v/>
      </c>
      <c r="AB126" s="565"/>
      <c r="AC126" s="565"/>
      <c r="AD126" s="565" t="str">
        <f>IF(足元帳!Z102="","",足元帳!Z102)</f>
        <v/>
      </c>
      <c r="AE126" s="565"/>
      <c r="AF126" s="566"/>
      <c r="AG126" s="587" t="str">
        <f ca="1">IF(ISERROR(MATCH("●",足元帳!AD102:AM102,0)),IF(足元帳!AM102="","",足元帳!$AM$1&amp;足元帳!AM102),INDIRECT("足元帳!R1C"&amp;MATCH("●",足元帳!AD102:AM102,0)+29,FALSE))</f>
        <v/>
      </c>
      <c r="AH126" s="565"/>
      <c r="AI126" s="565"/>
      <c r="AJ126" s="565"/>
      <c r="AK126" s="565" t="str">
        <f>IF(足元帳!AT102="","",足元帳!AT102)</f>
        <v/>
      </c>
      <c r="AL126" s="565"/>
      <c r="AM126" s="565"/>
      <c r="AN126" s="565"/>
      <c r="AO126" s="565"/>
      <c r="AP126" s="565"/>
      <c r="AQ126" s="588"/>
    </row>
    <row r="127" spans="1:43" ht="22.5" customHeight="1">
      <c r="A127" s="586">
        <f t="shared" si="7"/>
        <v>102</v>
      </c>
      <c r="B127" s="566"/>
      <c r="C127" s="73" t="str">
        <f>IF(足元帳!AY103=1,"N",IF(足元帳!AY103=2,"R",""))</f>
        <v/>
      </c>
      <c r="D127" s="74" t="str">
        <f>IF(足元帳!AZ103&gt;0,VLOOKUP(足元帳!AZ103,管理シート!$CF$32:$CG$34,2,FALSE),"")</f>
        <v/>
      </c>
      <c r="E127" s="572" t="str">
        <f>IF(足元帳!BB103&gt;0,VLOOKUP(足元帳!BB103,管理シート!#REF!,2,FALSE),"")</f>
        <v/>
      </c>
      <c r="F127" s="573"/>
      <c r="G127" s="574">
        <f>足元帳!J103</f>
        <v>0</v>
      </c>
      <c r="H127" s="575"/>
      <c r="I127" s="574">
        <f>足元帳!K103</f>
        <v>0</v>
      </c>
      <c r="J127" s="576"/>
      <c r="K127" s="575"/>
      <c r="L127" s="73" t="str">
        <f ca="1">IF(足元帳!AB103="●","無",IF(足元帳!AC103="●","半",IF(AG127="周年","半",IF(AG127="プレ6","半",IF(AG127="6割","半","")))))</f>
        <v/>
      </c>
      <c r="M127" s="115" t="str">
        <f>IF(足元帳!AM103="","","○")&amp;IF(足元帳!AL103="","","○")</f>
        <v/>
      </c>
      <c r="N127" s="115" t="str">
        <f>IF(足元帳!AN103="","","○")</f>
        <v/>
      </c>
      <c r="O127" s="587" t="str">
        <f>IF(足元帳!U103="","",足元帳!U103)</f>
        <v/>
      </c>
      <c r="P127" s="565"/>
      <c r="Q127" s="565"/>
      <c r="R127" s="565" t="str">
        <f>IF(足元帳!V103="","",足元帳!V103)</f>
        <v/>
      </c>
      <c r="S127" s="565"/>
      <c r="T127" s="565"/>
      <c r="U127" s="565" t="str">
        <f>IF(足元帳!W103="","",足元帳!W103)</f>
        <v/>
      </c>
      <c r="V127" s="565"/>
      <c r="W127" s="565"/>
      <c r="X127" s="565" t="str">
        <f>IF(足元帳!X103="","",足元帳!X103)</f>
        <v/>
      </c>
      <c r="Y127" s="565"/>
      <c r="Z127" s="565"/>
      <c r="AA127" s="565" t="str">
        <f>IF(足元帳!Y103="","",足元帳!Y103)</f>
        <v/>
      </c>
      <c r="AB127" s="565"/>
      <c r="AC127" s="565"/>
      <c r="AD127" s="565" t="str">
        <f>IF(足元帳!Z103="","",足元帳!Z103)</f>
        <v/>
      </c>
      <c r="AE127" s="565"/>
      <c r="AF127" s="566"/>
      <c r="AG127" s="587" t="str">
        <f ca="1">IF(ISERROR(MATCH("●",足元帳!AD103:AM103,0)),IF(足元帳!AM103="","",足元帳!$AM$1&amp;足元帳!AM103),INDIRECT("足元帳!R1C"&amp;MATCH("●",足元帳!AD103:AM103,0)+29,FALSE))</f>
        <v/>
      </c>
      <c r="AH127" s="565"/>
      <c r="AI127" s="565"/>
      <c r="AJ127" s="565"/>
      <c r="AK127" s="565" t="str">
        <f>IF(足元帳!AT103="","",足元帳!AT103)</f>
        <v/>
      </c>
      <c r="AL127" s="565"/>
      <c r="AM127" s="565"/>
      <c r="AN127" s="565"/>
      <c r="AO127" s="565"/>
      <c r="AP127" s="565"/>
      <c r="AQ127" s="588"/>
    </row>
    <row r="128" spans="1:43" ht="22.5" customHeight="1">
      <c r="A128" s="586">
        <f t="shared" si="7"/>
        <v>103</v>
      </c>
      <c r="B128" s="566"/>
      <c r="C128" s="73" t="str">
        <f>IF(足元帳!AY104=1,"N",IF(足元帳!AY104=2,"R",""))</f>
        <v/>
      </c>
      <c r="D128" s="74" t="str">
        <f>IF(足元帳!AZ104&gt;0,VLOOKUP(足元帳!AZ104,管理シート!$CF$32:$CG$34,2,FALSE),"")</f>
        <v/>
      </c>
      <c r="E128" s="572" t="str">
        <f>IF(足元帳!BB104&gt;0,VLOOKUP(足元帳!BB104,管理シート!#REF!,2,FALSE),"")</f>
        <v/>
      </c>
      <c r="F128" s="573"/>
      <c r="G128" s="574">
        <f>足元帳!J104</f>
        <v>0</v>
      </c>
      <c r="H128" s="575"/>
      <c r="I128" s="574">
        <f>足元帳!K104</f>
        <v>0</v>
      </c>
      <c r="J128" s="576"/>
      <c r="K128" s="575"/>
      <c r="L128" s="73" t="str">
        <f ca="1">IF(足元帳!AB104="●","無",IF(足元帳!AC104="●","半",IF(AG128="周年","半",IF(AG128="プレ6","半",IF(AG128="6割","半","")))))</f>
        <v/>
      </c>
      <c r="M128" s="115" t="str">
        <f>IF(足元帳!AM104="","","○")&amp;IF(足元帳!AL104="","","○")</f>
        <v/>
      </c>
      <c r="N128" s="115" t="str">
        <f>IF(足元帳!AN104="","","○")</f>
        <v/>
      </c>
      <c r="O128" s="587" t="str">
        <f>IF(足元帳!U104="","",足元帳!U104)</f>
        <v/>
      </c>
      <c r="P128" s="565"/>
      <c r="Q128" s="565"/>
      <c r="R128" s="565" t="str">
        <f>IF(足元帳!V104="","",足元帳!V104)</f>
        <v/>
      </c>
      <c r="S128" s="565"/>
      <c r="T128" s="565"/>
      <c r="U128" s="565" t="str">
        <f>IF(足元帳!W104="","",足元帳!W104)</f>
        <v/>
      </c>
      <c r="V128" s="565"/>
      <c r="W128" s="565"/>
      <c r="X128" s="565" t="str">
        <f>IF(足元帳!X104="","",足元帳!X104)</f>
        <v/>
      </c>
      <c r="Y128" s="565"/>
      <c r="Z128" s="565"/>
      <c r="AA128" s="565" t="str">
        <f>IF(足元帳!Y104="","",足元帳!Y104)</f>
        <v/>
      </c>
      <c r="AB128" s="565"/>
      <c r="AC128" s="565"/>
      <c r="AD128" s="565" t="str">
        <f>IF(足元帳!Z104="","",足元帳!Z104)</f>
        <v/>
      </c>
      <c r="AE128" s="565"/>
      <c r="AF128" s="566"/>
      <c r="AG128" s="587" t="str">
        <f ca="1">IF(ISERROR(MATCH("●",足元帳!AD104:AM104,0)),IF(足元帳!AM104="","",足元帳!$AM$1&amp;足元帳!AM104),INDIRECT("足元帳!R1C"&amp;MATCH("●",足元帳!AD104:AM104,0)+29,FALSE))</f>
        <v/>
      </c>
      <c r="AH128" s="565"/>
      <c r="AI128" s="565"/>
      <c r="AJ128" s="565"/>
      <c r="AK128" s="565" t="str">
        <f>IF(足元帳!AT104="","",足元帳!AT104)</f>
        <v/>
      </c>
      <c r="AL128" s="565"/>
      <c r="AM128" s="565"/>
      <c r="AN128" s="565"/>
      <c r="AO128" s="565"/>
      <c r="AP128" s="565"/>
      <c r="AQ128" s="588"/>
    </row>
    <row r="129" spans="1:43" ht="22.5" customHeight="1">
      <c r="A129" s="586">
        <f t="shared" si="7"/>
        <v>104</v>
      </c>
      <c r="B129" s="566"/>
      <c r="C129" s="73" t="str">
        <f>IF(足元帳!AY105=1,"N",IF(足元帳!AY105=2,"R",""))</f>
        <v/>
      </c>
      <c r="D129" s="74" t="str">
        <f>IF(足元帳!AZ105&gt;0,VLOOKUP(足元帳!AZ105,管理シート!$CF$32:$CG$34,2,FALSE),"")</f>
        <v/>
      </c>
      <c r="E129" s="572" t="str">
        <f>IF(足元帳!BB105&gt;0,VLOOKUP(足元帳!BB105,管理シート!#REF!,2,FALSE),"")</f>
        <v/>
      </c>
      <c r="F129" s="573"/>
      <c r="G129" s="574">
        <f>足元帳!J105</f>
        <v>0</v>
      </c>
      <c r="H129" s="575"/>
      <c r="I129" s="574">
        <f>足元帳!K105</f>
        <v>0</v>
      </c>
      <c r="J129" s="576"/>
      <c r="K129" s="575"/>
      <c r="L129" s="73" t="str">
        <f ca="1">IF(足元帳!AB105="●","無",IF(足元帳!AC105="●","半",IF(AG129="周年","半",IF(AG129="プレ6","半",IF(AG129="6割","半","")))))</f>
        <v/>
      </c>
      <c r="M129" s="115" t="str">
        <f>IF(足元帳!AM105="","","○")&amp;IF(足元帳!AL105="","","○")</f>
        <v/>
      </c>
      <c r="N129" s="115" t="str">
        <f>IF(足元帳!AN105="","","○")</f>
        <v/>
      </c>
      <c r="O129" s="587" t="str">
        <f>IF(足元帳!U105="","",足元帳!U105)</f>
        <v/>
      </c>
      <c r="P129" s="565"/>
      <c r="Q129" s="565"/>
      <c r="R129" s="565" t="str">
        <f>IF(足元帳!V105="","",足元帳!V105)</f>
        <v/>
      </c>
      <c r="S129" s="565"/>
      <c r="T129" s="565"/>
      <c r="U129" s="565" t="str">
        <f>IF(足元帳!W105="","",足元帳!W105)</f>
        <v/>
      </c>
      <c r="V129" s="565"/>
      <c r="W129" s="565"/>
      <c r="X129" s="565" t="str">
        <f>IF(足元帳!X105="","",足元帳!X105)</f>
        <v/>
      </c>
      <c r="Y129" s="565"/>
      <c r="Z129" s="565"/>
      <c r="AA129" s="565" t="str">
        <f>IF(足元帳!Y105="","",足元帳!Y105)</f>
        <v/>
      </c>
      <c r="AB129" s="565"/>
      <c r="AC129" s="565"/>
      <c r="AD129" s="565" t="str">
        <f>IF(足元帳!Z105="","",足元帳!Z105)</f>
        <v/>
      </c>
      <c r="AE129" s="565"/>
      <c r="AF129" s="566"/>
      <c r="AG129" s="587" t="str">
        <f ca="1">IF(ISERROR(MATCH("●",足元帳!AD105:AM105,0)),IF(足元帳!AM105="","",足元帳!$AM$1&amp;足元帳!AM105),INDIRECT("足元帳!R1C"&amp;MATCH("●",足元帳!AD105:AM105,0)+29,FALSE))</f>
        <v/>
      </c>
      <c r="AH129" s="565"/>
      <c r="AI129" s="565"/>
      <c r="AJ129" s="565"/>
      <c r="AK129" s="565" t="str">
        <f>IF(足元帳!AT105="","",足元帳!AT105)</f>
        <v/>
      </c>
      <c r="AL129" s="565"/>
      <c r="AM129" s="565"/>
      <c r="AN129" s="565"/>
      <c r="AO129" s="565"/>
      <c r="AP129" s="565"/>
      <c r="AQ129" s="588"/>
    </row>
    <row r="130" spans="1:43" ht="22.5" customHeight="1" thickBot="1">
      <c r="A130" s="598">
        <f t="shared" si="7"/>
        <v>105</v>
      </c>
      <c r="B130" s="596"/>
      <c r="C130" s="76" t="str">
        <f>IF(足元帳!AY106=1,"N",IF(足元帳!AY106=2,"R",""))</f>
        <v/>
      </c>
      <c r="D130" s="77" t="str">
        <f>IF(足元帳!AZ106&gt;0,VLOOKUP(足元帳!AZ106,管理シート!$CF$32:$CG$34,2,FALSE),"")</f>
        <v/>
      </c>
      <c r="E130" s="599" t="str">
        <f>IF(足元帳!BB106&gt;0,VLOOKUP(足元帳!BB106,管理シート!#REF!,2,FALSE),"")</f>
        <v/>
      </c>
      <c r="F130" s="600"/>
      <c r="G130" s="601">
        <f>足元帳!J106</f>
        <v>0</v>
      </c>
      <c r="H130" s="602"/>
      <c r="I130" s="601">
        <f>足元帳!K106</f>
        <v>0</v>
      </c>
      <c r="J130" s="603"/>
      <c r="K130" s="602"/>
      <c r="L130" s="76" t="str">
        <f ca="1">IF(足元帳!AB106="●","無",IF(足元帳!AC106="●","半",IF(AG130="周年","半",IF(AG130="プレ6","半",IF(AG130="6割","半","")))))</f>
        <v/>
      </c>
      <c r="M130" s="117" t="str">
        <f>IF(足元帳!AM106="","","○")&amp;IF(足元帳!AL106="","","○")</f>
        <v/>
      </c>
      <c r="N130" s="117" t="str">
        <f>IF(足元帳!AN106="","","○")</f>
        <v/>
      </c>
      <c r="O130" s="597" t="str">
        <f>IF(足元帳!U106="","",足元帳!U106)</f>
        <v/>
      </c>
      <c r="P130" s="589"/>
      <c r="Q130" s="589"/>
      <c r="R130" s="589" t="str">
        <f>IF(足元帳!V106="","",足元帳!V106)</f>
        <v/>
      </c>
      <c r="S130" s="589"/>
      <c r="T130" s="589"/>
      <c r="U130" s="589" t="str">
        <f>IF(足元帳!W106="","",足元帳!W106)</f>
        <v/>
      </c>
      <c r="V130" s="589"/>
      <c r="W130" s="589"/>
      <c r="X130" s="589" t="str">
        <f>IF(足元帳!X106="","",足元帳!X106)</f>
        <v/>
      </c>
      <c r="Y130" s="589"/>
      <c r="Z130" s="589"/>
      <c r="AA130" s="589" t="str">
        <f>IF(足元帳!Y106="","",足元帳!Y106)</f>
        <v/>
      </c>
      <c r="AB130" s="589"/>
      <c r="AC130" s="589"/>
      <c r="AD130" s="589" t="str">
        <f>IF(足元帳!Z106="","",足元帳!Z106)</f>
        <v/>
      </c>
      <c r="AE130" s="589"/>
      <c r="AF130" s="596"/>
      <c r="AG130" s="597" t="str">
        <f ca="1">IF(ISERROR(MATCH("●",足元帳!AD106:AM106,0)),IF(足元帳!AM106="","",足元帳!$AM$1&amp;足元帳!AM106),INDIRECT("足元帳!R1C"&amp;MATCH("●",足元帳!AD106:AM106,0)+29,FALSE))</f>
        <v/>
      </c>
      <c r="AH130" s="589"/>
      <c r="AI130" s="589"/>
      <c r="AJ130" s="589"/>
      <c r="AK130" s="589" t="str">
        <f>IF(足元帳!AT106="","",足元帳!AT106)</f>
        <v/>
      </c>
      <c r="AL130" s="589"/>
      <c r="AM130" s="589"/>
      <c r="AN130" s="589"/>
      <c r="AO130" s="589"/>
      <c r="AP130" s="589"/>
      <c r="AQ130" s="590"/>
    </row>
    <row r="131" spans="1:43" ht="22.5" customHeight="1">
      <c r="A131" s="591"/>
      <c r="B131" s="592"/>
      <c r="C131" s="592" t="s">
        <v>11</v>
      </c>
      <c r="D131" s="592"/>
      <c r="E131" s="592"/>
      <c r="F131" s="592"/>
      <c r="G131" s="592" t="s">
        <v>153</v>
      </c>
      <c r="H131" s="592"/>
      <c r="I131" s="592"/>
      <c r="J131" s="592"/>
      <c r="K131" s="592"/>
      <c r="L131" s="592"/>
      <c r="M131" s="592"/>
      <c r="N131" s="592"/>
      <c r="O131" s="592" t="s">
        <v>154</v>
      </c>
      <c r="P131" s="592"/>
      <c r="Q131" s="592"/>
      <c r="R131" s="592"/>
      <c r="S131" s="592"/>
      <c r="T131" s="592"/>
      <c r="U131" s="592"/>
      <c r="V131" s="592"/>
      <c r="W131" s="592"/>
      <c r="X131" s="592"/>
      <c r="Y131" s="592" t="s">
        <v>155</v>
      </c>
      <c r="Z131" s="592"/>
      <c r="AA131" s="592"/>
      <c r="AB131" s="592"/>
      <c r="AC131" s="592"/>
      <c r="AD131" s="592"/>
      <c r="AE131" s="592"/>
      <c r="AF131" s="592"/>
      <c r="AG131" s="592" t="s">
        <v>156</v>
      </c>
      <c r="AH131" s="592"/>
      <c r="AI131" s="592" t="s">
        <v>157</v>
      </c>
      <c r="AJ131" s="592"/>
      <c r="AK131" s="592"/>
      <c r="AL131" s="592" t="s">
        <v>2</v>
      </c>
      <c r="AM131" s="592"/>
      <c r="AN131" s="592"/>
      <c r="AO131" s="592"/>
      <c r="AP131" s="592"/>
      <c r="AQ131" s="595"/>
    </row>
    <row r="132" spans="1:43" ht="22.5" customHeight="1">
      <c r="A132" s="593"/>
      <c r="B132" s="594"/>
      <c r="C132" s="594" t="s">
        <v>4</v>
      </c>
      <c r="D132" s="594"/>
      <c r="E132" s="594" t="s">
        <v>3</v>
      </c>
      <c r="F132" s="594"/>
      <c r="G132" s="594" t="s">
        <v>14</v>
      </c>
      <c r="H132" s="594"/>
      <c r="I132" s="594" t="s">
        <v>5</v>
      </c>
      <c r="J132" s="594"/>
      <c r="K132" s="594" t="s">
        <v>152</v>
      </c>
      <c r="L132" s="594"/>
      <c r="M132" s="594" t="s">
        <v>0</v>
      </c>
      <c r="N132" s="594"/>
      <c r="O132" s="594">
        <v>45</v>
      </c>
      <c r="P132" s="594"/>
      <c r="Q132" s="594">
        <v>60</v>
      </c>
      <c r="R132" s="594"/>
      <c r="S132" s="594">
        <v>70</v>
      </c>
      <c r="T132" s="594"/>
      <c r="U132" s="594">
        <v>90</v>
      </c>
      <c r="V132" s="594"/>
      <c r="W132" s="594">
        <v>110</v>
      </c>
      <c r="X132" s="594"/>
      <c r="Y132" s="594">
        <v>30</v>
      </c>
      <c r="Z132" s="594"/>
      <c r="AA132" s="594">
        <v>20</v>
      </c>
      <c r="AB132" s="594"/>
      <c r="AC132" s="594">
        <v>15</v>
      </c>
      <c r="AD132" s="594"/>
      <c r="AE132" s="594">
        <v>10</v>
      </c>
      <c r="AF132" s="594"/>
      <c r="AG132" s="594"/>
      <c r="AH132" s="594"/>
      <c r="AI132" s="594"/>
      <c r="AJ132" s="594"/>
      <c r="AK132" s="594"/>
      <c r="AL132" s="604"/>
      <c r="AM132" s="604"/>
      <c r="AN132" s="604"/>
      <c r="AO132" s="604"/>
      <c r="AP132" s="604"/>
      <c r="AQ132" s="605"/>
    </row>
    <row r="133" spans="1:43" ht="22.5" customHeight="1">
      <c r="A133" s="593" t="s">
        <v>158</v>
      </c>
      <c r="B133" s="594"/>
      <c r="C133" s="587">
        <f>SUM(C134:F134)</f>
        <v>0</v>
      </c>
      <c r="D133" s="565"/>
      <c r="E133" s="565"/>
      <c r="F133" s="566"/>
      <c r="G133" s="604">
        <f>SUM(G134:N134)</f>
        <v>0</v>
      </c>
      <c r="H133" s="604"/>
      <c r="I133" s="604"/>
      <c r="J133" s="604"/>
      <c r="K133" s="604"/>
      <c r="L133" s="604"/>
      <c r="M133" s="604"/>
      <c r="N133" s="604"/>
      <c r="O133" s="604">
        <f>SUM(O134:X134)</f>
        <v>0</v>
      </c>
      <c r="P133" s="604"/>
      <c r="Q133" s="604"/>
      <c r="R133" s="604"/>
      <c r="S133" s="604"/>
      <c r="T133" s="604"/>
      <c r="U133" s="604"/>
      <c r="V133" s="604"/>
      <c r="W133" s="604"/>
      <c r="X133" s="604"/>
      <c r="Y133" s="604"/>
      <c r="Z133" s="604"/>
      <c r="AA133" s="604"/>
      <c r="AB133" s="604"/>
      <c r="AC133" s="604"/>
      <c r="AD133" s="604"/>
      <c r="AE133" s="604"/>
      <c r="AF133" s="604"/>
      <c r="AG133" s="604"/>
      <c r="AH133" s="604"/>
      <c r="AI133" s="604"/>
      <c r="AJ133" s="604"/>
      <c r="AK133" s="604"/>
      <c r="AL133" s="604"/>
      <c r="AM133" s="604"/>
      <c r="AN133" s="604"/>
      <c r="AO133" s="604"/>
      <c r="AP133" s="604"/>
      <c r="AQ133" s="605"/>
    </row>
    <row r="134" spans="1:43" ht="22.5" customHeight="1">
      <c r="A134" s="593"/>
      <c r="B134" s="594"/>
      <c r="C134" s="604">
        <f>COUNTIF(C96:C130,"N")</f>
        <v>0</v>
      </c>
      <c r="D134" s="604"/>
      <c r="E134" s="604">
        <f>COUNTIF(C96:C130,"R")</f>
        <v>0</v>
      </c>
      <c r="F134" s="604"/>
      <c r="G134" s="604">
        <f>COUNTIF(D96:D130,"姫")</f>
        <v>0</v>
      </c>
      <c r="H134" s="604"/>
      <c r="I134" s="604">
        <f>COUNTIF(D96:D130,"本")</f>
        <v>0</v>
      </c>
      <c r="J134" s="604"/>
      <c r="K134" s="604">
        <f>COUNTIF(D96:D130,"ネ")</f>
        <v>0</v>
      </c>
      <c r="L134" s="604"/>
      <c r="M134" s="604">
        <f>COUNTIF(D96:D130,"写")</f>
        <v>0</v>
      </c>
      <c r="N134" s="604"/>
      <c r="O134" s="604">
        <f>COUNTIF(E96:F130,45)</f>
        <v>0</v>
      </c>
      <c r="P134" s="604"/>
      <c r="Q134" s="604">
        <f>COUNTIF(E96:F130,60)</f>
        <v>0</v>
      </c>
      <c r="R134" s="604"/>
      <c r="S134" s="604">
        <f>COUNTIF(E96:F130,70)</f>
        <v>0</v>
      </c>
      <c r="T134" s="604"/>
      <c r="U134" s="604">
        <f>COUNTIF(E96:F130,90)</f>
        <v>0</v>
      </c>
      <c r="V134" s="604"/>
      <c r="W134" s="604">
        <f>COUNTIF(E96:F130,110)</f>
        <v>0</v>
      </c>
      <c r="X134" s="604"/>
      <c r="Y134" s="604"/>
      <c r="Z134" s="604"/>
      <c r="AA134" s="604"/>
      <c r="AB134" s="604"/>
      <c r="AC134" s="604"/>
      <c r="AD134" s="604"/>
      <c r="AE134" s="604"/>
      <c r="AF134" s="604"/>
      <c r="AG134" s="604"/>
      <c r="AH134" s="604"/>
      <c r="AI134" s="604"/>
      <c r="AJ134" s="604"/>
      <c r="AK134" s="604"/>
      <c r="AL134" s="604"/>
      <c r="AM134" s="604"/>
      <c r="AN134" s="604"/>
      <c r="AO134" s="604"/>
      <c r="AP134" s="604"/>
      <c r="AQ134" s="605"/>
    </row>
    <row r="135" spans="1:43" ht="22.5" customHeight="1">
      <c r="A135" s="593" t="s">
        <v>159</v>
      </c>
      <c r="B135" s="594"/>
      <c r="C135" s="604"/>
      <c r="D135" s="604"/>
      <c r="E135" s="604"/>
      <c r="F135" s="604"/>
      <c r="G135" s="604"/>
      <c r="H135" s="604"/>
      <c r="I135" s="604"/>
      <c r="J135" s="604"/>
      <c r="K135" s="604"/>
      <c r="L135" s="604"/>
      <c r="M135" s="604"/>
      <c r="N135" s="604"/>
      <c r="O135" s="604"/>
      <c r="P135" s="604"/>
      <c r="Q135" s="604"/>
      <c r="R135" s="604"/>
      <c r="S135" s="604"/>
      <c r="T135" s="604"/>
      <c r="U135" s="604"/>
      <c r="V135" s="604"/>
      <c r="W135" s="604"/>
      <c r="X135" s="604"/>
      <c r="Y135" s="604"/>
      <c r="Z135" s="604"/>
      <c r="AA135" s="604"/>
      <c r="AB135" s="604"/>
      <c r="AC135" s="604"/>
      <c r="AD135" s="604"/>
      <c r="AE135" s="604"/>
      <c r="AF135" s="604"/>
      <c r="AG135" s="604"/>
      <c r="AH135" s="604"/>
      <c r="AI135" s="604"/>
      <c r="AJ135" s="604"/>
      <c r="AK135" s="604"/>
      <c r="AL135" s="604"/>
      <c r="AM135" s="604"/>
      <c r="AN135" s="604"/>
      <c r="AO135" s="604"/>
      <c r="AP135" s="604"/>
      <c r="AQ135" s="605"/>
    </row>
    <row r="136" spans="1:43" ht="22.5" customHeight="1" thickBot="1">
      <c r="A136" s="606"/>
      <c r="B136" s="607"/>
      <c r="C136" s="608"/>
      <c r="D136" s="608"/>
      <c r="E136" s="608"/>
      <c r="F136" s="608"/>
      <c r="G136" s="608"/>
      <c r="H136" s="608"/>
      <c r="I136" s="608"/>
      <c r="J136" s="608"/>
      <c r="K136" s="608"/>
      <c r="L136" s="608"/>
      <c r="M136" s="608"/>
      <c r="N136" s="608"/>
      <c r="O136" s="608"/>
      <c r="P136" s="608"/>
      <c r="Q136" s="608"/>
      <c r="R136" s="608"/>
      <c r="S136" s="608"/>
      <c r="T136" s="608"/>
      <c r="U136" s="608"/>
      <c r="V136" s="608"/>
      <c r="W136" s="608"/>
      <c r="X136" s="608"/>
      <c r="Y136" s="608"/>
      <c r="Z136" s="608"/>
      <c r="AA136" s="608"/>
      <c r="AB136" s="608"/>
      <c r="AC136" s="608"/>
      <c r="AD136" s="608"/>
      <c r="AE136" s="608"/>
      <c r="AF136" s="608"/>
      <c r="AG136" s="608"/>
      <c r="AH136" s="608"/>
      <c r="AI136" s="608"/>
      <c r="AJ136" s="608"/>
      <c r="AK136" s="608"/>
      <c r="AL136" s="608"/>
      <c r="AM136" s="608"/>
      <c r="AN136" s="608"/>
      <c r="AO136" s="608"/>
      <c r="AP136" s="608"/>
      <c r="AQ136" s="611"/>
    </row>
    <row r="137" spans="1:43" ht="22.5" customHeight="1">
      <c r="A137" s="609" t="s">
        <v>160</v>
      </c>
      <c r="B137" s="610"/>
      <c r="C137" s="610"/>
      <c r="D137" s="610"/>
      <c r="E137" s="610"/>
      <c r="F137" s="610"/>
      <c r="G137" s="610" t="s">
        <v>161</v>
      </c>
      <c r="H137" s="610"/>
      <c r="I137" s="610" t="s">
        <v>162</v>
      </c>
      <c r="J137" s="610"/>
      <c r="K137" s="610"/>
      <c r="L137" s="610"/>
      <c r="M137" s="610"/>
      <c r="N137" s="610"/>
      <c r="O137" s="610" t="s">
        <v>161</v>
      </c>
      <c r="P137" s="610"/>
      <c r="Q137" s="610" t="s">
        <v>163</v>
      </c>
      <c r="R137" s="610"/>
      <c r="S137" s="610"/>
      <c r="T137" s="610"/>
      <c r="U137" s="610"/>
      <c r="V137" s="610"/>
      <c r="W137" s="610" t="s">
        <v>164</v>
      </c>
      <c r="X137" s="610"/>
      <c r="Y137" s="610" t="s">
        <v>165</v>
      </c>
      <c r="Z137" s="610"/>
      <c r="AA137" s="610"/>
      <c r="AB137" s="610"/>
      <c r="AC137" s="610"/>
      <c r="AD137" s="610"/>
      <c r="AE137" s="610" t="s">
        <v>166</v>
      </c>
      <c r="AF137" s="610"/>
      <c r="AG137" s="610" t="s">
        <v>167</v>
      </c>
      <c r="AH137" s="610"/>
      <c r="AI137" s="610"/>
      <c r="AJ137" s="610"/>
      <c r="AK137" s="610"/>
      <c r="AL137" s="610"/>
      <c r="AM137" s="610"/>
      <c r="AN137" s="610"/>
      <c r="AO137" s="610"/>
      <c r="AP137" s="610"/>
      <c r="AQ137" s="614"/>
    </row>
    <row r="138" spans="1:43" ht="22.5" customHeight="1" thickBot="1">
      <c r="A138" s="615">
        <f>IF(C179&gt;0,"",精算表!$BD$46)</f>
        <v>0</v>
      </c>
      <c r="B138" s="616"/>
      <c r="C138" s="616"/>
      <c r="D138" s="616"/>
      <c r="E138" s="616"/>
      <c r="F138" s="616"/>
      <c r="G138" s="607" t="s">
        <v>161</v>
      </c>
      <c r="H138" s="607"/>
      <c r="I138" s="616">
        <f>IF(C179&gt;0,"",精算表!$BD$49)</f>
        <v>0</v>
      </c>
      <c r="J138" s="616"/>
      <c r="K138" s="616"/>
      <c r="L138" s="616"/>
      <c r="M138" s="616"/>
      <c r="N138" s="616"/>
      <c r="O138" s="607" t="s">
        <v>161</v>
      </c>
      <c r="P138" s="607"/>
      <c r="Q138" s="616">
        <f>IF(C179&gt;0,"",精算表!$BD$50)</f>
        <v>0</v>
      </c>
      <c r="R138" s="616"/>
      <c r="S138" s="616"/>
      <c r="T138" s="616"/>
      <c r="U138" s="616"/>
      <c r="V138" s="616"/>
      <c r="W138" s="607" t="s">
        <v>164</v>
      </c>
      <c r="X138" s="607"/>
      <c r="Y138" s="616">
        <f>IF(C179&gt;0,"",精算表!$BD$56)</f>
        <v>0</v>
      </c>
      <c r="Z138" s="616"/>
      <c r="AA138" s="616"/>
      <c r="AB138" s="616"/>
      <c r="AC138" s="616"/>
      <c r="AD138" s="616"/>
      <c r="AE138" s="607" t="s">
        <v>166</v>
      </c>
      <c r="AF138" s="607"/>
      <c r="AG138" s="613">
        <f>IF(C179&gt;0,"",A138-I138-Q138+Y138)</f>
        <v>0</v>
      </c>
      <c r="AH138" s="608"/>
      <c r="AI138" s="608"/>
      <c r="AJ138" s="608"/>
      <c r="AK138" s="608"/>
      <c r="AL138" s="608"/>
      <c r="AM138" s="608"/>
      <c r="AN138" s="608"/>
      <c r="AO138" s="608"/>
      <c r="AP138" s="608"/>
      <c r="AQ138" s="611"/>
    </row>
    <row r="139" spans="1:43" ht="22.5" customHeight="1">
      <c r="AD139" s="113" t="s">
        <v>142</v>
      </c>
      <c r="AF139" s="617" t="str">
        <f>AF93</f>
        <v>31</v>
      </c>
      <c r="AG139" s="617"/>
      <c r="AH139" s="113" t="s">
        <v>143</v>
      </c>
      <c r="AI139" s="617">
        <f>AI93</f>
        <v>10</v>
      </c>
      <c r="AJ139" s="617"/>
      <c r="AK139" s="617"/>
      <c r="AL139" s="578" t="s">
        <v>144</v>
      </c>
      <c r="AM139" s="578"/>
      <c r="AN139" s="617">
        <f>AN93</f>
        <v>17</v>
      </c>
      <c r="AO139" s="617"/>
      <c r="AP139" s="578" t="s">
        <v>145</v>
      </c>
      <c r="AQ139" s="578"/>
    </row>
    <row r="140" spans="1:43" ht="22.5" customHeight="1" thickBot="1">
      <c r="A140" s="579">
        <f>A94+1</f>
        <v>4</v>
      </c>
      <c r="B140" s="612"/>
      <c r="C140" s="612"/>
      <c r="D140" s="612"/>
      <c r="E140" s="612"/>
      <c r="F140" s="612"/>
      <c r="G140" s="612"/>
      <c r="H140" s="612"/>
      <c r="I140" s="612"/>
      <c r="J140" s="612"/>
      <c r="K140" s="612"/>
      <c r="L140" s="612"/>
      <c r="M140" s="612"/>
      <c r="N140" s="612"/>
      <c r="O140" s="612"/>
      <c r="P140" s="612"/>
      <c r="Q140" s="612"/>
      <c r="R140" s="612"/>
      <c r="S140" s="612"/>
      <c r="T140" s="612"/>
      <c r="U140" s="612"/>
      <c r="V140" s="612"/>
      <c r="W140" s="612"/>
      <c r="X140" s="612"/>
      <c r="Y140" s="612"/>
      <c r="Z140" s="612"/>
      <c r="AA140" s="612"/>
      <c r="AB140" s="612"/>
      <c r="AC140" s="612"/>
      <c r="AD140" s="612"/>
      <c r="AE140" s="612"/>
      <c r="AF140" s="612"/>
      <c r="AG140" s="612"/>
      <c r="AH140" s="612"/>
      <c r="AI140" s="612"/>
      <c r="AJ140" s="612"/>
      <c r="AK140" s="612"/>
      <c r="AL140" s="612"/>
      <c r="AM140" s="612"/>
      <c r="AN140" s="612"/>
      <c r="AO140" s="612"/>
      <c r="AP140" s="612"/>
      <c r="AQ140" s="612"/>
    </row>
    <row r="141" spans="1:43" ht="22.5" customHeight="1" thickBot="1">
      <c r="A141" s="580" t="s">
        <v>146</v>
      </c>
      <c r="B141" s="581"/>
      <c r="C141" s="582" t="s">
        <v>147</v>
      </c>
      <c r="D141" s="581"/>
      <c r="E141" s="582" t="s">
        <v>154</v>
      </c>
      <c r="F141" s="583"/>
      <c r="G141" s="583" t="s">
        <v>6</v>
      </c>
      <c r="H141" s="581"/>
      <c r="I141" s="583" t="s">
        <v>148</v>
      </c>
      <c r="J141" s="583"/>
      <c r="K141" s="581"/>
      <c r="L141" s="72" t="s">
        <v>2</v>
      </c>
      <c r="M141" s="72" t="s">
        <v>149</v>
      </c>
      <c r="N141" s="75" t="s">
        <v>150</v>
      </c>
      <c r="O141" s="582" t="s">
        <v>168</v>
      </c>
      <c r="P141" s="583"/>
      <c r="Q141" s="583"/>
      <c r="R141" s="583"/>
      <c r="S141" s="583"/>
      <c r="T141" s="583"/>
      <c r="U141" s="583"/>
      <c r="V141" s="583"/>
      <c r="W141" s="583"/>
      <c r="X141" s="583"/>
      <c r="Y141" s="583"/>
      <c r="Z141" s="583"/>
      <c r="AA141" s="583"/>
      <c r="AB141" s="583"/>
      <c r="AC141" s="583"/>
      <c r="AD141" s="583"/>
      <c r="AE141" s="583"/>
      <c r="AF141" s="581"/>
      <c r="AG141" s="583" t="s">
        <v>151</v>
      </c>
      <c r="AH141" s="583"/>
      <c r="AI141" s="583"/>
      <c r="AJ141" s="583"/>
      <c r="AK141" s="583"/>
      <c r="AL141" s="583"/>
      <c r="AM141" s="583"/>
      <c r="AN141" s="583"/>
      <c r="AO141" s="583"/>
      <c r="AP141" s="583"/>
      <c r="AQ141" s="584"/>
    </row>
    <row r="142" spans="1:43" ht="22.5" customHeight="1">
      <c r="A142" s="570">
        <f>A130+1</f>
        <v>106</v>
      </c>
      <c r="B142" s="571"/>
      <c r="C142" s="73" t="str">
        <f>IF(足元帳!AY107=1,"N",IF(足元帳!AY107=2,"R",""))</f>
        <v/>
      </c>
      <c r="D142" s="74" t="str">
        <f>IF(足元帳!AZ107&gt;0,VLOOKUP(足元帳!AZ107,管理シート!$CF$32:$CG$34,2,FALSE),"")</f>
        <v/>
      </c>
      <c r="E142" s="572" t="str">
        <f>IF(足元帳!BB107&gt;0,VLOOKUP(足元帳!BB107,管理シート!#REF!,2,FALSE),"")</f>
        <v/>
      </c>
      <c r="F142" s="573"/>
      <c r="G142" s="574">
        <f>足元帳!J107</f>
        <v>0</v>
      </c>
      <c r="H142" s="575"/>
      <c r="I142" s="574">
        <f>足元帳!K107</f>
        <v>0</v>
      </c>
      <c r="J142" s="576"/>
      <c r="K142" s="575"/>
      <c r="L142" s="73" t="str">
        <f ca="1">IF(足元帳!AB107="●","無",IF(足元帳!AC107="●","半",IF(AG142="周年","半",IF(AG142="プレ6","半",IF(AG142="6割","半","")))))</f>
        <v/>
      </c>
      <c r="M142" s="115" t="str">
        <f>IF(足元帳!AM107="","","○")&amp;IF(足元帳!AL107="","","○")</f>
        <v/>
      </c>
      <c r="N142" s="115" t="str">
        <f>IF(足元帳!AN107="","","○")</f>
        <v/>
      </c>
      <c r="O142" s="587" t="str">
        <f>IF(足元帳!U107="","",足元帳!U107)</f>
        <v/>
      </c>
      <c r="P142" s="565"/>
      <c r="Q142" s="565"/>
      <c r="R142" s="565" t="str">
        <f>IF(足元帳!V107="","",足元帳!V107)</f>
        <v/>
      </c>
      <c r="S142" s="565"/>
      <c r="T142" s="565"/>
      <c r="U142" s="565" t="str">
        <f>IF(足元帳!W107="","",足元帳!W107)</f>
        <v/>
      </c>
      <c r="V142" s="565"/>
      <c r="W142" s="565"/>
      <c r="X142" s="565" t="str">
        <f>IF(足元帳!X107="","",足元帳!X107)</f>
        <v/>
      </c>
      <c r="Y142" s="565"/>
      <c r="Z142" s="565"/>
      <c r="AA142" s="565" t="str">
        <f>IF(足元帳!Y107="","",足元帳!Y107)</f>
        <v/>
      </c>
      <c r="AB142" s="565"/>
      <c r="AC142" s="565"/>
      <c r="AD142" s="565" t="str">
        <f>IF(足元帳!Z107="","",足元帳!Z107)</f>
        <v/>
      </c>
      <c r="AE142" s="565"/>
      <c r="AF142" s="566"/>
      <c r="AG142" s="587" t="str">
        <f ca="1">IF(ISERROR(MATCH("●",足元帳!AD107:AM107,0)),IF(足元帳!AM107="","",足元帳!$AM$1&amp;足元帳!AM107),INDIRECT("足元帳!R1C"&amp;MATCH("●",足元帳!AD107:AM107,0)+29,FALSE))</f>
        <v/>
      </c>
      <c r="AH142" s="565"/>
      <c r="AI142" s="565"/>
      <c r="AJ142" s="565"/>
      <c r="AK142" s="565" t="str">
        <f>IF(足元帳!AT107="","",足元帳!AT107)</f>
        <v/>
      </c>
      <c r="AL142" s="565"/>
      <c r="AM142" s="565"/>
      <c r="AN142" s="565"/>
      <c r="AO142" s="565"/>
      <c r="AP142" s="565"/>
      <c r="AQ142" s="588"/>
    </row>
    <row r="143" spans="1:43" ht="22.5" customHeight="1">
      <c r="A143" s="586">
        <f>A142+1</f>
        <v>107</v>
      </c>
      <c r="B143" s="566"/>
      <c r="C143" s="73" t="str">
        <f>IF(足元帳!AY108=1,"N",IF(足元帳!AY108=2,"R",""))</f>
        <v/>
      </c>
      <c r="D143" s="74" t="str">
        <f>IF(足元帳!AZ108&gt;0,VLOOKUP(足元帳!AZ108,管理シート!$CF$32:$CG$34,2,FALSE),"")</f>
        <v/>
      </c>
      <c r="E143" s="572" t="str">
        <f>IF(足元帳!BB108&gt;0,VLOOKUP(足元帳!BB108,管理シート!#REF!,2,FALSE),"")</f>
        <v/>
      </c>
      <c r="F143" s="573"/>
      <c r="G143" s="574">
        <f>足元帳!J108</f>
        <v>0</v>
      </c>
      <c r="H143" s="575"/>
      <c r="I143" s="574">
        <f>足元帳!K108</f>
        <v>0</v>
      </c>
      <c r="J143" s="576"/>
      <c r="K143" s="575"/>
      <c r="L143" s="73" t="str">
        <f ca="1">IF(足元帳!AB108="●","無",IF(足元帳!AC108="●","半",IF(AG143="周年","半",IF(AG143="プレ6","半",IF(AG143="6割","半","")))))</f>
        <v/>
      </c>
      <c r="M143" s="115" t="str">
        <f>IF(足元帳!AM108="","","○")&amp;IF(足元帳!AL108="","","○")</f>
        <v/>
      </c>
      <c r="N143" s="115" t="str">
        <f>IF(足元帳!AN108="","","○")</f>
        <v/>
      </c>
      <c r="O143" s="587" t="str">
        <f>IF(足元帳!U108="","",足元帳!U108)</f>
        <v/>
      </c>
      <c r="P143" s="565"/>
      <c r="Q143" s="565"/>
      <c r="R143" s="565" t="str">
        <f>IF(足元帳!V108="","",足元帳!V108)</f>
        <v/>
      </c>
      <c r="S143" s="565"/>
      <c r="T143" s="565"/>
      <c r="U143" s="565" t="str">
        <f>IF(足元帳!W108="","",足元帳!W108)</f>
        <v/>
      </c>
      <c r="V143" s="565"/>
      <c r="W143" s="565"/>
      <c r="X143" s="565" t="str">
        <f>IF(足元帳!X108="","",足元帳!X108)</f>
        <v/>
      </c>
      <c r="Y143" s="565"/>
      <c r="Z143" s="565"/>
      <c r="AA143" s="565" t="str">
        <f>IF(足元帳!Y108="","",足元帳!Y108)</f>
        <v/>
      </c>
      <c r="AB143" s="565"/>
      <c r="AC143" s="565"/>
      <c r="AD143" s="565" t="str">
        <f>IF(足元帳!Z108="","",足元帳!Z108)</f>
        <v/>
      </c>
      <c r="AE143" s="565"/>
      <c r="AF143" s="566"/>
      <c r="AG143" s="587" t="str">
        <f ca="1">IF(ISERROR(MATCH("●",足元帳!AD108:AM108,0)),IF(足元帳!AM108="","",足元帳!$AM$1&amp;足元帳!AM108),INDIRECT("足元帳!R1C"&amp;MATCH("●",足元帳!AD108:AM108,0)+29,FALSE))</f>
        <v/>
      </c>
      <c r="AH143" s="565"/>
      <c r="AI143" s="565"/>
      <c r="AJ143" s="565"/>
      <c r="AK143" s="565" t="str">
        <f>IF(足元帳!AT108="","",足元帳!AT108)</f>
        <v/>
      </c>
      <c r="AL143" s="565"/>
      <c r="AM143" s="565"/>
      <c r="AN143" s="565"/>
      <c r="AO143" s="565"/>
      <c r="AP143" s="565"/>
      <c r="AQ143" s="588"/>
    </row>
    <row r="144" spans="1:43" ht="22.5" customHeight="1">
      <c r="A144" s="586">
        <f t="shared" ref="A144:A176" si="8">A143+1</f>
        <v>108</v>
      </c>
      <c r="B144" s="566"/>
      <c r="C144" s="73" t="str">
        <f>IF(足元帳!AY109=1,"N",IF(足元帳!AY109=2,"R",""))</f>
        <v/>
      </c>
      <c r="D144" s="74" t="str">
        <f>IF(足元帳!AZ109&gt;0,VLOOKUP(足元帳!AZ109,管理シート!$CF$32:$CG$34,2,FALSE),"")</f>
        <v/>
      </c>
      <c r="E144" s="572" t="str">
        <f>IF(足元帳!BB109&gt;0,VLOOKUP(足元帳!BB109,管理シート!#REF!,2,FALSE),"")</f>
        <v/>
      </c>
      <c r="F144" s="573"/>
      <c r="G144" s="574">
        <f>足元帳!J109</f>
        <v>0</v>
      </c>
      <c r="H144" s="575"/>
      <c r="I144" s="574">
        <f>足元帳!K109</f>
        <v>0</v>
      </c>
      <c r="J144" s="576"/>
      <c r="K144" s="575"/>
      <c r="L144" s="73" t="str">
        <f ca="1">IF(足元帳!AB109="●","無",IF(足元帳!AC109="●","半",IF(AG144="周年","半",IF(AG144="プレ6","半",IF(AG144="6割","半","")))))</f>
        <v/>
      </c>
      <c r="M144" s="115" t="str">
        <f>IF(足元帳!AM109="","","○")&amp;IF(足元帳!AL109="","","○")</f>
        <v/>
      </c>
      <c r="N144" s="115" t="str">
        <f>IF(足元帳!AN109="","","○")</f>
        <v/>
      </c>
      <c r="O144" s="587" t="str">
        <f>IF(足元帳!U109="","",足元帳!U109)</f>
        <v/>
      </c>
      <c r="P144" s="565"/>
      <c r="Q144" s="565"/>
      <c r="R144" s="565" t="str">
        <f>IF(足元帳!V109="","",足元帳!V109)</f>
        <v/>
      </c>
      <c r="S144" s="565"/>
      <c r="T144" s="565"/>
      <c r="U144" s="565" t="str">
        <f>IF(足元帳!W109="","",足元帳!W109)</f>
        <v/>
      </c>
      <c r="V144" s="565"/>
      <c r="W144" s="565"/>
      <c r="X144" s="565" t="str">
        <f>IF(足元帳!X109="","",足元帳!X109)</f>
        <v/>
      </c>
      <c r="Y144" s="565"/>
      <c r="Z144" s="565"/>
      <c r="AA144" s="565" t="str">
        <f>IF(足元帳!Y109="","",足元帳!Y109)</f>
        <v/>
      </c>
      <c r="AB144" s="565"/>
      <c r="AC144" s="565"/>
      <c r="AD144" s="565" t="str">
        <f>IF(足元帳!Z109="","",足元帳!Z109)</f>
        <v/>
      </c>
      <c r="AE144" s="565"/>
      <c r="AF144" s="566"/>
      <c r="AG144" s="587" t="str">
        <f ca="1">IF(ISERROR(MATCH("●",足元帳!AD109:AM109,0)),IF(足元帳!AM109="","",足元帳!$AM$1&amp;足元帳!AM109),INDIRECT("足元帳!R1C"&amp;MATCH("●",足元帳!AD109:AM109,0)+29,FALSE))</f>
        <v/>
      </c>
      <c r="AH144" s="565"/>
      <c r="AI144" s="565"/>
      <c r="AJ144" s="565"/>
      <c r="AK144" s="565" t="str">
        <f>IF(足元帳!AT109="","",足元帳!AT109)</f>
        <v/>
      </c>
      <c r="AL144" s="565"/>
      <c r="AM144" s="565"/>
      <c r="AN144" s="565"/>
      <c r="AO144" s="565"/>
      <c r="AP144" s="565"/>
      <c r="AQ144" s="588"/>
    </row>
    <row r="145" spans="1:43" ht="22.5" customHeight="1">
      <c r="A145" s="586">
        <f t="shared" si="8"/>
        <v>109</v>
      </c>
      <c r="B145" s="566"/>
      <c r="C145" s="73" t="str">
        <f>IF(足元帳!AY110=1,"N",IF(足元帳!AY110=2,"R",""))</f>
        <v/>
      </c>
      <c r="D145" s="74" t="str">
        <f>IF(足元帳!AZ110&gt;0,VLOOKUP(足元帳!AZ110,管理シート!$CF$32:$CG$34,2,FALSE),"")</f>
        <v/>
      </c>
      <c r="E145" s="572" t="str">
        <f>IF(足元帳!BB110&gt;0,VLOOKUP(足元帳!BB110,管理シート!#REF!,2,FALSE),"")</f>
        <v/>
      </c>
      <c r="F145" s="573"/>
      <c r="G145" s="574">
        <f>足元帳!J110</f>
        <v>0</v>
      </c>
      <c r="H145" s="575"/>
      <c r="I145" s="574">
        <f>足元帳!K110</f>
        <v>0</v>
      </c>
      <c r="J145" s="576"/>
      <c r="K145" s="575"/>
      <c r="L145" s="73" t="str">
        <f ca="1">IF(足元帳!AB110="●","無",IF(足元帳!AC110="●","半",IF(AG145="周年","半",IF(AG145="プレ6","半",IF(AG145="6割","半","")))))</f>
        <v/>
      </c>
      <c r="M145" s="115" t="str">
        <f>IF(足元帳!AM110="","","○")&amp;IF(足元帳!AL110="","","○")</f>
        <v/>
      </c>
      <c r="N145" s="115" t="str">
        <f>IF(足元帳!AN110="","","○")</f>
        <v/>
      </c>
      <c r="O145" s="587" t="str">
        <f>IF(足元帳!U110="","",足元帳!U110)</f>
        <v/>
      </c>
      <c r="P145" s="565"/>
      <c r="Q145" s="565"/>
      <c r="R145" s="565" t="str">
        <f>IF(足元帳!V110="","",足元帳!V110)</f>
        <v/>
      </c>
      <c r="S145" s="565"/>
      <c r="T145" s="565"/>
      <c r="U145" s="565" t="str">
        <f>IF(足元帳!W110="","",足元帳!W110)</f>
        <v/>
      </c>
      <c r="V145" s="565"/>
      <c r="W145" s="565"/>
      <c r="X145" s="565" t="str">
        <f>IF(足元帳!X110="","",足元帳!X110)</f>
        <v/>
      </c>
      <c r="Y145" s="565"/>
      <c r="Z145" s="565"/>
      <c r="AA145" s="565" t="str">
        <f>IF(足元帳!Y110="","",足元帳!Y110)</f>
        <v/>
      </c>
      <c r="AB145" s="565"/>
      <c r="AC145" s="565"/>
      <c r="AD145" s="565" t="str">
        <f>IF(足元帳!Z110="","",足元帳!Z110)</f>
        <v/>
      </c>
      <c r="AE145" s="565"/>
      <c r="AF145" s="566"/>
      <c r="AG145" s="587" t="str">
        <f ca="1">IF(ISERROR(MATCH("●",足元帳!AD110:AM110,0)),IF(足元帳!AM110="","",足元帳!$AM$1&amp;足元帳!AM110),INDIRECT("足元帳!R1C"&amp;MATCH("●",足元帳!AD110:AM110,0)+29,FALSE))</f>
        <v/>
      </c>
      <c r="AH145" s="565"/>
      <c r="AI145" s="565"/>
      <c r="AJ145" s="565"/>
      <c r="AK145" s="565" t="str">
        <f>IF(足元帳!AT110="","",足元帳!AT110)</f>
        <v/>
      </c>
      <c r="AL145" s="565"/>
      <c r="AM145" s="565"/>
      <c r="AN145" s="565"/>
      <c r="AO145" s="565"/>
      <c r="AP145" s="565"/>
      <c r="AQ145" s="588"/>
    </row>
    <row r="146" spans="1:43" ht="22.5" customHeight="1">
      <c r="A146" s="586">
        <f t="shared" si="8"/>
        <v>110</v>
      </c>
      <c r="B146" s="566"/>
      <c r="C146" s="73" t="str">
        <f>IF(足元帳!AY111=1,"N",IF(足元帳!AY111=2,"R",""))</f>
        <v/>
      </c>
      <c r="D146" s="74" t="str">
        <f>IF(足元帳!AZ111&gt;0,VLOOKUP(足元帳!AZ111,管理シート!$CF$32:$CG$34,2,FALSE),"")</f>
        <v/>
      </c>
      <c r="E146" s="572" t="str">
        <f>IF(足元帳!BB111&gt;0,VLOOKUP(足元帳!BB111,管理シート!#REF!,2,FALSE),"")</f>
        <v/>
      </c>
      <c r="F146" s="573"/>
      <c r="G146" s="574">
        <f>足元帳!J111</f>
        <v>0</v>
      </c>
      <c r="H146" s="575"/>
      <c r="I146" s="574">
        <f>足元帳!K111</f>
        <v>0</v>
      </c>
      <c r="J146" s="576"/>
      <c r="K146" s="575"/>
      <c r="L146" s="73" t="str">
        <f ca="1">IF(足元帳!AB111="●","無",IF(足元帳!AC111="●","半",IF(AG146="周年","半",IF(AG146="プレ6","半",IF(AG146="6割","半","")))))</f>
        <v/>
      </c>
      <c r="M146" s="115" t="str">
        <f>IF(足元帳!AM111="","","○")&amp;IF(足元帳!AL111="","","○")</f>
        <v/>
      </c>
      <c r="N146" s="115" t="str">
        <f>IF(足元帳!AN111="","","○")</f>
        <v/>
      </c>
      <c r="O146" s="587" t="str">
        <f>IF(足元帳!U111="","",足元帳!U111)</f>
        <v/>
      </c>
      <c r="P146" s="565"/>
      <c r="Q146" s="565"/>
      <c r="R146" s="565" t="str">
        <f>IF(足元帳!V111="","",足元帳!V111)</f>
        <v/>
      </c>
      <c r="S146" s="565"/>
      <c r="T146" s="565"/>
      <c r="U146" s="565" t="str">
        <f>IF(足元帳!W111="","",足元帳!W111)</f>
        <v/>
      </c>
      <c r="V146" s="565"/>
      <c r="W146" s="565"/>
      <c r="X146" s="565" t="str">
        <f>IF(足元帳!X111="","",足元帳!X111)</f>
        <v/>
      </c>
      <c r="Y146" s="565"/>
      <c r="Z146" s="565"/>
      <c r="AA146" s="565" t="str">
        <f>IF(足元帳!Y111="","",足元帳!Y111)</f>
        <v/>
      </c>
      <c r="AB146" s="565"/>
      <c r="AC146" s="565"/>
      <c r="AD146" s="565" t="str">
        <f>IF(足元帳!Z111="","",足元帳!Z111)</f>
        <v/>
      </c>
      <c r="AE146" s="565"/>
      <c r="AF146" s="566"/>
      <c r="AG146" s="587" t="str">
        <f ca="1">IF(ISERROR(MATCH("●",足元帳!AD111:AM111,0)),IF(足元帳!AM111="","",足元帳!$AM$1&amp;足元帳!AM111),INDIRECT("足元帳!R1C"&amp;MATCH("●",足元帳!AD111:AM111,0)+29,FALSE))</f>
        <v/>
      </c>
      <c r="AH146" s="565"/>
      <c r="AI146" s="565"/>
      <c r="AJ146" s="565"/>
      <c r="AK146" s="565" t="str">
        <f>IF(足元帳!AT111="","",足元帳!AT111)</f>
        <v/>
      </c>
      <c r="AL146" s="565"/>
      <c r="AM146" s="565"/>
      <c r="AN146" s="565"/>
      <c r="AO146" s="565"/>
      <c r="AP146" s="565"/>
      <c r="AQ146" s="588"/>
    </row>
    <row r="147" spans="1:43" ht="22.5" customHeight="1">
      <c r="A147" s="586">
        <f t="shared" si="8"/>
        <v>111</v>
      </c>
      <c r="B147" s="566"/>
      <c r="C147" s="73" t="str">
        <f>IF(足元帳!AY112=1,"N",IF(足元帳!AY112=2,"R",""))</f>
        <v/>
      </c>
      <c r="D147" s="74" t="str">
        <f>IF(足元帳!AZ112&gt;0,VLOOKUP(足元帳!AZ112,管理シート!$CF$32:$CG$34,2,FALSE),"")</f>
        <v/>
      </c>
      <c r="E147" s="572" t="str">
        <f>IF(足元帳!BB112&gt;0,VLOOKUP(足元帳!BB112,管理シート!#REF!,2,FALSE),"")</f>
        <v/>
      </c>
      <c r="F147" s="573"/>
      <c r="G147" s="574">
        <f>足元帳!J112</f>
        <v>0</v>
      </c>
      <c r="H147" s="575"/>
      <c r="I147" s="574">
        <f>足元帳!K112</f>
        <v>0</v>
      </c>
      <c r="J147" s="576"/>
      <c r="K147" s="575"/>
      <c r="L147" s="73" t="str">
        <f ca="1">IF(足元帳!AB112="●","無",IF(足元帳!AC112="●","半",IF(AG147="周年","半",IF(AG147="プレ6","半",IF(AG147="6割","半","")))))</f>
        <v/>
      </c>
      <c r="M147" s="115" t="str">
        <f>IF(足元帳!AM112="","","○")&amp;IF(足元帳!AL112="","","○")</f>
        <v/>
      </c>
      <c r="N147" s="115" t="str">
        <f>IF(足元帳!AN112="","","○")</f>
        <v/>
      </c>
      <c r="O147" s="587" t="str">
        <f>IF(足元帳!U112="","",足元帳!U112)</f>
        <v/>
      </c>
      <c r="P147" s="565"/>
      <c r="Q147" s="565"/>
      <c r="R147" s="565" t="str">
        <f>IF(足元帳!V112="","",足元帳!V112)</f>
        <v/>
      </c>
      <c r="S147" s="565"/>
      <c r="T147" s="565"/>
      <c r="U147" s="565" t="str">
        <f>IF(足元帳!W112="","",足元帳!W112)</f>
        <v/>
      </c>
      <c r="V147" s="565"/>
      <c r="W147" s="565"/>
      <c r="X147" s="565" t="str">
        <f>IF(足元帳!X112="","",足元帳!X112)</f>
        <v/>
      </c>
      <c r="Y147" s="565"/>
      <c r="Z147" s="565"/>
      <c r="AA147" s="565" t="str">
        <f>IF(足元帳!Y112="","",足元帳!Y112)</f>
        <v/>
      </c>
      <c r="AB147" s="565"/>
      <c r="AC147" s="565"/>
      <c r="AD147" s="565" t="str">
        <f>IF(足元帳!Z112="","",足元帳!Z112)</f>
        <v/>
      </c>
      <c r="AE147" s="565"/>
      <c r="AF147" s="566"/>
      <c r="AG147" s="587" t="str">
        <f ca="1">IF(ISERROR(MATCH("●",足元帳!AD112:AM112,0)),IF(足元帳!AM112="","",足元帳!$AM$1&amp;足元帳!AM112),INDIRECT("足元帳!R1C"&amp;MATCH("●",足元帳!AD112:AM112,0)+29,FALSE))</f>
        <v/>
      </c>
      <c r="AH147" s="565"/>
      <c r="AI147" s="565"/>
      <c r="AJ147" s="565"/>
      <c r="AK147" s="565" t="str">
        <f>IF(足元帳!AT112="","",足元帳!AT112)</f>
        <v/>
      </c>
      <c r="AL147" s="565"/>
      <c r="AM147" s="565"/>
      <c r="AN147" s="565"/>
      <c r="AO147" s="565"/>
      <c r="AP147" s="565"/>
      <c r="AQ147" s="588"/>
    </row>
    <row r="148" spans="1:43" ht="22.5" customHeight="1">
      <c r="A148" s="586">
        <f t="shared" si="8"/>
        <v>112</v>
      </c>
      <c r="B148" s="566"/>
      <c r="C148" s="73" t="str">
        <f>IF(足元帳!AY113=1,"N",IF(足元帳!AY113=2,"R",""))</f>
        <v/>
      </c>
      <c r="D148" s="74" t="str">
        <f>IF(足元帳!AZ113&gt;0,VLOOKUP(足元帳!AZ113,管理シート!$CF$32:$CG$34,2,FALSE),"")</f>
        <v/>
      </c>
      <c r="E148" s="572" t="str">
        <f>IF(足元帳!BB113&gt;0,VLOOKUP(足元帳!BB113,管理シート!#REF!,2,FALSE),"")</f>
        <v/>
      </c>
      <c r="F148" s="573"/>
      <c r="G148" s="574">
        <f>足元帳!J113</f>
        <v>0</v>
      </c>
      <c r="H148" s="575"/>
      <c r="I148" s="574">
        <f>足元帳!K113</f>
        <v>0</v>
      </c>
      <c r="J148" s="576"/>
      <c r="K148" s="575"/>
      <c r="L148" s="73" t="str">
        <f ca="1">IF(足元帳!AB113="●","無",IF(足元帳!AC113="●","半",IF(AG148="周年","半",IF(AG148="プレ6","半",IF(AG148="6割","半","")))))</f>
        <v/>
      </c>
      <c r="M148" s="115" t="str">
        <f>IF(足元帳!AM113="","","○")&amp;IF(足元帳!AL113="","","○")</f>
        <v/>
      </c>
      <c r="N148" s="115" t="str">
        <f>IF(足元帳!AN113="","","○")</f>
        <v/>
      </c>
      <c r="O148" s="587" t="str">
        <f>IF(足元帳!U113="","",足元帳!U113)</f>
        <v/>
      </c>
      <c r="P148" s="565"/>
      <c r="Q148" s="565"/>
      <c r="R148" s="565" t="str">
        <f>IF(足元帳!V113="","",足元帳!V113)</f>
        <v/>
      </c>
      <c r="S148" s="565"/>
      <c r="T148" s="565"/>
      <c r="U148" s="565" t="str">
        <f>IF(足元帳!W113="","",足元帳!W113)</f>
        <v/>
      </c>
      <c r="V148" s="565"/>
      <c r="W148" s="565"/>
      <c r="X148" s="565" t="str">
        <f>IF(足元帳!X113="","",足元帳!X113)</f>
        <v/>
      </c>
      <c r="Y148" s="565"/>
      <c r="Z148" s="565"/>
      <c r="AA148" s="565" t="str">
        <f>IF(足元帳!Y113="","",足元帳!Y113)</f>
        <v/>
      </c>
      <c r="AB148" s="565"/>
      <c r="AC148" s="565"/>
      <c r="AD148" s="565" t="str">
        <f>IF(足元帳!Z113="","",足元帳!Z113)</f>
        <v/>
      </c>
      <c r="AE148" s="565"/>
      <c r="AF148" s="566"/>
      <c r="AG148" s="587" t="str">
        <f ca="1">IF(ISERROR(MATCH("●",足元帳!AD113:AM113,0)),IF(足元帳!AM113="","",足元帳!$AM$1&amp;足元帳!AM113),INDIRECT("足元帳!R1C"&amp;MATCH("●",足元帳!AD113:AM113,0)+29,FALSE))</f>
        <v/>
      </c>
      <c r="AH148" s="565"/>
      <c r="AI148" s="565"/>
      <c r="AJ148" s="565"/>
      <c r="AK148" s="565" t="str">
        <f>IF(足元帳!AT113="","",足元帳!AT113)</f>
        <v/>
      </c>
      <c r="AL148" s="565"/>
      <c r="AM148" s="565"/>
      <c r="AN148" s="565"/>
      <c r="AO148" s="565"/>
      <c r="AP148" s="565"/>
      <c r="AQ148" s="588"/>
    </row>
    <row r="149" spans="1:43" ht="22.5" customHeight="1">
      <c r="A149" s="586">
        <f t="shared" si="8"/>
        <v>113</v>
      </c>
      <c r="B149" s="566"/>
      <c r="C149" s="73" t="str">
        <f>IF(足元帳!AY114=1,"N",IF(足元帳!AY114=2,"R",""))</f>
        <v/>
      </c>
      <c r="D149" s="74" t="str">
        <f>IF(足元帳!AZ114&gt;0,VLOOKUP(足元帳!AZ114,管理シート!$CF$32:$CG$34,2,FALSE),"")</f>
        <v/>
      </c>
      <c r="E149" s="572" t="str">
        <f>IF(足元帳!BB114&gt;0,VLOOKUP(足元帳!BB114,管理シート!#REF!,2,FALSE),"")</f>
        <v/>
      </c>
      <c r="F149" s="573"/>
      <c r="G149" s="574">
        <f>足元帳!J114</f>
        <v>0</v>
      </c>
      <c r="H149" s="575"/>
      <c r="I149" s="574">
        <f>足元帳!K114</f>
        <v>0</v>
      </c>
      <c r="J149" s="576"/>
      <c r="K149" s="575"/>
      <c r="L149" s="73" t="str">
        <f ca="1">IF(足元帳!AB114="●","無",IF(足元帳!AC114="●","半",IF(AG149="周年","半",IF(AG149="プレ6","半",IF(AG149="6割","半","")))))</f>
        <v/>
      </c>
      <c r="M149" s="115" t="str">
        <f>IF(足元帳!AM114="","","○")&amp;IF(足元帳!AL114="","","○")</f>
        <v/>
      </c>
      <c r="N149" s="115" t="str">
        <f>IF(足元帳!AN114="","","○")</f>
        <v/>
      </c>
      <c r="O149" s="587" t="str">
        <f>IF(足元帳!U114="","",足元帳!U114)</f>
        <v/>
      </c>
      <c r="P149" s="565"/>
      <c r="Q149" s="565"/>
      <c r="R149" s="565" t="str">
        <f>IF(足元帳!V114="","",足元帳!V114)</f>
        <v/>
      </c>
      <c r="S149" s="565"/>
      <c r="T149" s="565"/>
      <c r="U149" s="565" t="str">
        <f>IF(足元帳!W114="","",足元帳!W114)</f>
        <v/>
      </c>
      <c r="V149" s="565"/>
      <c r="W149" s="565"/>
      <c r="X149" s="565" t="str">
        <f>IF(足元帳!X114="","",足元帳!X114)</f>
        <v/>
      </c>
      <c r="Y149" s="565"/>
      <c r="Z149" s="565"/>
      <c r="AA149" s="565" t="str">
        <f>IF(足元帳!Y114="","",足元帳!Y114)</f>
        <v/>
      </c>
      <c r="AB149" s="565"/>
      <c r="AC149" s="565"/>
      <c r="AD149" s="565" t="str">
        <f>IF(足元帳!Z114="","",足元帳!Z114)</f>
        <v/>
      </c>
      <c r="AE149" s="565"/>
      <c r="AF149" s="566"/>
      <c r="AG149" s="587" t="str">
        <f ca="1">IF(ISERROR(MATCH("●",足元帳!AD114:AM114,0)),IF(足元帳!AM114="","",足元帳!$AM$1&amp;足元帳!AM114),INDIRECT("足元帳!R1C"&amp;MATCH("●",足元帳!AD114:AM114,0)+29,FALSE))</f>
        <v/>
      </c>
      <c r="AH149" s="565"/>
      <c r="AI149" s="565"/>
      <c r="AJ149" s="565"/>
      <c r="AK149" s="565" t="str">
        <f>IF(足元帳!AT114="","",足元帳!AT114)</f>
        <v/>
      </c>
      <c r="AL149" s="565"/>
      <c r="AM149" s="565"/>
      <c r="AN149" s="565"/>
      <c r="AO149" s="565"/>
      <c r="AP149" s="565"/>
      <c r="AQ149" s="588"/>
    </row>
    <row r="150" spans="1:43" ht="22.5" customHeight="1">
      <c r="A150" s="586">
        <f t="shared" si="8"/>
        <v>114</v>
      </c>
      <c r="B150" s="566"/>
      <c r="C150" s="73" t="str">
        <f>IF(足元帳!AY115=1,"N",IF(足元帳!AY115=2,"R",""))</f>
        <v/>
      </c>
      <c r="D150" s="74" t="str">
        <f>IF(足元帳!AZ115&gt;0,VLOOKUP(足元帳!AZ115,管理シート!$CF$32:$CG$34,2,FALSE),"")</f>
        <v/>
      </c>
      <c r="E150" s="572" t="str">
        <f>IF(足元帳!BB115&gt;0,VLOOKUP(足元帳!BB115,管理シート!#REF!,2,FALSE),"")</f>
        <v/>
      </c>
      <c r="F150" s="573"/>
      <c r="G150" s="574">
        <f>足元帳!J115</f>
        <v>0</v>
      </c>
      <c r="H150" s="575"/>
      <c r="I150" s="574">
        <f>足元帳!K115</f>
        <v>0</v>
      </c>
      <c r="J150" s="576"/>
      <c r="K150" s="575"/>
      <c r="L150" s="73" t="str">
        <f ca="1">IF(足元帳!AB115="●","無",IF(足元帳!AC115="●","半",IF(AG150="周年","半",IF(AG150="プレ6","半",IF(AG150="6割","半","")))))</f>
        <v/>
      </c>
      <c r="M150" s="115" t="str">
        <f>IF(足元帳!AM115="","","○")&amp;IF(足元帳!AL115="","","○")</f>
        <v/>
      </c>
      <c r="N150" s="115" t="str">
        <f>IF(足元帳!AN115="","","○")</f>
        <v/>
      </c>
      <c r="O150" s="587" t="str">
        <f>IF(足元帳!U115="","",足元帳!U115)</f>
        <v/>
      </c>
      <c r="P150" s="565"/>
      <c r="Q150" s="565"/>
      <c r="R150" s="565" t="str">
        <f>IF(足元帳!V115="","",足元帳!V115)</f>
        <v/>
      </c>
      <c r="S150" s="565"/>
      <c r="T150" s="565"/>
      <c r="U150" s="565" t="str">
        <f>IF(足元帳!W115="","",足元帳!W115)</f>
        <v/>
      </c>
      <c r="V150" s="565"/>
      <c r="W150" s="565"/>
      <c r="X150" s="565" t="str">
        <f>IF(足元帳!X115="","",足元帳!X115)</f>
        <v/>
      </c>
      <c r="Y150" s="565"/>
      <c r="Z150" s="565"/>
      <c r="AA150" s="565" t="str">
        <f>IF(足元帳!Y115="","",足元帳!Y115)</f>
        <v/>
      </c>
      <c r="AB150" s="565"/>
      <c r="AC150" s="565"/>
      <c r="AD150" s="565" t="str">
        <f>IF(足元帳!Z115="","",足元帳!Z115)</f>
        <v/>
      </c>
      <c r="AE150" s="565"/>
      <c r="AF150" s="566"/>
      <c r="AG150" s="587" t="str">
        <f ca="1">IF(ISERROR(MATCH("●",足元帳!AD115:AM115,0)),IF(足元帳!AM115="","",足元帳!$AM$1&amp;足元帳!AM115),INDIRECT("足元帳!R1C"&amp;MATCH("●",足元帳!AD115:AM115,0)+29,FALSE))</f>
        <v/>
      </c>
      <c r="AH150" s="565"/>
      <c r="AI150" s="565"/>
      <c r="AJ150" s="565"/>
      <c r="AK150" s="565" t="str">
        <f>IF(足元帳!AT115="","",足元帳!AT115)</f>
        <v/>
      </c>
      <c r="AL150" s="565"/>
      <c r="AM150" s="565"/>
      <c r="AN150" s="565"/>
      <c r="AO150" s="565"/>
      <c r="AP150" s="565"/>
      <c r="AQ150" s="588"/>
    </row>
    <row r="151" spans="1:43" ht="22.5" customHeight="1">
      <c r="A151" s="586">
        <f t="shared" si="8"/>
        <v>115</v>
      </c>
      <c r="B151" s="566"/>
      <c r="C151" s="73" t="str">
        <f>IF(足元帳!AY116=1,"N",IF(足元帳!AY116=2,"R",""))</f>
        <v/>
      </c>
      <c r="D151" s="74" t="str">
        <f>IF(足元帳!AZ116&gt;0,VLOOKUP(足元帳!AZ116,管理シート!$CF$32:$CG$34,2,FALSE),"")</f>
        <v/>
      </c>
      <c r="E151" s="572" t="str">
        <f>IF(足元帳!BB116&gt;0,VLOOKUP(足元帳!BB116,管理シート!#REF!,2,FALSE),"")</f>
        <v/>
      </c>
      <c r="F151" s="573"/>
      <c r="G151" s="574">
        <f>足元帳!J116</f>
        <v>0</v>
      </c>
      <c r="H151" s="575"/>
      <c r="I151" s="574">
        <f>足元帳!K116</f>
        <v>0</v>
      </c>
      <c r="J151" s="576"/>
      <c r="K151" s="575"/>
      <c r="L151" s="73" t="str">
        <f ca="1">IF(足元帳!AB116="●","無",IF(足元帳!AC116="●","半",IF(AG151="周年","半",IF(AG151="プレ6","半",IF(AG151="6割","半","")))))</f>
        <v/>
      </c>
      <c r="M151" s="115" t="str">
        <f>IF(足元帳!AM116="","","○")&amp;IF(足元帳!AL116="","","○")</f>
        <v/>
      </c>
      <c r="N151" s="115" t="str">
        <f>IF(足元帳!AN116="","","○")</f>
        <v/>
      </c>
      <c r="O151" s="587" t="str">
        <f>IF(足元帳!U116="","",足元帳!U116)</f>
        <v/>
      </c>
      <c r="P151" s="565"/>
      <c r="Q151" s="565"/>
      <c r="R151" s="565" t="str">
        <f>IF(足元帳!V116="","",足元帳!V116)</f>
        <v/>
      </c>
      <c r="S151" s="565"/>
      <c r="T151" s="565"/>
      <c r="U151" s="565" t="str">
        <f>IF(足元帳!W116="","",足元帳!W116)</f>
        <v/>
      </c>
      <c r="V151" s="565"/>
      <c r="W151" s="565"/>
      <c r="X151" s="565" t="str">
        <f>IF(足元帳!X116="","",足元帳!X116)</f>
        <v/>
      </c>
      <c r="Y151" s="565"/>
      <c r="Z151" s="565"/>
      <c r="AA151" s="565" t="str">
        <f>IF(足元帳!Y116="","",足元帳!Y116)</f>
        <v/>
      </c>
      <c r="AB151" s="565"/>
      <c r="AC151" s="565"/>
      <c r="AD151" s="565" t="str">
        <f>IF(足元帳!Z116="","",足元帳!Z116)</f>
        <v/>
      </c>
      <c r="AE151" s="565"/>
      <c r="AF151" s="566"/>
      <c r="AG151" s="587" t="str">
        <f ca="1">IF(ISERROR(MATCH("●",足元帳!AD116:AM116,0)),IF(足元帳!AM116="","",足元帳!$AM$1&amp;足元帳!AM116),INDIRECT("足元帳!R1C"&amp;MATCH("●",足元帳!AD116:AM116,0)+29,FALSE))</f>
        <v/>
      </c>
      <c r="AH151" s="565"/>
      <c r="AI151" s="565"/>
      <c r="AJ151" s="565"/>
      <c r="AK151" s="565" t="str">
        <f>IF(足元帳!AT116="","",足元帳!AT116)</f>
        <v/>
      </c>
      <c r="AL151" s="565"/>
      <c r="AM151" s="565"/>
      <c r="AN151" s="565"/>
      <c r="AO151" s="565"/>
      <c r="AP151" s="565"/>
      <c r="AQ151" s="588"/>
    </row>
    <row r="152" spans="1:43" ht="22.5" customHeight="1">
      <c r="A152" s="586">
        <f t="shared" si="8"/>
        <v>116</v>
      </c>
      <c r="B152" s="566"/>
      <c r="C152" s="73" t="str">
        <f>IF(足元帳!AY117=1,"N",IF(足元帳!AY117=2,"R",""))</f>
        <v/>
      </c>
      <c r="D152" s="74" t="str">
        <f>IF(足元帳!AZ117&gt;0,VLOOKUP(足元帳!AZ117,管理シート!$CF$32:$CG$34,2,FALSE),"")</f>
        <v/>
      </c>
      <c r="E152" s="572" t="str">
        <f>IF(足元帳!BB117&gt;0,VLOOKUP(足元帳!BB117,管理シート!#REF!,2,FALSE),"")</f>
        <v/>
      </c>
      <c r="F152" s="573"/>
      <c r="G152" s="574">
        <f>足元帳!J117</f>
        <v>0</v>
      </c>
      <c r="H152" s="575"/>
      <c r="I152" s="574">
        <f>足元帳!K117</f>
        <v>0</v>
      </c>
      <c r="J152" s="576"/>
      <c r="K152" s="575"/>
      <c r="L152" s="73" t="str">
        <f ca="1">IF(足元帳!AB117="●","無",IF(足元帳!AC117="●","半",IF(AG152="周年","半",IF(AG152="プレ6","半",IF(AG152="6割","半","")))))</f>
        <v/>
      </c>
      <c r="M152" s="115" t="str">
        <f>IF(足元帳!AM117="","","○")&amp;IF(足元帳!AL117="","","○")</f>
        <v/>
      </c>
      <c r="N152" s="115" t="str">
        <f>IF(足元帳!AN117="","","○")</f>
        <v/>
      </c>
      <c r="O152" s="587" t="str">
        <f>IF(足元帳!U117="","",足元帳!U117)</f>
        <v/>
      </c>
      <c r="P152" s="565"/>
      <c r="Q152" s="565"/>
      <c r="R152" s="565" t="str">
        <f>IF(足元帳!V117="","",足元帳!V117)</f>
        <v/>
      </c>
      <c r="S152" s="565"/>
      <c r="T152" s="565"/>
      <c r="U152" s="565" t="str">
        <f>IF(足元帳!W117="","",足元帳!W117)</f>
        <v/>
      </c>
      <c r="V152" s="565"/>
      <c r="W152" s="565"/>
      <c r="X152" s="565" t="str">
        <f>IF(足元帳!X117="","",足元帳!X117)</f>
        <v/>
      </c>
      <c r="Y152" s="565"/>
      <c r="Z152" s="565"/>
      <c r="AA152" s="565" t="str">
        <f>IF(足元帳!Y117="","",足元帳!Y117)</f>
        <v/>
      </c>
      <c r="AB152" s="565"/>
      <c r="AC152" s="565"/>
      <c r="AD152" s="565" t="str">
        <f>IF(足元帳!Z117="","",足元帳!Z117)</f>
        <v/>
      </c>
      <c r="AE152" s="565"/>
      <c r="AF152" s="566"/>
      <c r="AG152" s="587" t="str">
        <f ca="1">IF(ISERROR(MATCH("●",足元帳!AD117:AM117,0)),IF(足元帳!AM117="","",足元帳!$AM$1&amp;足元帳!AM117),INDIRECT("足元帳!R1C"&amp;MATCH("●",足元帳!AD117:AM117,0)+29,FALSE))</f>
        <v/>
      </c>
      <c r="AH152" s="565"/>
      <c r="AI152" s="565"/>
      <c r="AJ152" s="565"/>
      <c r="AK152" s="565" t="str">
        <f>IF(足元帳!AT117="","",足元帳!AT117)</f>
        <v/>
      </c>
      <c r="AL152" s="565"/>
      <c r="AM152" s="565"/>
      <c r="AN152" s="565"/>
      <c r="AO152" s="565"/>
      <c r="AP152" s="565"/>
      <c r="AQ152" s="588"/>
    </row>
    <row r="153" spans="1:43" ht="22.5" customHeight="1">
      <c r="A153" s="586">
        <f t="shared" si="8"/>
        <v>117</v>
      </c>
      <c r="B153" s="566"/>
      <c r="C153" s="73" t="str">
        <f>IF(足元帳!AY118=1,"N",IF(足元帳!AY118=2,"R",""))</f>
        <v/>
      </c>
      <c r="D153" s="74" t="str">
        <f>IF(足元帳!AZ118&gt;0,VLOOKUP(足元帳!AZ118,管理シート!$CF$32:$CG$34,2,FALSE),"")</f>
        <v/>
      </c>
      <c r="E153" s="572" t="str">
        <f>IF(足元帳!BB118&gt;0,VLOOKUP(足元帳!BB118,管理シート!#REF!,2,FALSE),"")</f>
        <v/>
      </c>
      <c r="F153" s="573"/>
      <c r="G153" s="574">
        <f>足元帳!J118</f>
        <v>0</v>
      </c>
      <c r="H153" s="575"/>
      <c r="I153" s="574">
        <f>足元帳!K118</f>
        <v>0</v>
      </c>
      <c r="J153" s="576"/>
      <c r="K153" s="575"/>
      <c r="L153" s="73" t="str">
        <f ca="1">IF(足元帳!AB118="●","無",IF(足元帳!AC118="●","半",IF(AG153="周年","半",IF(AG153="プレ6","半",IF(AG153="6割","半","")))))</f>
        <v/>
      </c>
      <c r="M153" s="115" t="str">
        <f>IF(足元帳!AM118="","","○")&amp;IF(足元帳!AL118="","","○")</f>
        <v/>
      </c>
      <c r="N153" s="115" t="str">
        <f>IF(足元帳!AN118="","","○")</f>
        <v/>
      </c>
      <c r="O153" s="587" t="str">
        <f>IF(足元帳!U118="","",足元帳!U118)</f>
        <v/>
      </c>
      <c r="P153" s="565"/>
      <c r="Q153" s="565"/>
      <c r="R153" s="565" t="str">
        <f>IF(足元帳!V118="","",足元帳!V118)</f>
        <v/>
      </c>
      <c r="S153" s="565"/>
      <c r="T153" s="565"/>
      <c r="U153" s="565" t="str">
        <f>IF(足元帳!W118="","",足元帳!W118)</f>
        <v/>
      </c>
      <c r="V153" s="565"/>
      <c r="W153" s="565"/>
      <c r="X153" s="565" t="str">
        <f>IF(足元帳!X118="","",足元帳!X118)</f>
        <v/>
      </c>
      <c r="Y153" s="565"/>
      <c r="Z153" s="565"/>
      <c r="AA153" s="565" t="str">
        <f>IF(足元帳!Y118="","",足元帳!Y118)</f>
        <v/>
      </c>
      <c r="AB153" s="565"/>
      <c r="AC153" s="565"/>
      <c r="AD153" s="565" t="str">
        <f>IF(足元帳!Z118="","",足元帳!Z118)</f>
        <v/>
      </c>
      <c r="AE153" s="565"/>
      <c r="AF153" s="566"/>
      <c r="AG153" s="587" t="str">
        <f ca="1">IF(ISERROR(MATCH("●",足元帳!AD118:AM118,0)),IF(足元帳!AM118="","",足元帳!$AM$1&amp;足元帳!AM118),INDIRECT("足元帳!R1C"&amp;MATCH("●",足元帳!AD118:AM118,0)+29,FALSE))</f>
        <v/>
      </c>
      <c r="AH153" s="565"/>
      <c r="AI153" s="565"/>
      <c r="AJ153" s="565"/>
      <c r="AK153" s="565" t="str">
        <f>IF(足元帳!AT118="","",足元帳!AT118)</f>
        <v/>
      </c>
      <c r="AL153" s="565"/>
      <c r="AM153" s="565"/>
      <c r="AN153" s="565"/>
      <c r="AO153" s="565"/>
      <c r="AP153" s="565"/>
      <c r="AQ153" s="588"/>
    </row>
    <row r="154" spans="1:43" ht="22.5" customHeight="1">
      <c r="A154" s="586">
        <f t="shared" si="8"/>
        <v>118</v>
      </c>
      <c r="B154" s="566"/>
      <c r="C154" s="73" t="str">
        <f>IF(足元帳!AY119=1,"N",IF(足元帳!AY119=2,"R",""))</f>
        <v/>
      </c>
      <c r="D154" s="74" t="str">
        <f>IF(足元帳!AZ119&gt;0,VLOOKUP(足元帳!AZ119,管理シート!$CF$32:$CG$34,2,FALSE),"")</f>
        <v/>
      </c>
      <c r="E154" s="572" t="str">
        <f>IF(足元帳!BB119&gt;0,VLOOKUP(足元帳!BB119,管理シート!#REF!,2,FALSE),"")</f>
        <v/>
      </c>
      <c r="F154" s="573"/>
      <c r="G154" s="574">
        <f>足元帳!J119</f>
        <v>0</v>
      </c>
      <c r="H154" s="575"/>
      <c r="I154" s="574">
        <f>足元帳!K119</f>
        <v>0</v>
      </c>
      <c r="J154" s="576"/>
      <c r="K154" s="575"/>
      <c r="L154" s="73" t="str">
        <f ca="1">IF(足元帳!AB119="●","無",IF(足元帳!AC119="●","半",IF(AG154="周年","半",IF(AG154="プレ6","半",IF(AG154="6割","半","")))))</f>
        <v/>
      </c>
      <c r="M154" s="115" t="str">
        <f>IF(足元帳!AM119="","","○")&amp;IF(足元帳!AL119="","","○")</f>
        <v/>
      </c>
      <c r="N154" s="115" t="str">
        <f>IF(足元帳!AN119="","","○")</f>
        <v/>
      </c>
      <c r="O154" s="587" t="str">
        <f>IF(足元帳!U119="","",足元帳!U119)</f>
        <v/>
      </c>
      <c r="P154" s="565"/>
      <c r="Q154" s="565"/>
      <c r="R154" s="565" t="str">
        <f>IF(足元帳!V119="","",足元帳!V119)</f>
        <v/>
      </c>
      <c r="S154" s="565"/>
      <c r="T154" s="565"/>
      <c r="U154" s="565" t="str">
        <f>IF(足元帳!W119="","",足元帳!W119)</f>
        <v/>
      </c>
      <c r="V154" s="565"/>
      <c r="W154" s="565"/>
      <c r="X154" s="565" t="str">
        <f>IF(足元帳!X119="","",足元帳!X119)</f>
        <v/>
      </c>
      <c r="Y154" s="565"/>
      <c r="Z154" s="565"/>
      <c r="AA154" s="565" t="str">
        <f>IF(足元帳!Y119="","",足元帳!Y119)</f>
        <v/>
      </c>
      <c r="AB154" s="565"/>
      <c r="AC154" s="565"/>
      <c r="AD154" s="565" t="str">
        <f>IF(足元帳!Z119="","",足元帳!Z119)</f>
        <v/>
      </c>
      <c r="AE154" s="565"/>
      <c r="AF154" s="566"/>
      <c r="AG154" s="587" t="str">
        <f ca="1">IF(ISERROR(MATCH("●",足元帳!AD119:AM119,0)),IF(足元帳!AM119="","",足元帳!$AM$1&amp;足元帳!AM119),INDIRECT("足元帳!R1C"&amp;MATCH("●",足元帳!AD119:AM119,0)+29,FALSE))</f>
        <v/>
      </c>
      <c r="AH154" s="565"/>
      <c r="AI154" s="565"/>
      <c r="AJ154" s="565"/>
      <c r="AK154" s="565" t="str">
        <f>IF(足元帳!AT119="","",足元帳!AT119)</f>
        <v/>
      </c>
      <c r="AL154" s="565"/>
      <c r="AM154" s="565"/>
      <c r="AN154" s="565"/>
      <c r="AO154" s="565"/>
      <c r="AP154" s="565"/>
      <c r="AQ154" s="588"/>
    </row>
    <row r="155" spans="1:43" ht="22.5" customHeight="1">
      <c r="A155" s="586">
        <f t="shared" si="8"/>
        <v>119</v>
      </c>
      <c r="B155" s="566"/>
      <c r="C155" s="73" t="str">
        <f>IF(足元帳!AY120=1,"N",IF(足元帳!AY120=2,"R",""))</f>
        <v/>
      </c>
      <c r="D155" s="74" t="str">
        <f>IF(足元帳!AZ120&gt;0,VLOOKUP(足元帳!AZ120,管理シート!$CF$32:$CG$34,2,FALSE),"")</f>
        <v/>
      </c>
      <c r="E155" s="572" t="str">
        <f>IF(足元帳!BB120&gt;0,VLOOKUP(足元帳!BB120,管理シート!#REF!,2,FALSE),"")</f>
        <v/>
      </c>
      <c r="F155" s="573"/>
      <c r="G155" s="574">
        <f>足元帳!J120</f>
        <v>0</v>
      </c>
      <c r="H155" s="575"/>
      <c r="I155" s="574">
        <f>足元帳!K120</f>
        <v>0</v>
      </c>
      <c r="J155" s="576"/>
      <c r="K155" s="575"/>
      <c r="L155" s="73" t="str">
        <f ca="1">IF(足元帳!AB120="●","無",IF(足元帳!AC120="●","半",IF(AG155="周年","半",IF(AG155="プレ6","半",IF(AG155="6割","半","")))))</f>
        <v/>
      </c>
      <c r="M155" s="115" t="str">
        <f>IF(足元帳!AM120="","","○")&amp;IF(足元帳!AL120="","","○")</f>
        <v/>
      </c>
      <c r="N155" s="115" t="str">
        <f>IF(足元帳!AN120="","","○")</f>
        <v/>
      </c>
      <c r="O155" s="587" t="str">
        <f>IF(足元帳!U120="","",足元帳!U120)</f>
        <v/>
      </c>
      <c r="P155" s="565"/>
      <c r="Q155" s="565"/>
      <c r="R155" s="565" t="str">
        <f>IF(足元帳!V120="","",足元帳!V120)</f>
        <v/>
      </c>
      <c r="S155" s="565"/>
      <c r="T155" s="565"/>
      <c r="U155" s="565" t="str">
        <f>IF(足元帳!W120="","",足元帳!W120)</f>
        <v/>
      </c>
      <c r="V155" s="565"/>
      <c r="W155" s="565"/>
      <c r="X155" s="565" t="str">
        <f>IF(足元帳!X120="","",足元帳!X120)</f>
        <v/>
      </c>
      <c r="Y155" s="565"/>
      <c r="Z155" s="565"/>
      <c r="AA155" s="565" t="str">
        <f>IF(足元帳!Y120="","",足元帳!Y120)</f>
        <v/>
      </c>
      <c r="AB155" s="565"/>
      <c r="AC155" s="565"/>
      <c r="AD155" s="565" t="str">
        <f>IF(足元帳!Z120="","",足元帳!Z120)</f>
        <v/>
      </c>
      <c r="AE155" s="565"/>
      <c r="AF155" s="566"/>
      <c r="AG155" s="587" t="str">
        <f ca="1">IF(ISERROR(MATCH("●",足元帳!AD120:AM120,0)),IF(足元帳!AM120="","",足元帳!$AM$1&amp;足元帳!AM120),INDIRECT("足元帳!R1C"&amp;MATCH("●",足元帳!AD120:AM120,0)+29,FALSE))</f>
        <v/>
      </c>
      <c r="AH155" s="565"/>
      <c r="AI155" s="565"/>
      <c r="AJ155" s="565"/>
      <c r="AK155" s="565" t="str">
        <f>IF(足元帳!AT120="","",足元帳!AT120)</f>
        <v/>
      </c>
      <c r="AL155" s="565"/>
      <c r="AM155" s="565"/>
      <c r="AN155" s="565"/>
      <c r="AO155" s="565"/>
      <c r="AP155" s="565"/>
      <c r="AQ155" s="588"/>
    </row>
    <row r="156" spans="1:43" ht="22.5" customHeight="1">
      <c r="A156" s="586">
        <f t="shared" si="8"/>
        <v>120</v>
      </c>
      <c r="B156" s="566"/>
      <c r="C156" s="73" t="str">
        <f>IF(足元帳!AY121=1,"N",IF(足元帳!AY121=2,"R",""))</f>
        <v/>
      </c>
      <c r="D156" s="74" t="str">
        <f>IF(足元帳!AZ121&gt;0,VLOOKUP(足元帳!AZ121,管理シート!$CF$32:$CG$34,2,FALSE),"")</f>
        <v/>
      </c>
      <c r="E156" s="572" t="str">
        <f>IF(足元帳!BB121&gt;0,VLOOKUP(足元帳!BB121,管理シート!#REF!,2,FALSE),"")</f>
        <v/>
      </c>
      <c r="F156" s="573"/>
      <c r="G156" s="574">
        <f>足元帳!J121</f>
        <v>0</v>
      </c>
      <c r="H156" s="575"/>
      <c r="I156" s="574">
        <f>足元帳!K121</f>
        <v>0</v>
      </c>
      <c r="J156" s="576"/>
      <c r="K156" s="575"/>
      <c r="L156" s="73" t="str">
        <f ca="1">IF(足元帳!AB121="●","無",IF(足元帳!AC121="●","半",IF(AG156="周年","半",IF(AG156="プレ6","半",IF(AG156="6割","半","")))))</f>
        <v/>
      </c>
      <c r="M156" s="115" t="str">
        <f>IF(足元帳!AM121="","","○")&amp;IF(足元帳!AL121="","","○")</f>
        <v/>
      </c>
      <c r="N156" s="115" t="str">
        <f>IF(足元帳!AN121="","","○")</f>
        <v/>
      </c>
      <c r="O156" s="587" t="str">
        <f>IF(足元帳!U121="","",足元帳!U121)</f>
        <v/>
      </c>
      <c r="P156" s="565"/>
      <c r="Q156" s="565"/>
      <c r="R156" s="565" t="str">
        <f>IF(足元帳!V121="","",足元帳!V121)</f>
        <v/>
      </c>
      <c r="S156" s="565"/>
      <c r="T156" s="565"/>
      <c r="U156" s="565" t="str">
        <f>IF(足元帳!W121="","",足元帳!W121)</f>
        <v/>
      </c>
      <c r="V156" s="565"/>
      <c r="W156" s="565"/>
      <c r="X156" s="565" t="str">
        <f>IF(足元帳!X121="","",足元帳!X121)</f>
        <v/>
      </c>
      <c r="Y156" s="565"/>
      <c r="Z156" s="565"/>
      <c r="AA156" s="565" t="str">
        <f>IF(足元帳!Y121="","",足元帳!Y121)</f>
        <v/>
      </c>
      <c r="AB156" s="565"/>
      <c r="AC156" s="565"/>
      <c r="AD156" s="565" t="str">
        <f>IF(足元帳!Z121="","",足元帳!Z121)</f>
        <v/>
      </c>
      <c r="AE156" s="565"/>
      <c r="AF156" s="566"/>
      <c r="AG156" s="587" t="str">
        <f ca="1">IF(ISERROR(MATCH("●",足元帳!AD121:AM121,0)),IF(足元帳!AM121="","",足元帳!$AM$1&amp;足元帳!AM121),INDIRECT("足元帳!R1C"&amp;MATCH("●",足元帳!AD121:AM121,0)+29,FALSE))</f>
        <v/>
      </c>
      <c r="AH156" s="565"/>
      <c r="AI156" s="565"/>
      <c r="AJ156" s="565"/>
      <c r="AK156" s="565" t="str">
        <f>IF(足元帳!AT121="","",足元帳!AT121)</f>
        <v/>
      </c>
      <c r="AL156" s="565"/>
      <c r="AM156" s="565"/>
      <c r="AN156" s="565"/>
      <c r="AO156" s="565"/>
      <c r="AP156" s="565"/>
      <c r="AQ156" s="588"/>
    </row>
    <row r="157" spans="1:43" ht="22.5" customHeight="1">
      <c r="A157" s="586">
        <f t="shared" si="8"/>
        <v>121</v>
      </c>
      <c r="B157" s="566"/>
      <c r="C157" s="73" t="str">
        <f>IF(足元帳!AY122=1,"N",IF(足元帳!AY122=2,"R",""))</f>
        <v/>
      </c>
      <c r="D157" s="74" t="str">
        <f>IF(足元帳!AZ122&gt;0,VLOOKUP(足元帳!AZ122,管理シート!$CF$32:$CG$34,2,FALSE),"")</f>
        <v/>
      </c>
      <c r="E157" s="572" t="str">
        <f>IF(足元帳!BB122&gt;0,VLOOKUP(足元帳!BB122,管理シート!#REF!,2,FALSE),"")</f>
        <v/>
      </c>
      <c r="F157" s="573"/>
      <c r="G157" s="574">
        <f>足元帳!J122</f>
        <v>0</v>
      </c>
      <c r="H157" s="575"/>
      <c r="I157" s="574">
        <f>足元帳!K122</f>
        <v>0</v>
      </c>
      <c r="J157" s="576"/>
      <c r="K157" s="575"/>
      <c r="L157" s="73" t="str">
        <f ca="1">IF(足元帳!AB122="●","無",IF(足元帳!AC122="●","半",IF(AG157="周年","半",IF(AG157="プレ6","半",IF(AG157="6割","半","")))))</f>
        <v/>
      </c>
      <c r="M157" s="115" t="str">
        <f>IF(足元帳!AM122="","","○")&amp;IF(足元帳!AL122="","","○")</f>
        <v/>
      </c>
      <c r="N157" s="115" t="str">
        <f>IF(足元帳!AN122="","","○")</f>
        <v/>
      </c>
      <c r="O157" s="587" t="str">
        <f>IF(足元帳!U122="","",足元帳!U122)</f>
        <v/>
      </c>
      <c r="P157" s="565"/>
      <c r="Q157" s="565"/>
      <c r="R157" s="565" t="str">
        <f>IF(足元帳!V122="","",足元帳!V122)</f>
        <v/>
      </c>
      <c r="S157" s="565"/>
      <c r="T157" s="565"/>
      <c r="U157" s="565" t="str">
        <f>IF(足元帳!W122="","",足元帳!W122)</f>
        <v/>
      </c>
      <c r="V157" s="565"/>
      <c r="W157" s="565"/>
      <c r="X157" s="565" t="str">
        <f>IF(足元帳!X122="","",足元帳!X122)</f>
        <v/>
      </c>
      <c r="Y157" s="565"/>
      <c r="Z157" s="565"/>
      <c r="AA157" s="565" t="str">
        <f>IF(足元帳!Y122="","",足元帳!Y122)</f>
        <v/>
      </c>
      <c r="AB157" s="565"/>
      <c r="AC157" s="565"/>
      <c r="AD157" s="565" t="str">
        <f>IF(足元帳!Z122="","",足元帳!Z122)</f>
        <v/>
      </c>
      <c r="AE157" s="565"/>
      <c r="AF157" s="566"/>
      <c r="AG157" s="587" t="str">
        <f ca="1">IF(ISERROR(MATCH("●",足元帳!AD122:AM122,0)),IF(足元帳!AM122="","",足元帳!$AM$1&amp;足元帳!AM122),INDIRECT("足元帳!R1C"&amp;MATCH("●",足元帳!AD122:AM122,0)+29,FALSE))</f>
        <v/>
      </c>
      <c r="AH157" s="565"/>
      <c r="AI157" s="565"/>
      <c r="AJ157" s="565"/>
      <c r="AK157" s="565" t="str">
        <f>IF(足元帳!AT122="","",足元帳!AT122)</f>
        <v/>
      </c>
      <c r="AL157" s="565"/>
      <c r="AM157" s="565"/>
      <c r="AN157" s="565"/>
      <c r="AO157" s="565"/>
      <c r="AP157" s="565"/>
      <c r="AQ157" s="588"/>
    </row>
    <row r="158" spans="1:43" ht="22.5" customHeight="1">
      <c r="A158" s="586">
        <f t="shared" si="8"/>
        <v>122</v>
      </c>
      <c r="B158" s="566"/>
      <c r="C158" s="73" t="str">
        <f>IF(足元帳!AY123=1,"N",IF(足元帳!AY123=2,"R",""))</f>
        <v/>
      </c>
      <c r="D158" s="74" t="str">
        <f>IF(足元帳!AZ123&gt;0,VLOOKUP(足元帳!AZ123,管理シート!$CF$32:$CG$34,2,FALSE),"")</f>
        <v/>
      </c>
      <c r="E158" s="572" t="str">
        <f>IF(足元帳!BB123&gt;0,VLOOKUP(足元帳!BB123,管理シート!#REF!,2,FALSE),"")</f>
        <v/>
      </c>
      <c r="F158" s="573"/>
      <c r="G158" s="574">
        <f>足元帳!J123</f>
        <v>0</v>
      </c>
      <c r="H158" s="575"/>
      <c r="I158" s="574">
        <f>足元帳!K123</f>
        <v>0</v>
      </c>
      <c r="J158" s="576"/>
      <c r="K158" s="575"/>
      <c r="L158" s="73" t="str">
        <f ca="1">IF(足元帳!AB123="●","無",IF(足元帳!AC123="●","半",IF(AG158="周年","半",IF(AG158="プレ6","半",IF(AG158="6割","半","")))))</f>
        <v/>
      </c>
      <c r="M158" s="115" t="str">
        <f>IF(足元帳!AM123="","","○")&amp;IF(足元帳!AL123="","","○")</f>
        <v/>
      </c>
      <c r="N158" s="115" t="str">
        <f>IF(足元帳!AN123="","","○")</f>
        <v/>
      </c>
      <c r="O158" s="587" t="str">
        <f>IF(足元帳!U123="","",足元帳!U123)</f>
        <v/>
      </c>
      <c r="P158" s="565"/>
      <c r="Q158" s="565"/>
      <c r="R158" s="565" t="str">
        <f>IF(足元帳!V123="","",足元帳!V123)</f>
        <v/>
      </c>
      <c r="S158" s="565"/>
      <c r="T158" s="565"/>
      <c r="U158" s="565" t="str">
        <f>IF(足元帳!W123="","",足元帳!W123)</f>
        <v/>
      </c>
      <c r="V158" s="565"/>
      <c r="W158" s="565"/>
      <c r="X158" s="565" t="str">
        <f>IF(足元帳!X123="","",足元帳!X123)</f>
        <v/>
      </c>
      <c r="Y158" s="565"/>
      <c r="Z158" s="565"/>
      <c r="AA158" s="565" t="str">
        <f>IF(足元帳!Y123="","",足元帳!Y123)</f>
        <v/>
      </c>
      <c r="AB158" s="565"/>
      <c r="AC158" s="565"/>
      <c r="AD158" s="565" t="str">
        <f>IF(足元帳!Z123="","",足元帳!Z123)</f>
        <v/>
      </c>
      <c r="AE158" s="565"/>
      <c r="AF158" s="566"/>
      <c r="AG158" s="587" t="str">
        <f ca="1">IF(ISERROR(MATCH("●",足元帳!AD123:AM123,0)),IF(足元帳!AM123="","",足元帳!$AM$1&amp;足元帳!AM123),INDIRECT("足元帳!R1C"&amp;MATCH("●",足元帳!AD123:AM123,0)+29,FALSE))</f>
        <v/>
      </c>
      <c r="AH158" s="565"/>
      <c r="AI158" s="565"/>
      <c r="AJ158" s="565"/>
      <c r="AK158" s="565" t="str">
        <f>IF(足元帳!AT123="","",足元帳!AT123)</f>
        <v/>
      </c>
      <c r="AL158" s="565"/>
      <c r="AM158" s="565"/>
      <c r="AN158" s="565"/>
      <c r="AO158" s="565"/>
      <c r="AP158" s="565"/>
      <c r="AQ158" s="588"/>
    </row>
    <row r="159" spans="1:43" ht="22.5" customHeight="1">
      <c r="A159" s="586">
        <f t="shared" si="8"/>
        <v>123</v>
      </c>
      <c r="B159" s="566"/>
      <c r="C159" s="73" t="str">
        <f>IF(足元帳!AY124=1,"N",IF(足元帳!AY124=2,"R",""))</f>
        <v/>
      </c>
      <c r="D159" s="74" t="str">
        <f>IF(足元帳!AZ124&gt;0,VLOOKUP(足元帳!AZ124,管理シート!$CF$32:$CG$34,2,FALSE),"")</f>
        <v/>
      </c>
      <c r="E159" s="572" t="str">
        <f>IF(足元帳!BB124&gt;0,VLOOKUP(足元帳!BB124,管理シート!#REF!,2,FALSE),"")</f>
        <v/>
      </c>
      <c r="F159" s="573"/>
      <c r="G159" s="574">
        <f>足元帳!J124</f>
        <v>0</v>
      </c>
      <c r="H159" s="575"/>
      <c r="I159" s="574">
        <f>足元帳!K124</f>
        <v>0</v>
      </c>
      <c r="J159" s="576"/>
      <c r="K159" s="575"/>
      <c r="L159" s="73" t="str">
        <f ca="1">IF(足元帳!AB124="●","無",IF(足元帳!AC124="●","半",IF(AG159="周年","半",IF(AG159="プレ6","半",IF(AG159="6割","半","")))))</f>
        <v/>
      </c>
      <c r="M159" s="115" t="str">
        <f>IF(足元帳!AM124="","","○")&amp;IF(足元帳!AL124="","","○")</f>
        <v/>
      </c>
      <c r="N159" s="115" t="str">
        <f>IF(足元帳!AN124="","","○")</f>
        <v/>
      </c>
      <c r="O159" s="587" t="str">
        <f>IF(足元帳!U124="","",足元帳!U124)</f>
        <v/>
      </c>
      <c r="P159" s="565"/>
      <c r="Q159" s="565"/>
      <c r="R159" s="565" t="str">
        <f>IF(足元帳!V124="","",足元帳!V124)</f>
        <v/>
      </c>
      <c r="S159" s="565"/>
      <c r="T159" s="565"/>
      <c r="U159" s="565" t="str">
        <f>IF(足元帳!W124="","",足元帳!W124)</f>
        <v/>
      </c>
      <c r="V159" s="565"/>
      <c r="W159" s="565"/>
      <c r="X159" s="565" t="str">
        <f>IF(足元帳!X124="","",足元帳!X124)</f>
        <v/>
      </c>
      <c r="Y159" s="565"/>
      <c r="Z159" s="565"/>
      <c r="AA159" s="565" t="str">
        <f>IF(足元帳!Y124="","",足元帳!Y124)</f>
        <v/>
      </c>
      <c r="AB159" s="565"/>
      <c r="AC159" s="565"/>
      <c r="AD159" s="565" t="str">
        <f>IF(足元帳!Z124="","",足元帳!Z124)</f>
        <v/>
      </c>
      <c r="AE159" s="565"/>
      <c r="AF159" s="566"/>
      <c r="AG159" s="587" t="str">
        <f ca="1">IF(ISERROR(MATCH("●",足元帳!AD124:AM124,0)),IF(足元帳!AM124="","",足元帳!$AM$1&amp;足元帳!AM124),INDIRECT("足元帳!R1C"&amp;MATCH("●",足元帳!AD124:AM124,0)+29,FALSE))</f>
        <v/>
      </c>
      <c r="AH159" s="565"/>
      <c r="AI159" s="565"/>
      <c r="AJ159" s="565"/>
      <c r="AK159" s="565" t="str">
        <f>IF(足元帳!AT124="","",足元帳!AT124)</f>
        <v/>
      </c>
      <c r="AL159" s="565"/>
      <c r="AM159" s="565"/>
      <c r="AN159" s="565"/>
      <c r="AO159" s="565"/>
      <c r="AP159" s="565"/>
      <c r="AQ159" s="588"/>
    </row>
    <row r="160" spans="1:43" ht="22.5" customHeight="1">
      <c r="A160" s="586">
        <f t="shared" si="8"/>
        <v>124</v>
      </c>
      <c r="B160" s="566"/>
      <c r="C160" s="73" t="str">
        <f>IF(足元帳!AY125=1,"N",IF(足元帳!AY125=2,"R",""))</f>
        <v/>
      </c>
      <c r="D160" s="74" t="str">
        <f>IF(足元帳!AZ125&gt;0,VLOOKUP(足元帳!AZ125,管理シート!$CF$32:$CG$34,2,FALSE),"")</f>
        <v/>
      </c>
      <c r="E160" s="572" t="str">
        <f>IF(足元帳!BB125&gt;0,VLOOKUP(足元帳!BB125,管理シート!#REF!,2,FALSE),"")</f>
        <v/>
      </c>
      <c r="F160" s="573"/>
      <c r="G160" s="574">
        <f>足元帳!J125</f>
        <v>0</v>
      </c>
      <c r="H160" s="575"/>
      <c r="I160" s="574">
        <f>足元帳!K125</f>
        <v>0</v>
      </c>
      <c r="J160" s="576"/>
      <c r="K160" s="575"/>
      <c r="L160" s="73" t="str">
        <f ca="1">IF(足元帳!AB125="●","無",IF(足元帳!AC125="●","半",IF(AG160="周年","半",IF(AG160="プレ6","半",IF(AG160="6割","半","")))))</f>
        <v/>
      </c>
      <c r="M160" s="115" t="str">
        <f>IF(足元帳!AM125="","","○")&amp;IF(足元帳!AL125="","","○")</f>
        <v/>
      </c>
      <c r="N160" s="115" t="str">
        <f>IF(足元帳!AN125="","","○")</f>
        <v/>
      </c>
      <c r="O160" s="587" t="str">
        <f>IF(足元帳!U125="","",足元帳!U125)</f>
        <v/>
      </c>
      <c r="P160" s="565"/>
      <c r="Q160" s="565"/>
      <c r="R160" s="565" t="str">
        <f>IF(足元帳!V125="","",足元帳!V125)</f>
        <v/>
      </c>
      <c r="S160" s="565"/>
      <c r="T160" s="565"/>
      <c r="U160" s="565" t="str">
        <f>IF(足元帳!W125="","",足元帳!W125)</f>
        <v/>
      </c>
      <c r="V160" s="565"/>
      <c r="W160" s="565"/>
      <c r="X160" s="565" t="str">
        <f>IF(足元帳!X125="","",足元帳!X125)</f>
        <v/>
      </c>
      <c r="Y160" s="565"/>
      <c r="Z160" s="565"/>
      <c r="AA160" s="565" t="str">
        <f>IF(足元帳!Y125="","",足元帳!Y125)</f>
        <v/>
      </c>
      <c r="AB160" s="565"/>
      <c r="AC160" s="565"/>
      <c r="AD160" s="565" t="str">
        <f>IF(足元帳!Z125="","",足元帳!Z125)</f>
        <v/>
      </c>
      <c r="AE160" s="565"/>
      <c r="AF160" s="566"/>
      <c r="AG160" s="587" t="str">
        <f ca="1">IF(ISERROR(MATCH("●",足元帳!AD125:AM125,0)),IF(足元帳!AM125="","",足元帳!$AM$1&amp;足元帳!AM125),INDIRECT("足元帳!R1C"&amp;MATCH("●",足元帳!AD125:AM125,0)+29,FALSE))</f>
        <v/>
      </c>
      <c r="AH160" s="565"/>
      <c r="AI160" s="565"/>
      <c r="AJ160" s="565"/>
      <c r="AK160" s="565" t="str">
        <f>IF(足元帳!AT125="","",足元帳!AT125)</f>
        <v/>
      </c>
      <c r="AL160" s="565"/>
      <c r="AM160" s="565"/>
      <c r="AN160" s="565"/>
      <c r="AO160" s="565"/>
      <c r="AP160" s="565"/>
      <c r="AQ160" s="588"/>
    </row>
    <row r="161" spans="1:43" ht="22.5" customHeight="1">
      <c r="A161" s="586">
        <f t="shared" si="8"/>
        <v>125</v>
      </c>
      <c r="B161" s="566"/>
      <c r="C161" s="73" t="str">
        <f>IF(足元帳!AY126=1,"N",IF(足元帳!AY126=2,"R",""))</f>
        <v/>
      </c>
      <c r="D161" s="74" t="str">
        <f>IF(足元帳!AZ126&gt;0,VLOOKUP(足元帳!AZ126,管理シート!$CF$32:$CG$34,2,FALSE),"")</f>
        <v/>
      </c>
      <c r="E161" s="572" t="str">
        <f>IF(足元帳!BB126&gt;0,VLOOKUP(足元帳!BB126,管理シート!#REF!,2,FALSE),"")</f>
        <v/>
      </c>
      <c r="F161" s="573"/>
      <c r="G161" s="574">
        <f>足元帳!J126</f>
        <v>0</v>
      </c>
      <c r="H161" s="575"/>
      <c r="I161" s="574">
        <f>足元帳!K126</f>
        <v>0</v>
      </c>
      <c r="J161" s="576"/>
      <c r="K161" s="575"/>
      <c r="L161" s="73" t="str">
        <f ca="1">IF(足元帳!AB126="●","無",IF(足元帳!AC126="●","半",IF(AG161="周年","半",IF(AG161="プレ6","半",IF(AG161="6割","半","")))))</f>
        <v/>
      </c>
      <c r="M161" s="115" t="str">
        <f>IF(足元帳!AM126="","","○")&amp;IF(足元帳!AL126="","","○")</f>
        <v/>
      </c>
      <c r="N161" s="115" t="str">
        <f>IF(足元帳!AN126="","","○")</f>
        <v/>
      </c>
      <c r="O161" s="587" t="str">
        <f>IF(足元帳!U126="","",足元帳!U126)</f>
        <v/>
      </c>
      <c r="P161" s="565"/>
      <c r="Q161" s="565"/>
      <c r="R161" s="565" t="str">
        <f>IF(足元帳!V126="","",足元帳!V126)</f>
        <v/>
      </c>
      <c r="S161" s="565"/>
      <c r="T161" s="565"/>
      <c r="U161" s="565" t="str">
        <f>IF(足元帳!W126="","",足元帳!W126)</f>
        <v/>
      </c>
      <c r="V161" s="565"/>
      <c r="W161" s="565"/>
      <c r="X161" s="565" t="str">
        <f>IF(足元帳!X126="","",足元帳!X126)</f>
        <v/>
      </c>
      <c r="Y161" s="565"/>
      <c r="Z161" s="565"/>
      <c r="AA161" s="565" t="str">
        <f>IF(足元帳!Y126="","",足元帳!Y126)</f>
        <v/>
      </c>
      <c r="AB161" s="565"/>
      <c r="AC161" s="565"/>
      <c r="AD161" s="565" t="str">
        <f>IF(足元帳!Z126="","",足元帳!Z126)</f>
        <v/>
      </c>
      <c r="AE161" s="565"/>
      <c r="AF161" s="566"/>
      <c r="AG161" s="587" t="str">
        <f ca="1">IF(ISERROR(MATCH("●",足元帳!AD126:AM126,0)),IF(足元帳!AM126="","",足元帳!$AM$1&amp;足元帳!AM126),INDIRECT("足元帳!R1C"&amp;MATCH("●",足元帳!AD126:AM126,0)+29,FALSE))</f>
        <v/>
      </c>
      <c r="AH161" s="565"/>
      <c r="AI161" s="565"/>
      <c r="AJ161" s="565"/>
      <c r="AK161" s="565" t="str">
        <f>IF(足元帳!AT126="","",足元帳!AT126)</f>
        <v/>
      </c>
      <c r="AL161" s="565"/>
      <c r="AM161" s="565"/>
      <c r="AN161" s="565"/>
      <c r="AO161" s="565"/>
      <c r="AP161" s="565"/>
      <c r="AQ161" s="588"/>
    </row>
    <row r="162" spans="1:43" ht="22.5" customHeight="1">
      <c r="A162" s="586">
        <f t="shared" si="8"/>
        <v>126</v>
      </c>
      <c r="B162" s="566"/>
      <c r="C162" s="73" t="str">
        <f>IF(足元帳!AY127=1,"N",IF(足元帳!AY127=2,"R",""))</f>
        <v/>
      </c>
      <c r="D162" s="74" t="str">
        <f>IF(足元帳!AZ127&gt;0,VLOOKUP(足元帳!AZ127,管理シート!$CF$32:$CG$34,2,FALSE),"")</f>
        <v/>
      </c>
      <c r="E162" s="572" t="str">
        <f>IF(足元帳!BB127&gt;0,VLOOKUP(足元帳!BB127,管理シート!#REF!,2,FALSE),"")</f>
        <v/>
      </c>
      <c r="F162" s="573"/>
      <c r="G162" s="574">
        <f>足元帳!J127</f>
        <v>0</v>
      </c>
      <c r="H162" s="575"/>
      <c r="I162" s="574">
        <f>足元帳!K127</f>
        <v>0</v>
      </c>
      <c r="J162" s="576"/>
      <c r="K162" s="575"/>
      <c r="L162" s="73" t="str">
        <f ca="1">IF(足元帳!AB127="●","無",IF(足元帳!AC127="●","半",IF(AG162="周年","半",IF(AG162="プレ6","半",IF(AG162="6割","半","")))))</f>
        <v/>
      </c>
      <c r="M162" s="115" t="str">
        <f>IF(足元帳!AM127="","","○")&amp;IF(足元帳!AL127="","","○")</f>
        <v/>
      </c>
      <c r="N162" s="115" t="str">
        <f>IF(足元帳!AN127="","","○")</f>
        <v/>
      </c>
      <c r="O162" s="587" t="str">
        <f>IF(足元帳!U127="","",足元帳!U127)</f>
        <v/>
      </c>
      <c r="P162" s="565"/>
      <c r="Q162" s="565"/>
      <c r="R162" s="565" t="str">
        <f>IF(足元帳!V127="","",足元帳!V127)</f>
        <v/>
      </c>
      <c r="S162" s="565"/>
      <c r="T162" s="565"/>
      <c r="U162" s="565" t="str">
        <f>IF(足元帳!W127="","",足元帳!W127)</f>
        <v/>
      </c>
      <c r="V162" s="565"/>
      <c r="W162" s="565"/>
      <c r="X162" s="565" t="str">
        <f>IF(足元帳!X127="","",足元帳!X127)</f>
        <v/>
      </c>
      <c r="Y162" s="565"/>
      <c r="Z162" s="565"/>
      <c r="AA162" s="565" t="str">
        <f>IF(足元帳!Y127="","",足元帳!Y127)</f>
        <v/>
      </c>
      <c r="AB162" s="565"/>
      <c r="AC162" s="565"/>
      <c r="AD162" s="565" t="str">
        <f>IF(足元帳!Z127="","",足元帳!Z127)</f>
        <v/>
      </c>
      <c r="AE162" s="565"/>
      <c r="AF162" s="566"/>
      <c r="AG162" s="587" t="str">
        <f ca="1">IF(ISERROR(MATCH("●",足元帳!AD127:AM127,0)),IF(足元帳!AM127="","",足元帳!$AM$1&amp;足元帳!AM127),INDIRECT("足元帳!R1C"&amp;MATCH("●",足元帳!AD127:AM127,0)+29,FALSE))</f>
        <v/>
      </c>
      <c r="AH162" s="565"/>
      <c r="AI162" s="565"/>
      <c r="AJ162" s="565"/>
      <c r="AK162" s="565" t="str">
        <f>IF(足元帳!AT127="","",足元帳!AT127)</f>
        <v/>
      </c>
      <c r="AL162" s="565"/>
      <c r="AM162" s="565"/>
      <c r="AN162" s="565"/>
      <c r="AO162" s="565"/>
      <c r="AP162" s="565"/>
      <c r="AQ162" s="588"/>
    </row>
    <row r="163" spans="1:43" ht="22.5" customHeight="1">
      <c r="A163" s="586">
        <f t="shared" si="8"/>
        <v>127</v>
      </c>
      <c r="B163" s="566"/>
      <c r="C163" s="73" t="str">
        <f>IF(足元帳!AY128=1,"N",IF(足元帳!AY128=2,"R",""))</f>
        <v/>
      </c>
      <c r="D163" s="74" t="str">
        <f>IF(足元帳!AZ128&gt;0,VLOOKUP(足元帳!AZ128,管理シート!$CF$32:$CG$34,2,FALSE),"")</f>
        <v/>
      </c>
      <c r="E163" s="572" t="str">
        <f>IF(足元帳!BB128&gt;0,VLOOKUP(足元帳!BB128,管理シート!#REF!,2,FALSE),"")</f>
        <v/>
      </c>
      <c r="F163" s="573"/>
      <c r="G163" s="574">
        <f>足元帳!J128</f>
        <v>0</v>
      </c>
      <c r="H163" s="575"/>
      <c r="I163" s="574">
        <f>足元帳!K128</f>
        <v>0</v>
      </c>
      <c r="J163" s="576"/>
      <c r="K163" s="575"/>
      <c r="L163" s="73" t="str">
        <f ca="1">IF(足元帳!AB128="●","無",IF(足元帳!AC128="●","半",IF(AG163="周年","半",IF(AG163="プレ6","半",IF(AG163="6割","半","")))))</f>
        <v/>
      </c>
      <c r="M163" s="115" t="str">
        <f>IF(足元帳!AM128="","","○")&amp;IF(足元帳!AL128="","","○")</f>
        <v/>
      </c>
      <c r="N163" s="115" t="str">
        <f>IF(足元帳!AN128="","","○")</f>
        <v/>
      </c>
      <c r="O163" s="587" t="str">
        <f>IF(足元帳!U128="","",足元帳!U128)</f>
        <v/>
      </c>
      <c r="P163" s="565"/>
      <c r="Q163" s="565"/>
      <c r="R163" s="565" t="str">
        <f>IF(足元帳!V128="","",足元帳!V128)</f>
        <v/>
      </c>
      <c r="S163" s="565"/>
      <c r="T163" s="565"/>
      <c r="U163" s="565" t="str">
        <f>IF(足元帳!W128="","",足元帳!W128)</f>
        <v/>
      </c>
      <c r="V163" s="565"/>
      <c r="W163" s="565"/>
      <c r="X163" s="565" t="str">
        <f>IF(足元帳!X128="","",足元帳!X128)</f>
        <v/>
      </c>
      <c r="Y163" s="565"/>
      <c r="Z163" s="565"/>
      <c r="AA163" s="565" t="str">
        <f>IF(足元帳!Y128="","",足元帳!Y128)</f>
        <v/>
      </c>
      <c r="AB163" s="565"/>
      <c r="AC163" s="565"/>
      <c r="AD163" s="565" t="str">
        <f>IF(足元帳!Z128="","",足元帳!Z128)</f>
        <v/>
      </c>
      <c r="AE163" s="565"/>
      <c r="AF163" s="566"/>
      <c r="AG163" s="587" t="str">
        <f ca="1">IF(ISERROR(MATCH("●",足元帳!AD128:AM128,0)),IF(足元帳!AM128="","",足元帳!$AM$1&amp;足元帳!AM128),INDIRECT("足元帳!R1C"&amp;MATCH("●",足元帳!AD128:AM128,0)+29,FALSE))</f>
        <v/>
      </c>
      <c r="AH163" s="565"/>
      <c r="AI163" s="565"/>
      <c r="AJ163" s="565"/>
      <c r="AK163" s="565" t="str">
        <f>IF(足元帳!AT128="","",足元帳!AT128)</f>
        <v/>
      </c>
      <c r="AL163" s="565"/>
      <c r="AM163" s="565"/>
      <c r="AN163" s="565"/>
      <c r="AO163" s="565"/>
      <c r="AP163" s="565"/>
      <c r="AQ163" s="588"/>
    </row>
    <row r="164" spans="1:43" ht="22.5" customHeight="1">
      <c r="A164" s="586">
        <f t="shared" si="8"/>
        <v>128</v>
      </c>
      <c r="B164" s="566"/>
      <c r="C164" s="73" t="str">
        <f>IF(足元帳!AY129=1,"N",IF(足元帳!AY129=2,"R",""))</f>
        <v/>
      </c>
      <c r="D164" s="74" t="str">
        <f>IF(足元帳!AZ129&gt;0,VLOOKUP(足元帳!AZ129,管理シート!$CF$32:$CG$34,2,FALSE),"")</f>
        <v/>
      </c>
      <c r="E164" s="572" t="str">
        <f>IF(足元帳!BB129&gt;0,VLOOKUP(足元帳!BB129,管理シート!#REF!,2,FALSE),"")</f>
        <v/>
      </c>
      <c r="F164" s="573"/>
      <c r="G164" s="574">
        <f>足元帳!J129</f>
        <v>0</v>
      </c>
      <c r="H164" s="575"/>
      <c r="I164" s="574">
        <f>足元帳!K129</f>
        <v>0</v>
      </c>
      <c r="J164" s="576"/>
      <c r="K164" s="575"/>
      <c r="L164" s="73" t="str">
        <f ca="1">IF(足元帳!AB129="●","無",IF(足元帳!AC129="●","半",IF(AG164="周年","半",IF(AG164="プレ6","半",IF(AG164="6割","半","")))))</f>
        <v/>
      </c>
      <c r="M164" s="115" t="str">
        <f>IF(足元帳!AM129="","","○")&amp;IF(足元帳!AL129="","","○")</f>
        <v/>
      </c>
      <c r="N164" s="115" t="str">
        <f>IF(足元帳!AN129="","","○")</f>
        <v/>
      </c>
      <c r="O164" s="587" t="str">
        <f>IF(足元帳!U129="","",足元帳!U129)</f>
        <v/>
      </c>
      <c r="P164" s="565"/>
      <c r="Q164" s="565"/>
      <c r="R164" s="565" t="str">
        <f>IF(足元帳!V129="","",足元帳!V129)</f>
        <v/>
      </c>
      <c r="S164" s="565"/>
      <c r="T164" s="565"/>
      <c r="U164" s="565" t="str">
        <f>IF(足元帳!W129="","",足元帳!W129)</f>
        <v/>
      </c>
      <c r="V164" s="565"/>
      <c r="W164" s="565"/>
      <c r="X164" s="565" t="str">
        <f>IF(足元帳!X129="","",足元帳!X129)</f>
        <v/>
      </c>
      <c r="Y164" s="565"/>
      <c r="Z164" s="565"/>
      <c r="AA164" s="565" t="str">
        <f>IF(足元帳!Y129="","",足元帳!Y129)</f>
        <v/>
      </c>
      <c r="AB164" s="565"/>
      <c r="AC164" s="565"/>
      <c r="AD164" s="565" t="str">
        <f>IF(足元帳!Z129="","",足元帳!Z129)</f>
        <v/>
      </c>
      <c r="AE164" s="565"/>
      <c r="AF164" s="566"/>
      <c r="AG164" s="587" t="str">
        <f ca="1">IF(ISERROR(MATCH("●",足元帳!AD129:AM129,0)),IF(足元帳!AM129="","",足元帳!$AM$1&amp;足元帳!AM129),INDIRECT("足元帳!R1C"&amp;MATCH("●",足元帳!AD129:AM129,0)+29,FALSE))</f>
        <v/>
      </c>
      <c r="AH164" s="565"/>
      <c r="AI164" s="565"/>
      <c r="AJ164" s="565"/>
      <c r="AK164" s="565" t="str">
        <f>IF(足元帳!AT129="","",足元帳!AT129)</f>
        <v/>
      </c>
      <c r="AL164" s="565"/>
      <c r="AM164" s="565"/>
      <c r="AN164" s="565"/>
      <c r="AO164" s="565"/>
      <c r="AP164" s="565"/>
      <c r="AQ164" s="588"/>
    </row>
    <row r="165" spans="1:43" ht="22.5" customHeight="1">
      <c r="A165" s="586">
        <f t="shared" si="8"/>
        <v>129</v>
      </c>
      <c r="B165" s="566"/>
      <c r="C165" s="73" t="str">
        <f>IF(足元帳!AY130=1,"N",IF(足元帳!AY130=2,"R",""))</f>
        <v/>
      </c>
      <c r="D165" s="74" t="str">
        <f>IF(足元帳!AZ130&gt;0,VLOOKUP(足元帳!AZ130,管理シート!$CF$32:$CG$34,2,FALSE),"")</f>
        <v/>
      </c>
      <c r="E165" s="572" t="str">
        <f>IF(足元帳!BB130&gt;0,VLOOKUP(足元帳!BB130,管理シート!#REF!,2,FALSE),"")</f>
        <v/>
      </c>
      <c r="F165" s="573"/>
      <c r="G165" s="574">
        <f>足元帳!J130</f>
        <v>0</v>
      </c>
      <c r="H165" s="575"/>
      <c r="I165" s="574">
        <f>足元帳!K130</f>
        <v>0</v>
      </c>
      <c r="J165" s="576"/>
      <c r="K165" s="575"/>
      <c r="L165" s="73" t="str">
        <f ca="1">IF(足元帳!AB130="●","無",IF(足元帳!AC130="●","半",IF(AG165="周年","半",IF(AG165="プレ6","半",IF(AG165="6割","半","")))))</f>
        <v/>
      </c>
      <c r="M165" s="115" t="str">
        <f>IF(足元帳!AM130="","","○")&amp;IF(足元帳!AL130="","","○")</f>
        <v/>
      </c>
      <c r="N165" s="115" t="str">
        <f>IF(足元帳!AN130="","","○")</f>
        <v/>
      </c>
      <c r="O165" s="587" t="str">
        <f>IF(足元帳!U130="","",足元帳!U130)</f>
        <v/>
      </c>
      <c r="P165" s="565"/>
      <c r="Q165" s="565"/>
      <c r="R165" s="565" t="str">
        <f>IF(足元帳!V130="","",足元帳!V130)</f>
        <v/>
      </c>
      <c r="S165" s="565"/>
      <c r="T165" s="565"/>
      <c r="U165" s="565" t="str">
        <f>IF(足元帳!W130="","",足元帳!W130)</f>
        <v/>
      </c>
      <c r="V165" s="565"/>
      <c r="W165" s="565"/>
      <c r="X165" s="565" t="str">
        <f>IF(足元帳!X130="","",足元帳!X130)</f>
        <v/>
      </c>
      <c r="Y165" s="565"/>
      <c r="Z165" s="565"/>
      <c r="AA165" s="565" t="str">
        <f>IF(足元帳!Y130="","",足元帳!Y130)</f>
        <v/>
      </c>
      <c r="AB165" s="565"/>
      <c r="AC165" s="565"/>
      <c r="AD165" s="565" t="str">
        <f>IF(足元帳!Z130="","",足元帳!Z130)</f>
        <v/>
      </c>
      <c r="AE165" s="565"/>
      <c r="AF165" s="566"/>
      <c r="AG165" s="587" t="str">
        <f ca="1">IF(ISERROR(MATCH("●",足元帳!AD130:AM130,0)),IF(足元帳!AM130="","",足元帳!$AM$1&amp;足元帳!AM130),INDIRECT("足元帳!R1C"&amp;MATCH("●",足元帳!AD130:AM130,0)+29,FALSE))</f>
        <v/>
      </c>
      <c r="AH165" s="565"/>
      <c r="AI165" s="565"/>
      <c r="AJ165" s="565"/>
      <c r="AK165" s="565" t="str">
        <f>IF(足元帳!AT130="","",足元帳!AT130)</f>
        <v/>
      </c>
      <c r="AL165" s="565"/>
      <c r="AM165" s="565"/>
      <c r="AN165" s="565"/>
      <c r="AO165" s="565"/>
      <c r="AP165" s="565"/>
      <c r="AQ165" s="588"/>
    </row>
    <row r="166" spans="1:43" ht="22.5" customHeight="1">
      <c r="A166" s="586">
        <f t="shared" si="8"/>
        <v>130</v>
      </c>
      <c r="B166" s="566"/>
      <c r="C166" s="73" t="str">
        <f>IF(足元帳!AY131=1,"N",IF(足元帳!AY131=2,"R",""))</f>
        <v/>
      </c>
      <c r="D166" s="74" t="str">
        <f>IF(足元帳!AZ131&gt;0,VLOOKUP(足元帳!AZ131,管理シート!$CF$32:$CG$34,2,FALSE),"")</f>
        <v/>
      </c>
      <c r="E166" s="572" t="str">
        <f>IF(足元帳!BB131&gt;0,VLOOKUP(足元帳!BB131,管理シート!#REF!,2,FALSE),"")</f>
        <v/>
      </c>
      <c r="F166" s="573"/>
      <c r="G166" s="574">
        <f>足元帳!J131</f>
        <v>0</v>
      </c>
      <c r="H166" s="575"/>
      <c r="I166" s="574">
        <f>足元帳!K131</f>
        <v>0</v>
      </c>
      <c r="J166" s="576"/>
      <c r="K166" s="575"/>
      <c r="L166" s="73" t="str">
        <f ca="1">IF(足元帳!AB131="●","無",IF(足元帳!AC131="●","半",IF(AG166="周年","半",IF(AG166="プレ6","半",IF(AG166="6割","半","")))))</f>
        <v/>
      </c>
      <c r="M166" s="115" t="str">
        <f>IF(足元帳!AM131="","","○")&amp;IF(足元帳!AL131="","","○")</f>
        <v/>
      </c>
      <c r="N166" s="115" t="str">
        <f>IF(足元帳!AN131="","","○")</f>
        <v/>
      </c>
      <c r="O166" s="587" t="str">
        <f>IF(足元帳!U131="","",足元帳!U131)</f>
        <v/>
      </c>
      <c r="P166" s="565"/>
      <c r="Q166" s="565"/>
      <c r="R166" s="565" t="str">
        <f>IF(足元帳!V131="","",足元帳!V131)</f>
        <v/>
      </c>
      <c r="S166" s="565"/>
      <c r="T166" s="565"/>
      <c r="U166" s="565" t="str">
        <f>IF(足元帳!W131="","",足元帳!W131)</f>
        <v/>
      </c>
      <c r="V166" s="565"/>
      <c r="W166" s="565"/>
      <c r="X166" s="565" t="str">
        <f>IF(足元帳!X131="","",足元帳!X131)</f>
        <v/>
      </c>
      <c r="Y166" s="565"/>
      <c r="Z166" s="565"/>
      <c r="AA166" s="565" t="str">
        <f>IF(足元帳!Y131="","",足元帳!Y131)</f>
        <v/>
      </c>
      <c r="AB166" s="565"/>
      <c r="AC166" s="565"/>
      <c r="AD166" s="565" t="str">
        <f>IF(足元帳!Z131="","",足元帳!Z131)</f>
        <v/>
      </c>
      <c r="AE166" s="565"/>
      <c r="AF166" s="566"/>
      <c r="AG166" s="587" t="str">
        <f ca="1">IF(ISERROR(MATCH("●",足元帳!AD131:AM131,0)),IF(足元帳!AM131="","",足元帳!$AM$1&amp;足元帳!AM131),INDIRECT("足元帳!R1C"&amp;MATCH("●",足元帳!AD131:AM131,0)+29,FALSE))</f>
        <v/>
      </c>
      <c r="AH166" s="565"/>
      <c r="AI166" s="565"/>
      <c r="AJ166" s="565"/>
      <c r="AK166" s="565" t="str">
        <f>IF(足元帳!AT131="","",足元帳!AT131)</f>
        <v/>
      </c>
      <c r="AL166" s="565"/>
      <c r="AM166" s="565"/>
      <c r="AN166" s="565"/>
      <c r="AO166" s="565"/>
      <c r="AP166" s="565"/>
      <c r="AQ166" s="588"/>
    </row>
    <row r="167" spans="1:43" ht="22.5" customHeight="1">
      <c r="A167" s="586">
        <f t="shared" si="8"/>
        <v>131</v>
      </c>
      <c r="B167" s="566"/>
      <c r="C167" s="73" t="str">
        <f>IF(足元帳!AY132=1,"N",IF(足元帳!AY132=2,"R",""))</f>
        <v/>
      </c>
      <c r="D167" s="74" t="str">
        <f>IF(足元帳!AZ132&gt;0,VLOOKUP(足元帳!AZ132,管理シート!$CF$32:$CG$34,2,FALSE),"")</f>
        <v/>
      </c>
      <c r="E167" s="572" t="str">
        <f>IF(足元帳!BB132&gt;0,VLOOKUP(足元帳!BB132,管理シート!#REF!,2,FALSE),"")</f>
        <v/>
      </c>
      <c r="F167" s="573"/>
      <c r="G167" s="574">
        <f>足元帳!J132</f>
        <v>0</v>
      </c>
      <c r="H167" s="575"/>
      <c r="I167" s="574">
        <f>足元帳!K132</f>
        <v>0</v>
      </c>
      <c r="J167" s="576"/>
      <c r="K167" s="575"/>
      <c r="L167" s="73" t="str">
        <f ca="1">IF(足元帳!AB132="●","無",IF(足元帳!AC132="●","半",IF(AG167="周年","半",IF(AG167="プレ6","半",IF(AG167="6割","半","")))))</f>
        <v/>
      </c>
      <c r="M167" s="115" t="str">
        <f>IF(足元帳!AM132="","","○")&amp;IF(足元帳!AL132="","","○")</f>
        <v/>
      </c>
      <c r="N167" s="115" t="str">
        <f>IF(足元帳!AN132="","","○")</f>
        <v/>
      </c>
      <c r="O167" s="587" t="str">
        <f>IF(足元帳!U132="","",足元帳!U132)</f>
        <v/>
      </c>
      <c r="P167" s="565"/>
      <c r="Q167" s="565"/>
      <c r="R167" s="565" t="str">
        <f>IF(足元帳!V132="","",足元帳!V132)</f>
        <v/>
      </c>
      <c r="S167" s="565"/>
      <c r="T167" s="565"/>
      <c r="U167" s="565" t="str">
        <f>IF(足元帳!W132="","",足元帳!W132)</f>
        <v/>
      </c>
      <c r="V167" s="565"/>
      <c r="W167" s="565"/>
      <c r="X167" s="565" t="str">
        <f>IF(足元帳!X132="","",足元帳!X132)</f>
        <v/>
      </c>
      <c r="Y167" s="565"/>
      <c r="Z167" s="565"/>
      <c r="AA167" s="565" t="str">
        <f>IF(足元帳!Y132="","",足元帳!Y132)</f>
        <v/>
      </c>
      <c r="AB167" s="565"/>
      <c r="AC167" s="565"/>
      <c r="AD167" s="565" t="str">
        <f>IF(足元帳!Z132="","",足元帳!Z132)</f>
        <v/>
      </c>
      <c r="AE167" s="565"/>
      <c r="AF167" s="566"/>
      <c r="AG167" s="587" t="str">
        <f ca="1">IF(ISERROR(MATCH("●",足元帳!AD132:AM132,0)),IF(足元帳!AM132="","",足元帳!$AM$1&amp;足元帳!AM132),INDIRECT("足元帳!R1C"&amp;MATCH("●",足元帳!AD132:AM132,0)+29,FALSE))</f>
        <v/>
      </c>
      <c r="AH167" s="565"/>
      <c r="AI167" s="565"/>
      <c r="AJ167" s="565"/>
      <c r="AK167" s="565" t="str">
        <f>IF(足元帳!AT132="","",足元帳!AT132)</f>
        <v/>
      </c>
      <c r="AL167" s="565"/>
      <c r="AM167" s="565"/>
      <c r="AN167" s="565"/>
      <c r="AO167" s="565"/>
      <c r="AP167" s="565"/>
      <c r="AQ167" s="588"/>
    </row>
    <row r="168" spans="1:43" ht="22.5" customHeight="1">
      <c r="A168" s="586">
        <f t="shared" si="8"/>
        <v>132</v>
      </c>
      <c r="B168" s="566"/>
      <c r="C168" s="73" t="str">
        <f>IF(足元帳!AY133=1,"N",IF(足元帳!AY133=2,"R",""))</f>
        <v/>
      </c>
      <c r="D168" s="74" t="str">
        <f>IF(足元帳!AZ133&gt;0,VLOOKUP(足元帳!AZ133,管理シート!$CF$32:$CG$34,2,FALSE),"")</f>
        <v/>
      </c>
      <c r="E168" s="572" t="str">
        <f>IF(足元帳!BB133&gt;0,VLOOKUP(足元帳!BB133,管理シート!#REF!,2,FALSE),"")</f>
        <v/>
      </c>
      <c r="F168" s="573"/>
      <c r="G168" s="574">
        <f>足元帳!J133</f>
        <v>0</v>
      </c>
      <c r="H168" s="575"/>
      <c r="I168" s="574">
        <f>足元帳!K133</f>
        <v>0</v>
      </c>
      <c r="J168" s="576"/>
      <c r="K168" s="575"/>
      <c r="L168" s="73" t="str">
        <f ca="1">IF(足元帳!AB133="●","無",IF(足元帳!AC133="●","半",IF(AG168="周年","半",IF(AG168="プレ6","半",IF(AG168="6割","半","")))))</f>
        <v/>
      </c>
      <c r="M168" s="116" t="str">
        <f>IF(足元帳!AM133="","","○")&amp;IF(足元帳!AL133="","","○")</f>
        <v/>
      </c>
      <c r="N168" s="116" t="str">
        <f>IF(足元帳!AN133="","","○")</f>
        <v/>
      </c>
      <c r="O168" s="587" t="str">
        <f>IF(足元帳!U133="","",足元帳!U133)</f>
        <v/>
      </c>
      <c r="P168" s="565"/>
      <c r="Q168" s="565"/>
      <c r="R168" s="565" t="str">
        <f>IF(足元帳!V133="","",足元帳!V133)</f>
        <v/>
      </c>
      <c r="S168" s="565"/>
      <c r="T168" s="565"/>
      <c r="U168" s="565" t="str">
        <f>IF(足元帳!W133="","",足元帳!W133)</f>
        <v/>
      </c>
      <c r="V168" s="565"/>
      <c r="W168" s="565"/>
      <c r="X168" s="565" t="str">
        <f>IF(足元帳!X133="","",足元帳!X133)</f>
        <v/>
      </c>
      <c r="Y168" s="565"/>
      <c r="Z168" s="565"/>
      <c r="AA168" s="565" t="str">
        <f>IF(足元帳!Y133="","",足元帳!Y133)</f>
        <v/>
      </c>
      <c r="AB168" s="565"/>
      <c r="AC168" s="565"/>
      <c r="AD168" s="565" t="str">
        <f>IF(足元帳!Z133="","",足元帳!Z133)</f>
        <v/>
      </c>
      <c r="AE168" s="565"/>
      <c r="AF168" s="566"/>
      <c r="AG168" s="587" t="str">
        <f ca="1">IF(ISERROR(MATCH("●",足元帳!AD133:AM133,0)),IF(足元帳!AM133="","",足元帳!$AM$1&amp;足元帳!AM133),INDIRECT("足元帳!R1C"&amp;MATCH("●",足元帳!AD133:AM133,0)+29,FALSE))</f>
        <v/>
      </c>
      <c r="AH168" s="565"/>
      <c r="AI168" s="565"/>
      <c r="AJ168" s="565"/>
      <c r="AK168" s="565" t="str">
        <f>IF(足元帳!AT133="","",足元帳!AT133)</f>
        <v/>
      </c>
      <c r="AL168" s="565"/>
      <c r="AM168" s="565"/>
      <c r="AN168" s="565"/>
      <c r="AO168" s="565"/>
      <c r="AP168" s="565"/>
      <c r="AQ168" s="588"/>
    </row>
    <row r="169" spans="1:43" ht="22.5" customHeight="1">
      <c r="A169" s="586">
        <f t="shared" si="8"/>
        <v>133</v>
      </c>
      <c r="B169" s="566"/>
      <c r="C169" s="73" t="str">
        <f>IF(足元帳!AY134=1,"N",IF(足元帳!AY134=2,"R",""))</f>
        <v/>
      </c>
      <c r="D169" s="74" t="str">
        <f>IF(足元帳!AZ134&gt;0,VLOOKUP(足元帳!AZ134,管理シート!$CF$32:$CG$34,2,FALSE),"")</f>
        <v/>
      </c>
      <c r="E169" s="572" t="str">
        <f>IF(足元帳!BB134&gt;0,VLOOKUP(足元帳!BB134,管理シート!#REF!,2,FALSE),"")</f>
        <v/>
      </c>
      <c r="F169" s="573"/>
      <c r="G169" s="574">
        <f>足元帳!J134</f>
        <v>0</v>
      </c>
      <c r="H169" s="575"/>
      <c r="I169" s="574">
        <f>足元帳!K134</f>
        <v>0</v>
      </c>
      <c r="J169" s="576"/>
      <c r="K169" s="575"/>
      <c r="L169" s="73" t="str">
        <f ca="1">IF(足元帳!AB134="●","無",IF(足元帳!AC134="●","半",IF(AG169="周年","半",IF(AG169="プレ6","半",IF(AG169="6割","半","")))))</f>
        <v/>
      </c>
      <c r="M169" s="115" t="str">
        <f>IF(足元帳!AM134="","","○")&amp;IF(足元帳!AL134="","","○")</f>
        <v/>
      </c>
      <c r="N169" s="115" t="str">
        <f>IF(足元帳!AN134="","","○")</f>
        <v/>
      </c>
      <c r="O169" s="587" t="str">
        <f>IF(足元帳!U134="","",足元帳!U134)</f>
        <v/>
      </c>
      <c r="P169" s="565"/>
      <c r="Q169" s="565"/>
      <c r="R169" s="565" t="str">
        <f>IF(足元帳!V134="","",足元帳!V134)</f>
        <v/>
      </c>
      <c r="S169" s="565"/>
      <c r="T169" s="565"/>
      <c r="U169" s="565" t="str">
        <f>IF(足元帳!W134="","",足元帳!W134)</f>
        <v/>
      </c>
      <c r="V169" s="565"/>
      <c r="W169" s="565"/>
      <c r="X169" s="565" t="str">
        <f>IF(足元帳!X134="","",足元帳!X134)</f>
        <v/>
      </c>
      <c r="Y169" s="565"/>
      <c r="Z169" s="565"/>
      <c r="AA169" s="565" t="str">
        <f>IF(足元帳!Y134="","",足元帳!Y134)</f>
        <v/>
      </c>
      <c r="AB169" s="565"/>
      <c r="AC169" s="565"/>
      <c r="AD169" s="565" t="str">
        <f>IF(足元帳!Z134="","",足元帳!Z134)</f>
        <v/>
      </c>
      <c r="AE169" s="565"/>
      <c r="AF169" s="566"/>
      <c r="AG169" s="587" t="str">
        <f ca="1">IF(ISERROR(MATCH("●",足元帳!AD134:AM134,0)),IF(足元帳!AM134="","",足元帳!$AM$1&amp;足元帳!AM134),INDIRECT("足元帳!R1C"&amp;MATCH("●",足元帳!AD134:AM134,0)+29,FALSE))</f>
        <v/>
      </c>
      <c r="AH169" s="565"/>
      <c r="AI169" s="565"/>
      <c r="AJ169" s="565"/>
      <c r="AK169" s="565" t="str">
        <f>IF(足元帳!AT134="","",足元帳!AT134)</f>
        <v/>
      </c>
      <c r="AL169" s="565"/>
      <c r="AM169" s="565"/>
      <c r="AN169" s="565"/>
      <c r="AO169" s="565"/>
      <c r="AP169" s="565"/>
      <c r="AQ169" s="588"/>
    </row>
    <row r="170" spans="1:43" ht="22.5" customHeight="1">
      <c r="A170" s="586">
        <f t="shared" si="8"/>
        <v>134</v>
      </c>
      <c r="B170" s="566"/>
      <c r="C170" s="73" t="str">
        <f>IF(足元帳!AY135=1,"N",IF(足元帳!AY135=2,"R",""))</f>
        <v/>
      </c>
      <c r="D170" s="74" t="str">
        <f>IF(足元帳!AZ135&gt;0,VLOOKUP(足元帳!AZ135,管理シート!$CF$32:$CG$34,2,FALSE),"")</f>
        <v/>
      </c>
      <c r="E170" s="572" t="str">
        <f>IF(足元帳!BB135&gt;0,VLOOKUP(足元帳!BB135,管理シート!#REF!,2,FALSE),"")</f>
        <v/>
      </c>
      <c r="F170" s="573"/>
      <c r="G170" s="574">
        <f>足元帳!J135</f>
        <v>0</v>
      </c>
      <c r="H170" s="575"/>
      <c r="I170" s="574">
        <f>足元帳!K135</f>
        <v>0</v>
      </c>
      <c r="J170" s="576"/>
      <c r="K170" s="575"/>
      <c r="L170" s="73" t="str">
        <f ca="1">IF(足元帳!AB135="●","無",IF(足元帳!AC135="●","半",IF(AG170="周年","半",IF(AG170="プレ6","半",IF(AG170="6割","半","")))))</f>
        <v/>
      </c>
      <c r="M170" s="115" t="str">
        <f>IF(足元帳!AM135="","","○")&amp;IF(足元帳!AL135="","","○")</f>
        <v/>
      </c>
      <c r="N170" s="115" t="str">
        <f>IF(足元帳!AN135="","","○")</f>
        <v/>
      </c>
      <c r="O170" s="587" t="str">
        <f>IF(足元帳!U135="","",足元帳!U135)</f>
        <v/>
      </c>
      <c r="P170" s="565"/>
      <c r="Q170" s="565"/>
      <c r="R170" s="565" t="str">
        <f>IF(足元帳!V135="","",足元帳!V135)</f>
        <v/>
      </c>
      <c r="S170" s="565"/>
      <c r="T170" s="565"/>
      <c r="U170" s="565" t="str">
        <f>IF(足元帳!W135="","",足元帳!W135)</f>
        <v/>
      </c>
      <c r="V170" s="565"/>
      <c r="W170" s="565"/>
      <c r="X170" s="565" t="str">
        <f>IF(足元帳!X135="","",足元帳!X135)</f>
        <v/>
      </c>
      <c r="Y170" s="565"/>
      <c r="Z170" s="565"/>
      <c r="AA170" s="565" t="str">
        <f>IF(足元帳!Y135="","",足元帳!Y135)</f>
        <v/>
      </c>
      <c r="AB170" s="565"/>
      <c r="AC170" s="565"/>
      <c r="AD170" s="565" t="str">
        <f>IF(足元帳!Z135="","",足元帳!Z135)</f>
        <v/>
      </c>
      <c r="AE170" s="565"/>
      <c r="AF170" s="566"/>
      <c r="AG170" s="587" t="str">
        <f ca="1">IF(ISERROR(MATCH("●",足元帳!AD135:AM135,0)),IF(足元帳!AM135="","",足元帳!$AM$1&amp;足元帳!AM135),INDIRECT("足元帳!R1C"&amp;MATCH("●",足元帳!AD135:AM135,0)+29,FALSE))</f>
        <v/>
      </c>
      <c r="AH170" s="565"/>
      <c r="AI170" s="565"/>
      <c r="AJ170" s="565"/>
      <c r="AK170" s="565" t="str">
        <f>IF(足元帳!AT135="","",足元帳!AT135)</f>
        <v/>
      </c>
      <c r="AL170" s="565"/>
      <c r="AM170" s="565"/>
      <c r="AN170" s="565"/>
      <c r="AO170" s="565"/>
      <c r="AP170" s="565"/>
      <c r="AQ170" s="588"/>
    </row>
    <row r="171" spans="1:43" ht="22.5" customHeight="1">
      <c r="A171" s="586">
        <f t="shared" si="8"/>
        <v>135</v>
      </c>
      <c r="B171" s="566"/>
      <c r="C171" s="73" t="str">
        <f>IF(足元帳!AY136=1,"N",IF(足元帳!AY136=2,"R",""))</f>
        <v/>
      </c>
      <c r="D171" s="74" t="str">
        <f>IF(足元帳!AZ136&gt;0,VLOOKUP(足元帳!AZ136,管理シート!$CF$32:$CG$34,2,FALSE),"")</f>
        <v/>
      </c>
      <c r="E171" s="572" t="str">
        <f>IF(足元帳!BB136&gt;0,VLOOKUP(足元帳!BB136,管理シート!#REF!,2,FALSE),"")</f>
        <v/>
      </c>
      <c r="F171" s="573"/>
      <c r="G171" s="574">
        <f>足元帳!J136</f>
        <v>0</v>
      </c>
      <c r="H171" s="575"/>
      <c r="I171" s="574">
        <f>足元帳!K136</f>
        <v>0</v>
      </c>
      <c r="J171" s="576"/>
      <c r="K171" s="575"/>
      <c r="L171" s="73" t="str">
        <f ca="1">IF(足元帳!AB136="●","無",IF(足元帳!AC136="●","半",IF(AG171="周年","半",IF(AG171="プレ6","半",IF(AG171="6割","半","")))))</f>
        <v/>
      </c>
      <c r="M171" s="115" t="str">
        <f>IF(足元帳!AM136="","","○")&amp;IF(足元帳!AL136="","","○")</f>
        <v/>
      </c>
      <c r="N171" s="115" t="str">
        <f>IF(足元帳!AN136="","","○")</f>
        <v/>
      </c>
      <c r="O171" s="587" t="str">
        <f>IF(足元帳!U136="","",足元帳!U136)</f>
        <v/>
      </c>
      <c r="P171" s="565"/>
      <c r="Q171" s="565"/>
      <c r="R171" s="565" t="str">
        <f>IF(足元帳!V136="","",足元帳!V136)</f>
        <v/>
      </c>
      <c r="S171" s="565"/>
      <c r="T171" s="565"/>
      <c r="U171" s="565" t="str">
        <f>IF(足元帳!W136="","",足元帳!W136)</f>
        <v/>
      </c>
      <c r="V171" s="565"/>
      <c r="W171" s="565"/>
      <c r="X171" s="565" t="str">
        <f>IF(足元帳!X136="","",足元帳!X136)</f>
        <v/>
      </c>
      <c r="Y171" s="565"/>
      <c r="Z171" s="565"/>
      <c r="AA171" s="565" t="str">
        <f>IF(足元帳!Y136="","",足元帳!Y136)</f>
        <v/>
      </c>
      <c r="AB171" s="565"/>
      <c r="AC171" s="565"/>
      <c r="AD171" s="565" t="str">
        <f>IF(足元帳!Z136="","",足元帳!Z136)</f>
        <v/>
      </c>
      <c r="AE171" s="565"/>
      <c r="AF171" s="566"/>
      <c r="AG171" s="587" t="str">
        <f ca="1">IF(ISERROR(MATCH("●",足元帳!AD136:AM136,0)),IF(足元帳!AM136="","",足元帳!$AM$1&amp;足元帳!AM136),INDIRECT("足元帳!R1C"&amp;MATCH("●",足元帳!AD136:AM136,0)+29,FALSE))</f>
        <v/>
      </c>
      <c r="AH171" s="565"/>
      <c r="AI171" s="565"/>
      <c r="AJ171" s="565"/>
      <c r="AK171" s="565" t="str">
        <f>IF(足元帳!AT136="","",足元帳!AT136)</f>
        <v/>
      </c>
      <c r="AL171" s="565"/>
      <c r="AM171" s="565"/>
      <c r="AN171" s="565"/>
      <c r="AO171" s="565"/>
      <c r="AP171" s="565"/>
      <c r="AQ171" s="588"/>
    </row>
    <row r="172" spans="1:43" ht="22.5" customHeight="1">
      <c r="A172" s="586">
        <f t="shared" si="8"/>
        <v>136</v>
      </c>
      <c r="B172" s="566"/>
      <c r="C172" s="73" t="str">
        <f>IF(足元帳!AY137=1,"N",IF(足元帳!AY137=2,"R",""))</f>
        <v/>
      </c>
      <c r="D172" s="74" t="str">
        <f>IF(足元帳!AZ137&gt;0,VLOOKUP(足元帳!AZ137,管理シート!$CF$32:$CG$34,2,FALSE),"")</f>
        <v/>
      </c>
      <c r="E172" s="572" t="str">
        <f>IF(足元帳!BB137&gt;0,VLOOKUP(足元帳!BB137,管理シート!#REF!,2,FALSE),"")</f>
        <v/>
      </c>
      <c r="F172" s="573"/>
      <c r="G172" s="574">
        <f>足元帳!J137</f>
        <v>0</v>
      </c>
      <c r="H172" s="575"/>
      <c r="I172" s="574">
        <f>足元帳!K137</f>
        <v>0</v>
      </c>
      <c r="J172" s="576"/>
      <c r="K172" s="575"/>
      <c r="L172" s="73" t="str">
        <f ca="1">IF(足元帳!AB137="●","無",IF(足元帳!AC137="●","半",IF(AG172="周年","半",IF(AG172="プレ6","半",IF(AG172="6割","半","")))))</f>
        <v/>
      </c>
      <c r="M172" s="115" t="str">
        <f>IF(足元帳!AM137="","","○")&amp;IF(足元帳!AL137="","","○")</f>
        <v/>
      </c>
      <c r="N172" s="115" t="str">
        <f>IF(足元帳!AN137="","","○")</f>
        <v/>
      </c>
      <c r="O172" s="587" t="str">
        <f>IF(足元帳!U137="","",足元帳!U137)</f>
        <v/>
      </c>
      <c r="P172" s="565"/>
      <c r="Q172" s="565"/>
      <c r="R172" s="565" t="str">
        <f>IF(足元帳!V137="","",足元帳!V137)</f>
        <v/>
      </c>
      <c r="S172" s="565"/>
      <c r="T172" s="565"/>
      <c r="U172" s="565" t="str">
        <f>IF(足元帳!W137="","",足元帳!W137)</f>
        <v/>
      </c>
      <c r="V172" s="565"/>
      <c r="W172" s="565"/>
      <c r="X172" s="565" t="str">
        <f>IF(足元帳!X137="","",足元帳!X137)</f>
        <v/>
      </c>
      <c r="Y172" s="565"/>
      <c r="Z172" s="565"/>
      <c r="AA172" s="565" t="str">
        <f>IF(足元帳!Y137="","",足元帳!Y137)</f>
        <v/>
      </c>
      <c r="AB172" s="565"/>
      <c r="AC172" s="565"/>
      <c r="AD172" s="565" t="str">
        <f>IF(足元帳!Z137="","",足元帳!Z137)</f>
        <v/>
      </c>
      <c r="AE172" s="565"/>
      <c r="AF172" s="566"/>
      <c r="AG172" s="587" t="str">
        <f ca="1">IF(ISERROR(MATCH("●",足元帳!AD137:AM137,0)),IF(足元帳!AM137="","",足元帳!$AM$1&amp;足元帳!AM137),INDIRECT("足元帳!R1C"&amp;MATCH("●",足元帳!AD137:AM137,0)+29,FALSE))</f>
        <v/>
      </c>
      <c r="AH172" s="565"/>
      <c r="AI172" s="565"/>
      <c r="AJ172" s="565"/>
      <c r="AK172" s="565" t="str">
        <f>IF(足元帳!AT137="","",足元帳!AT137)</f>
        <v/>
      </c>
      <c r="AL172" s="565"/>
      <c r="AM172" s="565"/>
      <c r="AN172" s="565"/>
      <c r="AO172" s="565"/>
      <c r="AP172" s="565"/>
      <c r="AQ172" s="588"/>
    </row>
    <row r="173" spans="1:43" ht="22.5" customHeight="1">
      <c r="A173" s="586">
        <f t="shared" si="8"/>
        <v>137</v>
      </c>
      <c r="B173" s="566"/>
      <c r="C173" s="73" t="str">
        <f>IF(足元帳!AY138=1,"N",IF(足元帳!AY138=2,"R",""))</f>
        <v/>
      </c>
      <c r="D173" s="74" t="str">
        <f>IF(足元帳!AZ138&gt;0,VLOOKUP(足元帳!AZ138,管理シート!$CF$32:$CG$34,2,FALSE),"")</f>
        <v/>
      </c>
      <c r="E173" s="572" t="str">
        <f>IF(足元帳!BB138&gt;0,VLOOKUP(足元帳!BB138,管理シート!#REF!,2,FALSE),"")</f>
        <v/>
      </c>
      <c r="F173" s="573"/>
      <c r="G173" s="574">
        <f>足元帳!J138</f>
        <v>0</v>
      </c>
      <c r="H173" s="575"/>
      <c r="I173" s="574">
        <f>足元帳!K138</f>
        <v>0</v>
      </c>
      <c r="J173" s="576"/>
      <c r="K173" s="575"/>
      <c r="L173" s="73" t="str">
        <f ca="1">IF(足元帳!AB138="●","無",IF(足元帳!AC138="●","半",IF(AG173="周年","半",IF(AG173="プレ6","半",IF(AG173="6割","半","")))))</f>
        <v/>
      </c>
      <c r="M173" s="115" t="str">
        <f>IF(足元帳!AM138="","","○")&amp;IF(足元帳!AL138="","","○")</f>
        <v/>
      </c>
      <c r="N173" s="115" t="str">
        <f>IF(足元帳!AN138="","","○")</f>
        <v/>
      </c>
      <c r="O173" s="587" t="str">
        <f>IF(足元帳!U138="","",足元帳!U138)</f>
        <v/>
      </c>
      <c r="P173" s="565"/>
      <c r="Q173" s="565"/>
      <c r="R173" s="565" t="str">
        <f>IF(足元帳!V138="","",足元帳!V138)</f>
        <v/>
      </c>
      <c r="S173" s="565"/>
      <c r="T173" s="565"/>
      <c r="U173" s="565" t="str">
        <f>IF(足元帳!W138="","",足元帳!W138)</f>
        <v/>
      </c>
      <c r="V173" s="565"/>
      <c r="W173" s="565"/>
      <c r="X173" s="565" t="str">
        <f>IF(足元帳!X138="","",足元帳!X138)</f>
        <v/>
      </c>
      <c r="Y173" s="565"/>
      <c r="Z173" s="565"/>
      <c r="AA173" s="565" t="str">
        <f>IF(足元帳!Y138="","",足元帳!Y138)</f>
        <v/>
      </c>
      <c r="AB173" s="565"/>
      <c r="AC173" s="565"/>
      <c r="AD173" s="565" t="str">
        <f>IF(足元帳!Z138="","",足元帳!Z138)</f>
        <v/>
      </c>
      <c r="AE173" s="565"/>
      <c r="AF173" s="566"/>
      <c r="AG173" s="587" t="str">
        <f ca="1">IF(ISERROR(MATCH("●",足元帳!AD138:AM138,0)),IF(足元帳!AM138="","",足元帳!$AM$1&amp;足元帳!AM138),INDIRECT("足元帳!R1C"&amp;MATCH("●",足元帳!AD138:AM138,0)+29,FALSE))</f>
        <v/>
      </c>
      <c r="AH173" s="565"/>
      <c r="AI173" s="565"/>
      <c r="AJ173" s="565"/>
      <c r="AK173" s="565" t="str">
        <f>IF(足元帳!AT138="","",足元帳!AT138)</f>
        <v/>
      </c>
      <c r="AL173" s="565"/>
      <c r="AM173" s="565"/>
      <c r="AN173" s="565"/>
      <c r="AO173" s="565"/>
      <c r="AP173" s="565"/>
      <c r="AQ173" s="588"/>
    </row>
    <row r="174" spans="1:43" ht="22.5" customHeight="1">
      <c r="A174" s="586">
        <f t="shared" si="8"/>
        <v>138</v>
      </c>
      <c r="B174" s="566"/>
      <c r="C174" s="73" t="str">
        <f>IF(足元帳!AY139=1,"N",IF(足元帳!AY139=2,"R",""))</f>
        <v/>
      </c>
      <c r="D174" s="74" t="str">
        <f>IF(足元帳!AZ139&gt;0,VLOOKUP(足元帳!AZ139,管理シート!$CF$32:$CG$34,2,FALSE),"")</f>
        <v/>
      </c>
      <c r="E174" s="572" t="str">
        <f>IF(足元帳!BB139&gt;0,VLOOKUP(足元帳!BB139,管理シート!#REF!,2,FALSE),"")</f>
        <v/>
      </c>
      <c r="F174" s="573"/>
      <c r="G174" s="574">
        <f>足元帳!J139</f>
        <v>0</v>
      </c>
      <c r="H174" s="575"/>
      <c r="I174" s="574">
        <f>足元帳!K139</f>
        <v>0</v>
      </c>
      <c r="J174" s="576"/>
      <c r="K174" s="575"/>
      <c r="L174" s="73" t="str">
        <f ca="1">IF(足元帳!AB139="●","無",IF(足元帳!AC139="●","半",IF(AG174="周年","半",IF(AG174="プレ6","半",IF(AG174="6割","半","")))))</f>
        <v/>
      </c>
      <c r="M174" s="115" t="str">
        <f>IF(足元帳!AM139="","","○")&amp;IF(足元帳!AL139="","","○")</f>
        <v/>
      </c>
      <c r="N174" s="115" t="str">
        <f>IF(足元帳!AN139="","","○")</f>
        <v/>
      </c>
      <c r="O174" s="587" t="str">
        <f>IF(足元帳!U139="","",足元帳!U139)</f>
        <v/>
      </c>
      <c r="P174" s="565"/>
      <c r="Q174" s="565"/>
      <c r="R174" s="565" t="str">
        <f>IF(足元帳!V139="","",足元帳!V139)</f>
        <v/>
      </c>
      <c r="S174" s="565"/>
      <c r="T174" s="565"/>
      <c r="U174" s="565" t="str">
        <f>IF(足元帳!W139="","",足元帳!W139)</f>
        <v/>
      </c>
      <c r="V174" s="565"/>
      <c r="W174" s="565"/>
      <c r="X174" s="565" t="str">
        <f>IF(足元帳!X139="","",足元帳!X139)</f>
        <v/>
      </c>
      <c r="Y174" s="565"/>
      <c r="Z174" s="565"/>
      <c r="AA174" s="565" t="str">
        <f>IF(足元帳!Y139="","",足元帳!Y139)</f>
        <v/>
      </c>
      <c r="AB174" s="565"/>
      <c r="AC174" s="565"/>
      <c r="AD174" s="565" t="str">
        <f>IF(足元帳!Z139="","",足元帳!Z139)</f>
        <v/>
      </c>
      <c r="AE174" s="565"/>
      <c r="AF174" s="566"/>
      <c r="AG174" s="587" t="str">
        <f ca="1">IF(ISERROR(MATCH("●",足元帳!AD139:AM139,0)),IF(足元帳!AM139="","",足元帳!$AM$1&amp;足元帳!AM139),INDIRECT("足元帳!R1C"&amp;MATCH("●",足元帳!AD139:AM139,0)+29,FALSE))</f>
        <v/>
      </c>
      <c r="AH174" s="565"/>
      <c r="AI174" s="565"/>
      <c r="AJ174" s="565"/>
      <c r="AK174" s="565" t="str">
        <f>IF(足元帳!AT139="","",足元帳!AT139)</f>
        <v/>
      </c>
      <c r="AL174" s="565"/>
      <c r="AM174" s="565"/>
      <c r="AN174" s="565"/>
      <c r="AO174" s="565"/>
      <c r="AP174" s="565"/>
      <c r="AQ174" s="588"/>
    </row>
    <row r="175" spans="1:43" ht="22.5" customHeight="1">
      <c r="A175" s="586">
        <f t="shared" si="8"/>
        <v>139</v>
      </c>
      <c r="B175" s="566"/>
      <c r="C175" s="73" t="str">
        <f>IF(足元帳!AY140=1,"N",IF(足元帳!AY140=2,"R",""))</f>
        <v/>
      </c>
      <c r="D175" s="74" t="str">
        <f>IF(足元帳!AZ140&gt;0,VLOOKUP(足元帳!AZ140,管理シート!$CF$32:$CG$34,2,FALSE),"")</f>
        <v/>
      </c>
      <c r="E175" s="572" t="str">
        <f>IF(足元帳!BB140&gt;0,VLOOKUP(足元帳!BB140,管理シート!#REF!,2,FALSE),"")</f>
        <v/>
      </c>
      <c r="F175" s="573"/>
      <c r="G175" s="574">
        <f>足元帳!J140</f>
        <v>0</v>
      </c>
      <c r="H175" s="575"/>
      <c r="I175" s="574">
        <f>足元帳!K140</f>
        <v>0</v>
      </c>
      <c r="J175" s="576"/>
      <c r="K175" s="575"/>
      <c r="L175" s="73" t="str">
        <f ca="1">IF(足元帳!AB140="●","無",IF(足元帳!AC140="●","半",IF(AG175="周年","半",IF(AG175="プレ6","半",IF(AG175="6割","半","")))))</f>
        <v/>
      </c>
      <c r="M175" s="115" t="str">
        <f>IF(足元帳!AM140="","","○")&amp;IF(足元帳!AL140="","","○")</f>
        <v/>
      </c>
      <c r="N175" s="115" t="str">
        <f>IF(足元帳!AN140="","","○")</f>
        <v/>
      </c>
      <c r="O175" s="587" t="str">
        <f>IF(足元帳!U140="","",足元帳!U140)</f>
        <v/>
      </c>
      <c r="P175" s="565"/>
      <c r="Q175" s="565"/>
      <c r="R175" s="565" t="str">
        <f>IF(足元帳!V140="","",足元帳!V140)</f>
        <v/>
      </c>
      <c r="S175" s="565"/>
      <c r="T175" s="565"/>
      <c r="U175" s="565" t="str">
        <f>IF(足元帳!W140="","",足元帳!W140)</f>
        <v/>
      </c>
      <c r="V175" s="565"/>
      <c r="W175" s="565"/>
      <c r="X175" s="565" t="str">
        <f>IF(足元帳!X140="","",足元帳!X140)</f>
        <v/>
      </c>
      <c r="Y175" s="565"/>
      <c r="Z175" s="565"/>
      <c r="AA175" s="565" t="str">
        <f>IF(足元帳!Y140="","",足元帳!Y140)</f>
        <v/>
      </c>
      <c r="AB175" s="565"/>
      <c r="AC175" s="565"/>
      <c r="AD175" s="565" t="str">
        <f>IF(足元帳!Z140="","",足元帳!Z140)</f>
        <v/>
      </c>
      <c r="AE175" s="565"/>
      <c r="AF175" s="566"/>
      <c r="AG175" s="587" t="str">
        <f ca="1">IF(ISERROR(MATCH("●",足元帳!AD140:AM140,0)),IF(足元帳!AM140="","",足元帳!$AM$1&amp;足元帳!AM140),INDIRECT("足元帳!R1C"&amp;MATCH("●",足元帳!AD140:AM140,0)+29,FALSE))</f>
        <v/>
      </c>
      <c r="AH175" s="565"/>
      <c r="AI175" s="565"/>
      <c r="AJ175" s="565"/>
      <c r="AK175" s="565" t="str">
        <f>IF(足元帳!AT140="","",足元帳!AT140)</f>
        <v/>
      </c>
      <c r="AL175" s="565"/>
      <c r="AM175" s="565"/>
      <c r="AN175" s="565"/>
      <c r="AO175" s="565"/>
      <c r="AP175" s="565"/>
      <c r="AQ175" s="588"/>
    </row>
    <row r="176" spans="1:43" ht="22.5" customHeight="1" thickBot="1">
      <c r="A176" s="598">
        <f t="shared" si="8"/>
        <v>140</v>
      </c>
      <c r="B176" s="596"/>
      <c r="C176" s="76" t="str">
        <f>IF(足元帳!AY141=1,"N",IF(足元帳!AY141=2,"R",""))</f>
        <v/>
      </c>
      <c r="D176" s="77" t="str">
        <f>IF(足元帳!AZ141&gt;0,VLOOKUP(足元帳!AZ141,管理シート!$CF$32:$CG$34,2,FALSE),"")</f>
        <v/>
      </c>
      <c r="E176" s="599" t="str">
        <f>IF(足元帳!BB141&gt;0,VLOOKUP(足元帳!BB141,管理シート!#REF!,2,FALSE),"")</f>
        <v/>
      </c>
      <c r="F176" s="600"/>
      <c r="G176" s="601">
        <f>足元帳!J141</f>
        <v>0</v>
      </c>
      <c r="H176" s="602"/>
      <c r="I176" s="601">
        <f>足元帳!K141</f>
        <v>0</v>
      </c>
      <c r="J176" s="603"/>
      <c r="K176" s="602"/>
      <c r="L176" s="76" t="str">
        <f ca="1">IF(足元帳!AB141="●","無",IF(足元帳!AC141="●","半",IF(AG176="周年","半",IF(AG176="プレ6","半",IF(AG176="6割","半","")))))</f>
        <v/>
      </c>
      <c r="M176" s="118" t="str">
        <f>IF(足元帳!AM141="","","○")&amp;IF(足元帳!AL141="","","○")</f>
        <v/>
      </c>
      <c r="N176" s="118" t="str">
        <f>IF(足元帳!AN141="","","○")</f>
        <v/>
      </c>
      <c r="O176" s="597" t="str">
        <f>IF(足元帳!U141="","",足元帳!U141)</f>
        <v/>
      </c>
      <c r="P176" s="589"/>
      <c r="Q176" s="589"/>
      <c r="R176" s="589" t="str">
        <f>IF(足元帳!V141="","",足元帳!V141)</f>
        <v/>
      </c>
      <c r="S176" s="589"/>
      <c r="T176" s="589"/>
      <c r="U176" s="589" t="str">
        <f>IF(足元帳!W141="","",足元帳!W141)</f>
        <v/>
      </c>
      <c r="V176" s="589"/>
      <c r="W176" s="589"/>
      <c r="X176" s="589" t="str">
        <f>IF(足元帳!X141="","",足元帳!X141)</f>
        <v/>
      </c>
      <c r="Y176" s="589"/>
      <c r="Z176" s="589"/>
      <c r="AA176" s="589" t="str">
        <f>IF(足元帳!Y141="","",足元帳!Y141)</f>
        <v/>
      </c>
      <c r="AB176" s="589"/>
      <c r="AC176" s="589"/>
      <c r="AD176" s="589" t="str">
        <f>IF(足元帳!Z141="","",足元帳!Z141)</f>
        <v/>
      </c>
      <c r="AE176" s="589"/>
      <c r="AF176" s="596"/>
      <c r="AG176" s="597" t="str">
        <f ca="1">IF(ISERROR(MATCH("●",足元帳!AD141:AM141,0)),IF(足元帳!AM141="","",足元帳!$AM$1&amp;足元帳!AM141),INDIRECT("足元帳!R1C"&amp;MATCH("●",足元帳!AD141:AM141,0)+29,FALSE))</f>
        <v/>
      </c>
      <c r="AH176" s="589"/>
      <c r="AI176" s="589"/>
      <c r="AJ176" s="589"/>
      <c r="AK176" s="589" t="str">
        <f>IF(足元帳!AT141="","",足元帳!AT141)</f>
        <v/>
      </c>
      <c r="AL176" s="589"/>
      <c r="AM176" s="589"/>
      <c r="AN176" s="589"/>
      <c r="AO176" s="589"/>
      <c r="AP176" s="589"/>
      <c r="AQ176" s="590"/>
    </row>
    <row r="177" spans="1:43" ht="22.5" customHeight="1">
      <c r="A177" s="591"/>
      <c r="B177" s="592"/>
      <c r="C177" s="592" t="s">
        <v>11</v>
      </c>
      <c r="D177" s="592"/>
      <c r="E177" s="592"/>
      <c r="F177" s="592"/>
      <c r="G177" s="592" t="s">
        <v>153</v>
      </c>
      <c r="H177" s="592"/>
      <c r="I177" s="592"/>
      <c r="J177" s="592"/>
      <c r="K177" s="592"/>
      <c r="L177" s="592"/>
      <c r="M177" s="592"/>
      <c r="N177" s="592"/>
      <c r="O177" s="592" t="s">
        <v>154</v>
      </c>
      <c r="P177" s="592"/>
      <c r="Q177" s="592"/>
      <c r="R177" s="592"/>
      <c r="S177" s="592"/>
      <c r="T177" s="592"/>
      <c r="U177" s="592"/>
      <c r="V177" s="592"/>
      <c r="W177" s="592"/>
      <c r="X177" s="592"/>
      <c r="Y177" s="592" t="s">
        <v>155</v>
      </c>
      <c r="Z177" s="592"/>
      <c r="AA177" s="592"/>
      <c r="AB177" s="592"/>
      <c r="AC177" s="592"/>
      <c r="AD177" s="592"/>
      <c r="AE177" s="592"/>
      <c r="AF177" s="592"/>
      <c r="AG177" s="592" t="s">
        <v>156</v>
      </c>
      <c r="AH177" s="592"/>
      <c r="AI177" s="592" t="s">
        <v>157</v>
      </c>
      <c r="AJ177" s="592"/>
      <c r="AK177" s="592"/>
      <c r="AL177" s="592" t="s">
        <v>2</v>
      </c>
      <c r="AM177" s="592"/>
      <c r="AN177" s="592"/>
      <c r="AO177" s="592"/>
      <c r="AP177" s="592"/>
      <c r="AQ177" s="595"/>
    </row>
    <row r="178" spans="1:43" ht="22.5" customHeight="1">
      <c r="A178" s="593"/>
      <c r="B178" s="594"/>
      <c r="C178" s="594" t="s">
        <v>4</v>
      </c>
      <c r="D178" s="594"/>
      <c r="E178" s="594" t="s">
        <v>3</v>
      </c>
      <c r="F178" s="594"/>
      <c r="G178" s="594" t="s">
        <v>14</v>
      </c>
      <c r="H178" s="594"/>
      <c r="I178" s="594" t="s">
        <v>5</v>
      </c>
      <c r="J178" s="594"/>
      <c r="K178" s="594" t="s">
        <v>152</v>
      </c>
      <c r="L178" s="594"/>
      <c r="M178" s="594" t="s">
        <v>0</v>
      </c>
      <c r="N178" s="594"/>
      <c r="O178" s="594">
        <v>45</v>
      </c>
      <c r="P178" s="594"/>
      <c r="Q178" s="594">
        <v>60</v>
      </c>
      <c r="R178" s="594"/>
      <c r="S178" s="594">
        <v>70</v>
      </c>
      <c r="T178" s="594"/>
      <c r="U178" s="594">
        <v>90</v>
      </c>
      <c r="V178" s="594"/>
      <c r="W178" s="594">
        <v>110</v>
      </c>
      <c r="X178" s="594"/>
      <c r="Y178" s="594">
        <v>30</v>
      </c>
      <c r="Z178" s="594"/>
      <c r="AA178" s="594">
        <v>20</v>
      </c>
      <c r="AB178" s="594"/>
      <c r="AC178" s="594">
        <v>15</v>
      </c>
      <c r="AD178" s="594"/>
      <c r="AE178" s="594">
        <v>10</v>
      </c>
      <c r="AF178" s="594"/>
      <c r="AG178" s="594"/>
      <c r="AH178" s="594"/>
      <c r="AI178" s="594"/>
      <c r="AJ178" s="594"/>
      <c r="AK178" s="594"/>
      <c r="AL178" s="604"/>
      <c r="AM178" s="604"/>
      <c r="AN178" s="604"/>
      <c r="AO178" s="604"/>
      <c r="AP178" s="604"/>
      <c r="AQ178" s="605"/>
    </row>
    <row r="179" spans="1:43" ht="22.5" customHeight="1">
      <c r="A179" s="593" t="s">
        <v>158</v>
      </c>
      <c r="B179" s="594"/>
      <c r="C179" s="587">
        <f>SUM(C180:F180)</f>
        <v>0</v>
      </c>
      <c r="D179" s="565"/>
      <c r="E179" s="565"/>
      <c r="F179" s="566"/>
      <c r="G179" s="604">
        <f>SUM(G180:N180)</f>
        <v>0</v>
      </c>
      <c r="H179" s="604"/>
      <c r="I179" s="604"/>
      <c r="J179" s="604"/>
      <c r="K179" s="604"/>
      <c r="L179" s="604"/>
      <c r="M179" s="604"/>
      <c r="N179" s="604"/>
      <c r="O179" s="604">
        <f>SUM(O180:X180)</f>
        <v>0</v>
      </c>
      <c r="P179" s="604"/>
      <c r="Q179" s="604"/>
      <c r="R179" s="604"/>
      <c r="S179" s="604"/>
      <c r="T179" s="604"/>
      <c r="U179" s="604"/>
      <c r="V179" s="604"/>
      <c r="W179" s="604"/>
      <c r="X179" s="604"/>
      <c r="Y179" s="604"/>
      <c r="Z179" s="604"/>
      <c r="AA179" s="604"/>
      <c r="AB179" s="604"/>
      <c r="AC179" s="604"/>
      <c r="AD179" s="604"/>
      <c r="AE179" s="604"/>
      <c r="AF179" s="604"/>
      <c r="AG179" s="604"/>
      <c r="AH179" s="604"/>
      <c r="AI179" s="604"/>
      <c r="AJ179" s="604"/>
      <c r="AK179" s="604"/>
      <c r="AL179" s="604"/>
      <c r="AM179" s="604"/>
      <c r="AN179" s="604"/>
      <c r="AO179" s="604"/>
      <c r="AP179" s="604"/>
      <c r="AQ179" s="605"/>
    </row>
    <row r="180" spans="1:43" ht="22.5" customHeight="1">
      <c r="A180" s="593"/>
      <c r="B180" s="594"/>
      <c r="C180" s="604">
        <f>COUNTIF(C142:C176,"N")</f>
        <v>0</v>
      </c>
      <c r="D180" s="604"/>
      <c r="E180" s="604">
        <f>COUNTIF(C142:C176,"R")</f>
        <v>0</v>
      </c>
      <c r="F180" s="604"/>
      <c r="G180" s="604">
        <f>COUNTIF(D142:D176,"姫")</f>
        <v>0</v>
      </c>
      <c r="H180" s="604"/>
      <c r="I180" s="604">
        <f>COUNTIF(D142:D176,"本")</f>
        <v>0</v>
      </c>
      <c r="J180" s="604"/>
      <c r="K180" s="604">
        <f>COUNTIF(D142:D176,"ネ")</f>
        <v>0</v>
      </c>
      <c r="L180" s="604"/>
      <c r="M180" s="604">
        <f>COUNTIF(D142:D176,"写")</f>
        <v>0</v>
      </c>
      <c r="N180" s="604"/>
      <c r="O180" s="604">
        <f>COUNTIF(E142:F176,45)</f>
        <v>0</v>
      </c>
      <c r="P180" s="604"/>
      <c r="Q180" s="604">
        <f>COUNTIF(E142:F176,60)</f>
        <v>0</v>
      </c>
      <c r="R180" s="604"/>
      <c r="S180" s="604">
        <f>COUNTIF(E142:F176,70)</f>
        <v>0</v>
      </c>
      <c r="T180" s="604"/>
      <c r="U180" s="604">
        <f>COUNTIF(E142:F176,90)</f>
        <v>0</v>
      </c>
      <c r="V180" s="604"/>
      <c r="W180" s="604">
        <f>COUNTIF(E142:F176,110)</f>
        <v>0</v>
      </c>
      <c r="X180" s="604"/>
      <c r="Y180" s="604"/>
      <c r="Z180" s="604"/>
      <c r="AA180" s="604"/>
      <c r="AB180" s="604"/>
      <c r="AC180" s="604"/>
      <c r="AD180" s="604"/>
      <c r="AE180" s="604"/>
      <c r="AF180" s="604"/>
      <c r="AG180" s="604"/>
      <c r="AH180" s="604"/>
      <c r="AI180" s="604"/>
      <c r="AJ180" s="604"/>
      <c r="AK180" s="604"/>
      <c r="AL180" s="604"/>
      <c r="AM180" s="604"/>
      <c r="AN180" s="604"/>
      <c r="AO180" s="604"/>
      <c r="AP180" s="604"/>
      <c r="AQ180" s="605"/>
    </row>
    <row r="181" spans="1:43" ht="22.5" customHeight="1">
      <c r="A181" s="593" t="s">
        <v>159</v>
      </c>
      <c r="B181" s="594"/>
      <c r="C181" s="604"/>
      <c r="D181" s="604"/>
      <c r="E181" s="604"/>
      <c r="F181" s="604"/>
      <c r="G181" s="604"/>
      <c r="H181" s="604"/>
      <c r="I181" s="604"/>
      <c r="J181" s="604"/>
      <c r="K181" s="604"/>
      <c r="L181" s="604"/>
      <c r="M181" s="604"/>
      <c r="N181" s="604"/>
      <c r="O181" s="604"/>
      <c r="P181" s="604"/>
      <c r="Q181" s="604"/>
      <c r="R181" s="604"/>
      <c r="S181" s="604"/>
      <c r="T181" s="604"/>
      <c r="U181" s="604"/>
      <c r="V181" s="604"/>
      <c r="W181" s="604"/>
      <c r="X181" s="604"/>
      <c r="Y181" s="604"/>
      <c r="Z181" s="604"/>
      <c r="AA181" s="604"/>
      <c r="AB181" s="604"/>
      <c r="AC181" s="604"/>
      <c r="AD181" s="604"/>
      <c r="AE181" s="604"/>
      <c r="AF181" s="604"/>
      <c r="AG181" s="604"/>
      <c r="AH181" s="604"/>
      <c r="AI181" s="604"/>
      <c r="AJ181" s="604"/>
      <c r="AK181" s="604"/>
      <c r="AL181" s="604"/>
      <c r="AM181" s="604"/>
      <c r="AN181" s="604"/>
      <c r="AO181" s="604"/>
      <c r="AP181" s="604"/>
      <c r="AQ181" s="605"/>
    </row>
    <row r="182" spans="1:43" ht="22.5" customHeight="1" thickBot="1">
      <c r="A182" s="606"/>
      <c r="B182" s="607"/>
      <c r="C182" s="608"/>
      <c r="D182" s="608"/>
      <c r="E182" s="608"/>
      <c r="F182" s="608"/>
      <c r="G182" s="608"/>
      <c r="H182" s="608"/>
      <c r="I182" s="608"/>
      <c r="J182" s="608"/>
      <c r="K182" s="608"/>
      <c r="L182" s="608"/>
      <c r="M182" s="608"/>
      <c r="N182" s="608"/>
      <c r="O182" s="608"/>
      <c r="P182" s="608"/>
      <c r="Q182" s="608"/>
      <c r="R182" s="608"/>
      <c r="S182" s="608"/>
      <c r="T182" s="608"/>
      <c r="U182" s="608"/>
      <c r="V182" s="608"/>
      <c r="W182" s="608"/>
      <c r="X182" s="608"/>
      <c r="Y182" s="608"/>
      <c r="Z182" s="608"/>
      <c r="AA182" s="608"/>
      <c r="AB182" s="608"/>
      <c r="AC182" s="608"/>
      <c r="AD182" s="608"/>
      <c r="AE182" s="608"/>
      <c r="AF182" s="608"/>
      <c r="AG182" s="608"/>
      <c r="AH182" s="608"/>
      <c r="AI182" s="608"/>
      <c r="AJ182" s="608"/>
      <c r="AK182" s="608"/>
      <c r="AL182" s="608"/>
      <c r="AM182" s="608"/>
      <c r="AN182" s="608"/>
      <c r="AO182" s="608"/>
      <c r="AP182" s="608"/>
      <c r="AQ182" s="611"/>
    </row>
    <row r="183" spans="1:43" ht="22.5" customHeight="1">
      <c r="A183" s="609" t="s">
        <v>160</v>
      </c>
      <c r="B183" s="610"/>
      <c r="C183" s="610"/>
      <c r="D183" s="610"/>
      <c r="E183" s="610"/>
      <c r="F183" s="610"/>
      <c r="G183" s="610" t="s">
        <v>161</v>
      </c>
      <c r="H183" s="610"/>
      <c r="I183" s="610" t="s">
        <v>162</v>
      </c>
      <c r="J183" s="610"/>
      <c r="K183" s="610"/>
      <c r="L183" s="610"/>
      <c r="M183" s="610"/>
      <c r="N183" s="610"/>
      <c r="O183" s="610" t="s">
        <v>161</v>
      </c>
      <c r="P183" s="610"/>
      <c r="Q183" s="610" t="s">
        <v>163</v>
      </c>
      <c r="R183" s="610"/>
      <c r="S183" s="610"/>
      <c r="T183" s="610"/>
      <c r="U183" s="610"/>
      <c r="V183" s="610"/>
      <c r="W183" s="610" t="s">
        <v>164</v>
      </c>
      <c r="X183" s="610"/>
      <c r="Y183" s="610" t="s">
        <v>165</v>
      </c>
      <c r="Z183" s="610"/>
      <c r="AA183" s="610"/>
      <c r="AB183" s="610"/>
      <c r="AC183" s="610"/>
      <c r="AD183" s="610"/>
      <c r="AE183" s="610" t="s">
        <v>166</v>
      </c>
      <c r="AF183" s="610"/>
      <c r="AG183" s="610" t="s">
        <v>167</v>
      </c>
      <c r="AH183" s="610"/>
      <c r="AI183" s="610"/>
      <c r="AJ183" s="610"/>
      <c r="AK183" s="610"/>
      <c r="AL183" s="610"/>
      <c r="AM183" s="610"/>
      <c r="AN183" s="610"/>
      <c r="AO183" s="610"/>
      <c r="AP183" s="610"/>
      <c r="AQ183" s="614"/>
    </row>
    <row r="184" spans="1:43" ht="22.5" customHeight="1" thickBot="1">
      <c r="A184" s="615">
        <f>IF(C225&gt;0,"",精算表!$BD$46)</f>
        <v>0</v>
      </c>
      <c r="B184" s="616"/>
      <c r="C184" s="616"/>
      <c r="D184" s="616"/>
      <c r="E184" s="616"/>
      <c r="F184" s="616"/>
      <c r="G184" s="607" t="s">
        <v>161</v>
      </c>
      <c r="H184" s="607"/>
      <c r="I184" s="616">
        <f>IF(C225&gt;0,"",精算表!$BD$49)</f>
        <v>0</v>
      </c>
      <c r="J184" s="616"/>
      <c r="K184" s="616"/>
      <c r="L184" s="616"/>
      <c r="M184" s="616"/>
      <c r="N184" s="616"/>
      <c r="O184" s="607" t="s">
        <v>161</v>
      </c>
      <c r="P184" s="607"/>
      <c r="Q184" s="616">
        <f>IF(C225&gt;0,"",精算表!$BD$50)</f>
        <v>0</v>
      </c>
      <c r="R184" s="616"/>
      <c r="S184" s="616"/>
      <c r="T184" s="616"/>
      <c r="U184" s="616"/>
      <c r="V184" s="616"/>
      <c r="W184" s="607" t="s">
        <v>164</v>
      </c>
      <c r="X184" s="607"/>
      <c r="Y184" s="616">
        <f>IF(C225&gt;0,"",精算表!$BD$56)</f>
        <v>0</v>
      </c>
      <c r="Z184" s="616"/>
      <c r="AA184" s="616"/>
      <c r="AB184" s="616"/>
      <c r="AC184" s="616"/>
      <c r="AD184" s="616"/>
      <c r="AE184" s="607" t="s">
        <v>166</v>
      </c>
      <c r="AF184" s="607"/>
      <c r="AG184" s="613">
        <f>IF(C225&gt;0,"",A184-I184-Q184+Y184)</f>
        <v>0</v>
      </c>
      <c r="AH184" s="608"/>
      <c r="AI184" s="608"/>
      <c r="AJ184" s="608"/>
      <c r="AK184" s="608"/>
      <c r="AL184" s="608"/>
      <c r="AM184" s="608"/>
      <c r="AN184" s="608"/>
      <c r="AO184" s="608"/>
      <c r="AP184" s="608"/>
      <c r="AQ184" s="611"/>
    </row>
    <row r="185" spans="1:43" ht="22.5" customHeight="1">
      <c r="AD185" s="113" t="s">
        <v>142</v>
      </c>
      <c r="AF185" s="617" t="str">
        <f>AF139</f>
        <v>31</v>
      </c>
      <c r="AG185" s="617"/>
      <c r="AH185" s="113" t="s">
        <v>143</v>
      </c>
      <c r="AI185" s="617">
        <f>AI139</f>
        <v>10</v>
      </c>
      <c r="AJ185" s="617"/>
      <c r="AK185" s="617"/>
      <c r="AL185" s="578" t="s">
        <v>144</v>
      </c>
      <c r="AM185" s="578"/>
      <c r="AN185" s="617">
        <f>AN139</f>
        <v>17</v>
      </c>
      <c r="AO185" s="617"/>
      <c r="AP185" s="578" t="s">
        <v>145</v>
      </c>
      <c r="AQ185" s="578"/>
    </row>
    <row r="186" spans="1:43" ht="22.5" customHeight="1" thickBot="1">
      <c r="A186" s="579">
        <f>A140+1</f>
        <v>5</v>
      </c>
      <c r="B186" s="612"/>
      <c r="C186" s="612"/>
      <c r="D186" s="612"/>
      <c r="E186" s="612"/>
      <c r="F186" s="612"/>
      <c r="G186" s="612"/>
      <c r="H186" s="612"/>
      <c r="I186" s="612"/>
      <c r="J186" s="612"/>
      <c r="K186" s="612"/>
      <c r="L186" s="612"/>
      <c r="M186" s="612"/>
      <c r="N186" s="612"/>
      <c r="O186" s="612"/>
      <c r="P186" s="612"/>
      <c r="Q186" s="612"/>
      <c r="R186" s="612"/>
      <c r="S186" s="612"/>
      <c r="T186" s="612"/>
      <c r="U186" s="612"/>
      <c r="V186" s="612"/>
      <c r="W186" s="612"/>
      <c r="X186" s="612"/>
      <c r="Y186" s="612"/>
      <c r="Z186" s="612"/>
      <c r="AA186" s="612"/>
      <c r="AB186" s="612"/>
      <c r="AC186" s="612"/>
      <c r="AD186" s="612"/>
      <c r="AE186" s="612"/>
      <c r="AF186" s="612"/>
      <c r="AG186" s="612"/>
      <c r="AH186" s="612"/>
      <c r="AI186" s="612"/>
      <c r="AJ186" s="612"/>
      <c r="AK186" s="612"/>
      <c r="AL186" s="612"/>
      <c r="AM186" s="612"/>
      <c r="AN186" s="612"/>
      <c r="AO186" s="612"/>
      <c r="AP186" s="612"/>
      <c r="AQ186" s="612"/>
    </row>
    <row r="187" spans="1:43" ht="22.5" customHeight="1" thickBot="1">
      <c r="A187" s="580" t="s">
        <v>146</v>
      </c>
      <c r="B187" s="581"/>
      <c r="C187" s="582" t="s">
        <v>147</v>
      </c>
      <c r="D187" s="581"/>
      <c r="E187" s="582" t="s">
        <v>154</v>
      </c>
      <c r="F187" s="583"/>
      <c r="G187" s="583" t="s">
        <v>6</v>
      </c>
      <c r="H187" s="581"/>
      <c r="I187" s="583" t="s">
        <v>148</v>
      </c>
      <c r="J187" s="583"/>
      <c r="K187" s="581"/>
      <c r="L187" s="72" t="s">
        <v>2</v>
      </c>
      <c r="M187" s="72" t="s">
        <v>149</v>
      </c>
      <c r="N187" s="75" t="s">
        <v>150</v>
      </c>
      <c r="O187" s="582" t="s">
        <v>168</v>
      </c>
      <c r="P187" s="583"/>
      <c r="Q187" s="583"/>
      <c r="R187" s="583"/>
      <c r="S187" s="583"/>
      <c r="T187" s="583"/>
      <c r="U187" s="583"/>
      <c r="V187" s="583"/>
      <c r="W187" s="583"/>
      <c r="X187" s="583"/>
      <c r="Y187" s="583"/>
      <c r="Z187" s="583"/>
      <c r="AA187" s="583"/>
      <c r="AB187" s="583"/>
      <c r="AC187" s="583"/>
      <c r="AD187" s="583"/>
      <c r="AE187" s="583"/>
      <c r="AF187" s="581"/>
      <c r="AG187" s="583" t="s">
        <v>151</v>
      </c>
      <c r="AH187" s="583"/>
      <c r="AI187" s="583"/>
      <c r="AJ187" s="583"/>
      <c r="AK187" s="583"/>
      <c r="AL187" s="583"/>
      <c r="AM187" s="583"/>
      <c r="AN187" s="583"/>
      <c r="AO187" s="583"/>
      <c r="AP187" s="583"/>
      <c r="AQ187" s="584"/>
    </row>
    <row r="188" spans="1:43" ht="22.5" customHeight="1">
      <c r="A188" s="570">
        <f>A176+1</f>
        <v>141</v>
      </c>
      <c r="B188" s="571"/>
      <c r="C188" s="73" t="str">
        <f>IF(足元帳!AY142=1,"N",IF(足元帳!AY142=2,"R",""))</f>
        <v/>
      </c>
      <c r="D188" s="74" t="str">
        <f>IF(足元帳!AZ142&gt;0,VLOOKUP(足元帳!AZ142,管理シート!$CF$32:$CG$34,2,FALSE),"")</f>
        <v/>
      </c>
      <c r="E188" s="572" t="str">
        <f>IF(足元帳!BB142&gt;0,VLOOKUP(足元帳!BB142,管理シート!#REF!,2,FALSE),"")</f>
        <v/>
      </c>
      <c r="F188" s="573"/>
      <c r="G188" s="574">
        <f>足元帳!J142</f>
        <v>0</v>
      </c>
      <c r="H188" s="575"/>
      <c r="I188" s="574">
        <f>足元帳!K142</f>
        <v>0</v>
      </c>
      <c r="J188" s="576"/>
      <c r="K188" s="575"/>
      <c r="L188" s="73" t="str">
        <f ca="1">IF(足元帳!AB142="●","無",IF(足元帳!AC142="●","半",IF(AG188="周年","半",IF(AG188="プレ6","半",IF(AG188="6割","半","")))))</f>
        <v/>
      </c>
      <c r="M188" s="115" t="str">
        <f>IF(足元帳!AM142="","","○")&amp;IF(足元帳!AL142="","","○")</f>
        <v/>
      </c>
      <c r="N188" s="115" t="str">
        <f>IF(足元帳!AN142="","","○")</f>
        <v/>
      </c>
      <c r="O188" s="587" t="str">
        <f>IF(足元帳!U142="","",足元帳!U142)</f>
        <v/>
      </c>
      <c r="P188" s="565"/>
      <c r="Q188" s="565"/>
      <c r="R188" s="565" t="str">
        <f>IF(足元帳!V142="","",足元帳!V142)</f>
        <v/>
      </c>
      <c r="S188" s="565"/>
      <c r="T188" s="565"/>
      <c r="U188" s="565" t="str">
        <f>IF(足元帳!W142="","",足元帳!W142)</f>
        <v/>
      </c>
      <c r="V188" s="565"/>
      <c r="W188" s="565"/>
      <c r="X188" s="565" t="str">
        <f>IF(足元帳!X142="","",足元帳!X142)</f>
        <v/>
      </c>
      <c r="Y188" s="565"/>
      <c r="Z188" s="565"/>
      <c r="AA188" s="565" t="str">
        <f>IF(足元帳!Y142="","",足元帳!Y142)</f>
        <v/>
      </c>
      <c r="AB188" s="565"/>
      <c r="AC188" s="565"/>
      <c r="AD188" s="565" t="str">
        <f>IF(足元帳!Z142="","",足元帳!Z142)</f>
        <v/>
      </c>
      <c r="AE188" s="565"/>
      <c r="AF188" s="566"/>
      <c r="AG188" s="587" t="str">
        <f ca="1">IF(ISERROR(MATCH("●",足元帳!AD142:AM142,0)),IF(足元帳!AM142="","",足元帳!$AM$1&amp;足元帳!AM142),INDIRECT("足元帳!R1C"&amp;MATCH("●",足元帳!AD142:AM142,0)+29,FALSE))</f>
        <v/>
      </c>
      <c r="AH188" s="565"/>
      <c r="AI188" s="565"/>
      <c r="AJ188" s="565"/>
      <c r="AK188" s="565" t="str">
        <f>IF(足元帳!AT142="","",足元帳!AT142)</f>
        <v/>
      </c>
      <c r="AL188" s="565"/>
      <c r="AM188" s="565"/>
      <c r="AN188" s="565"/>
      <c r="AO188" s="565"/>
      <c r="AP188" s="565"/>
      <c r="AQ188" s="588"/>
    </row>
    <row r="189" spans="1:43" ht="22.5" customHeight="1">
      <c r="A189" s="586">
        <f>A188+1</f>
        <v>142</v>
      </c>
      <c r="B189" s="566"/>
      <c r="C189" s="73" t="str">
        <f>IF(足元帳!AY143=1,"N",IF(足元帳!AY143=2,"R",""))</f>
        <v/>
      </c>
      <c r="D189" s="74" t="str">
        <f>IF(足元帳!AZ143&gt;0,VLOOKUP(足元帳!AZ143,管理シート!$CF$32:$CG$34,2,FALSE),"")</f>
        <v/>
      </c>
      <c r="E189" s="572" t="str">
        <f>IF(足元帳!BB143&gt;0,VLOOKUP(足元帳!BB143,管理シート!#REF!,2,FALSE),"")</f>
        <v/>
      </c>
      <c r="F189" s="573"/>
      <c r="G189" s="574">
        <f>足元帳!J143</f>
        <v>0</v>
      </c>
      <c r="H189" s="575"/>
      <c r="I189" s="574">
        <f>足元帳!K143</f>
        <v>0</v>
      </c>
      <c r="J189" s="576"/>
      <c r="K189" s="575"/>
      <c r="L189" s="73" t="str">
        <f ca="1">IF(足元帳!AB143="●","無",IF(足元帳!AC143="●","半",IF(AG189="周年","半",IF(AG189="プレ6","半",IF(AG189="6割","半","")))))</f>
        <v/>
      </c>
      <c r="M189" s="115" t="str">
        <f>IF(足元帳!AM143="","","○")&amp;IF(足元帳!AL143="","","○")</f>
        <v/>
      </c>
      <c r="N189" s="115" t="str">
        <f>IF(足元帳!AN143="","","○")</f>
        <v/>
      </c>
      <c r="O189" s="587" t="str">
        <f>IF(足元帳!U143="","",足元帳!U143)</f>
        <v/>
      </c>
      <c r="P189" s="565"/>
      <c r="Q189" s="565"/>
      <c r="R189" s="565" t="str">
        <f>IF(足元帳!V143="","",足元帳!V143)</f>
        <v/>
      </c>
      <c r="S189" s="565"/>
      <c r="T189" s="565"/>
      <c r="U189" s="565" t="str">
        <f>IF(足元帳!W143="","",足元帳!W143)</f>
        <v/>
      </c>
      <c r="V189" s="565"/>
      <c r="W189" s="565"/>
      <c r="X189" s="565" t="str">
        <f>IF(足元帳!X143="","",足元帳!X143)</f>
        <v/>
      </c>
      <c r="Y189" s="565"/>
      <c r="Z189" s="565"/>
      <c r="AA189" s="565" t="str">
        <f>IF(足元帳!Y143="","",足元帳!Y143)</f>
        <v/>
      </c>
      <c r="AB189" s="565"/>
      <c r="AC189" s="565"/>
      <c r="AD189" s="565" t="str">
        <f>IF(足元帳!Z143="","",足元帳!Z143)</f>
        <v/>
      </c>
      <c r="AE189" s="565"/>
      <c r="AF189" s="566"/>
      <c r="AG189" s="587" t="str">
        <f ca="1">IF(ISERROR(MATCH("●",足元帳!AD143:AM143,0)),IF(足元帳!AM143="","",足元帳!$AM$1&amp;足元帳!AM143),INDIRECT("足元帳!R1C"&amp;MATCH("●",足元帳!AD143:AM143,0)+29,FALSE))</f>
        <v/>
      </c>
      <c r="AH189" s="565"/>
      <c r="AI189" s="565"/>
      <c r="AJ189" s="565"/>
      <c r="AK189" s="565" t="str">
        <f>IF(足元帳!AT143="","",足元帳!AT143)</f>
        <v/>
      </c>
      <c r="AL189" s="565"/>
      <c r="AM189" s="565"/>
      <c r="AN189" s="565"/>
      <c r="AO189" s="565"/>
      <c r="AP189" s="565"/>
      <c r="AQ189" s="588"/>
    </row>
    <row r="190" spans="1:43" ht="22.5" customHeight="1">
      <c r="A190" s="586">
        <f t="shared" ref="A190:A222" si="9">A189+1</f>
        <v>143</v>
      </c>
      <c r="B190" s="566"/>
      <c r="C190" s="73" t="str">
        <f>IF(足元帳!AY144=1,"N",IF(足元帳!AY144=2,"R",""))</f>
        <v/>
      </c>
      <c r="D190" s="74" t="str">
        <f>IF(足元帳!AZ144&gt;0,VLOOKUP(足元帳!AZ144,管理シート!$CF$32:$CG$34,2,FALSE),"")</f>
        <v/>
      </c>
      <c r="E190" s="572" t="str">
        <f>IF(足元帳!BB144&gt;0,VLOOKUP(足元帳!BB144,管理シート!#REF!,2,FALSE),"")</f>
        <v/>
      </c>
      <c r="F190" s="573"/>
      <c r="G190" s="574">
        <f>足元帳!J144</f>
        <v>0</v>
      </c>
      <c r="H190" s="575"/>
      <c r="I190" s="574">
        <f>足元帳!K144</f>
        <v>0</v>
      </c>
      <c r="J190" s="576"/>
      <c r="K190" s="575"/>
      <c r="L190" s="73" t="str">
        <f ca="1">IF(足元帳!AB144="●","無",IF(足元帳!AC144="●","半",IF(AG190="周年","半",IF(AG190="プレ6","半",IF(AG190="6割","半","")))))</f>
        <v/>
      </c>
      <c r="M190" s="115" t="str">
        <f>IF(足元帳!AM144="","","○")&amp;IF(足元帳!AL144="","","○")</f>
        <v/>
      </c>
      <c r="N190" s="115" t="str">
        <f>IF(足元帳!AN144="","","○")</f>
        <v/>
      </c>
      <c r="O190" s="587" t="str">
        <f>IF(足元帳!U144="","",足元帳!U144)</f>
        <v/>
      </c>
      <c r="P190" s="565"/>
      <c r="Q190" s="565"/>
      <c r="R190" s="565" t="str">
        <f>IF(足元帳!V144="","",足元帳!V144)</f>
        <v/>
      </c>
      <c r="S190" s="565"/>
      <c r="T190" s="565"/>
      <c r="U190" s="565" t="str">
        <f>IF(足元帳!W144="","",足元帳!W144)</f>
        <v/>
      </c>
      <c r="V190" s="565"/>
      <c r="W190" s="565"/>
      <c r="X190" s="565" t="str">
        <f>IF(足元帳!X144="","",足元帳!X144)</f>
        <v/>
      </c>
      <c r="Y190" s="565"/>
      <c r="Z190" s="565"/>
      <c r="AA190" s="565" t="str">
        <f>IF(足元帳!Y144="","",足元帳!Y144)</f>
        <v/>
      </c>
      <c r="AB190" s="565"/>
      <c r="AC190" s="565"/>
      <c r="AD190" s="565" t="str">
        <f>IF(足元帳!Z144="","",足元帳!Z144)</f>
        <v/>
      </c>
      <c r="AE190" s="565"/>
      <c r="AF190" s="566"/>
      <c r="AG190" s="587" t="str">
        <f ca="1">IF(ISERROR(MATCH("●",足元帳!AD144:AM144,0)),IF(足元帳!AM144="","",足元帳!$AM$1&amp;足元帳!AM144),INDIRECT("足元帳!R1C"&amp;MATCH("●",足元帳!AD144:AM144,0)+29,FALSE))</f>
        <v/>
      </c>
      <c r="AH190" s="565"/>
      <c r="AI190" s="565"/>
      <c r="AJ190" s="565"/>
      <c r="AK190" s="565" t="str">
        <f>IF(足元帳!AT144="","",足元帳!AT144)</f>
        <v/>
      </c>
      <c r="AL190" s="565"/>
      <c r="AM190" s="565"/>
      <c r="AN190" s="565"/>
      <c r="AO190" s="565"/>
      <c r="AP190" s="565"/>
      <c r="AQ190" s="588"/>
    </row>
    <row r="191" spans="1:43" ht="22.5" customHeight="1">
      <c r="A191" s="586">
        <f t="shared" si="9"/>
        <v>144</v>
      </c>
      <c r="B191" s="566"/>
      <c r="C191" s="73" t="str">
        <f>IF(足元帳!AY145=1,"N",IF(足元帳!AY145=2,"R",""))</f>
        <v/>
      </c>
      <c r="D191" s="74" t="str">
        <f>IF(足元帳!AZ145&gt;0,VLOOKUP(足元帳!AZ145,管理シート!$CF$32:$CG$34,2,FALSE),"")</f>
        <v/>
      </c>
      <c r="E191" s="572" t="str">
        <f>IF(足元帳!BB145&gt;0,VLOOKUP(足元帳!BB145,管理シート!#REF!,2,FALSE),"")</f>
        <v/>
      </c>
      <c r="F191" s="573"/>
      <c r="G191" s="574">
        <f>足元帳!J145</f>
        <v>0</v>
      </c>
      <c r="H191" s="575"/>
      <c r="I191" s="574">
        <f>足元帳!K145</f>
        <v>0</v>
      </c>
      <c r="J191" s="576"/>
      <c r="K191" s="575"/>
      <c r="L191" s="73" t="str">
        <f ca="1">IF(足元帳!AB145="●","無",IF(足元帳!AC145="●","半",IF(AG191="周年","半",IF(AG191="プレ6","半",IF(AG191="6割","半","")))))</f>
        <v/>
      </c>
      <c r="M191" s="115" t="str">
        <f>IF(足元帳!AM145="","","○")&amp;IF(足元帳!AL145="","","○")</f>
        <v/>
      </c>
      <c r="N191" s="115" t="str">
        <f>IF(足元帳!AN145="","","○")</f>
        <v/>
      </c>
      <c r="O191" s="587" t="str">
        <f>IF(足元帳!U145="","",足元帳!U145)</f>
        <v/>
      </c>
      <c r="P191" s="565"/>
      <c r="Q191" s="565"/>
      <c r="R191" s="565" t="str">
        <f>IF(足元帳!V145="","",足元帳!V145)</f>
        <v/>
      </c>
      <c r="S191" s="565"/>
      <c r="T191" s="565"/>
      <c r="U191" s="565" t="str">
        <f>IF(足元帳!W145="","",足元帳!W145)</f>
        <v/>
      </c>
      <c r="V191" s="565"/>
      <c r="W191" s="565"/>
      <c r="X191" s="565" t="str">
        <f>IF(足元帳!X145="","",足元帳!X145)</f>
        <v/>
      </c>
      <c r="Y191" s="565"/>
      <c r="Z191" s="565"/>
      <c r="AA191" s="565" t="str">
        <f>IF(足元帳!Y145="","",足元帳!Y145)</f>
        <v/>
      </c>
      <c r="AB191" s="565"/>
      <c r="AC191" s="565"/>
      <c r="AD191" s="565" t="str">
        <f>IF(足元帳!Z145="","",足元帳!Z145)</f>
        <v/>
      </c>
      <c r="AE191" s="565"/>
      <c r="AF191" s="566"/>
      <c r="AG191" s="587" t="str">
        <f ca="1">IF(ISERROR(MATCH("●",足元帳!AD145:AM145,0)),IF(足元帳!AM145="","",足元帳!$AM$1&amp;足元帳!AM145),INDIRECT("足元帳!R1C"&amp;MATCH("●",足元帳!AD145:AM145,0)+29,FALSE))</f>
        <v/>
      </c>
      <c r="AH191" s="565"/>
      <c r="AI191" s="565"/>
      <c r="AJ191" s="565"/>
      <c r="AK191" s="565" t="str">
        <f>IF(足元帳!AT145="","",足元帳!AT145)</f>
        <v/>
      </c>
      <c r="AL191" s="565"/>
      <c r="AM191" s="565"/>
      <c r="AN191" s="565"/>
      <c r="AO191" s="565"/>
      <c r="AP191" s="565"/>
      <c r="AQ191" s="588"/>
    </row>
    <row r="192" spans="1:43" ht="22.5" customHeight="1">
      <c r="A192" s="586">
        <f t="shared" si="9"/>
        <v>145</v>
      </c>
      <c r="B192" s="566"/>
      <c r="C192" s="73" t="str">
        <f>IF(足元帳!AY146=1,"N",IF(足元帳!AY146=2,"R",""))</f>
        <v/>
      </c>
      <c r="D192" s="74" t="str">
        <f>IF(足元帳!AZ146&gt;0,VLOOKUP(足元帳!AZ146,管理シート!$CF$32:$CG$34,2,FALSE),"")</f>
        <v/>
      </c>
      <c r="E192" s="572" t="str">
        <f>IF(足元帳!BB146&gt;0,VLOOKUP(足元帳!BB146,管理シート!#REF!,2,FALSE),"")</f>
        <v/>
      </c>
      <c r="F192" s="573"/>
      <c r="G192" s="574">
        <f>足元帳!J146</f>
        <v>0</v>
      </c>
      <c r="H192" s="575"/>
      <c r="I192" s="574">
        <f>足元帳!K146</f>
        <v>0</v>
      </c>
      <c r="J192" s="576"/>
      <c r="K192" s="575"/>
      <c r="L192" s="73" t="str">
        <f ca="1">IF(足元帳!AB146="●","無",IF(足元帳!AC146="●","半",IF(AG192="周年","半",IF(AG192="プレ6","半",IF(AG192="6割","半","")))))</f>
        <v/>
      </c>
      <c r="M192" s="115" t="str">
        <f>IF(足元帳!AM146="","","○")&amp;IF(足元帳!AL146="","","○")</f>
        <v/>
      </c>
      <c r="N192" s="115" t="str">
        <f>IF(足元帳!AN146="","","○")</f>
        <v/>
      </c>
      <c r="O192" s="587" t="str">
        <f>IF(足元帳!U146="","",足元帳!U146)</f>
        <v/>
      </c>
      <c r="P192" s="565"/>
      <c r="Q192" s="565"/>
      <c r="R192" s="565" t="str">
        <f>IF(足元帳!V146="","",足元帳!V146)</f>
        <v/>
      </c>
      <c r="S192" s="565"/>
      <c r="T192" s="565"/>
      <c r="U192" s="565" t="str">
        <f>IF(足元帳!W146="","",足元帳!W146)</f>
        <v/>
      </c>
      <c r="V192" s="565"/>
      <c r="W192" s="565"/>
      <c r="X192" s="565" t="str">
        <f>IF(足元帳!X146="","",足元帳!X146)</f>
        <v/>
      </c>
      <c r="Y192" s="565"/>
      <c r="Z192" s="565"/>
      <c r="AA192" s="565" t="str">
        <f>IF(足元帳!Y146="","",足元帳!Y146)</f>
        <v/>
      </c>
      <c r="AB192" s="565"/>
      <c r="AC192" s="565"/>
      <c r="AD192" s="565" t="str">
        <f>IF(足元帳!Z146="","",足元帳!Z146)</f>
        <v/>
      </c>
      <c r="AE192" s="565"/>
      <c r="AF192" s="566"/>
      <c r="AG192" s="587" t="str">
        <f ca="1">IF(ISERROR(MATCH("●",足元帳!AD146:AM146,0)),IF(足元帳!AM146="","",足元帳!$AM$1&amp;足元帳!AM146),INDIRECT("足元帳!R1C"&amp;MATCH("●",足元帳!AD146:AM146,0)+29,FALSE))</f>
        <v/>
      </c>
      <c r="AH192" s="565"/>
      <c r="AI192" s="565"/>
      <c r="AJ192" s="565"/>
      <c r="AK192" s="565" t="str">
        <f>IF(足元帳!AT146="","",足元帳!AT146)</f>
        <v/>
      </c>
      <c r="AL192" s="565"/>
      <c r="AM192" s="565"/>
      <c r="AN192" s="565"/>
      <c r="AO192" s="565"/>
      <c r="AP192" s="565"/>
      <c r="AQ192" s="588"/>
    </row>
    <row r="193" spans="1:43" ht="22.5" customHeight="1">
      <c r="A193" s="586">
        <f t="shared" si="9"/>
        <v>146</v>
      </c>
      <c r="B193" s="566"/>
      <c r="C193" s="73" t="str">
        <f>IF(足元帳!AY147=1,"N",IF(足元帳!AY147=2,"R",""))</f>
        <v/>
      </c>
      <c r="D193" s="74" t="str">
        <f>IF(足元帳!AZ147&gt;0,VLOOKUP(足元帳!AZ147,管理シート!$CF$32:$CG$34,2,FALSE),"")</f>
        <v/>
      </c>
      <c r="E193" s="572" t="str">
        <f>IF(足元帳!BB147&gt;0,VLOOKUP(足元帳!BB147,管理シート!#REF!,2,FALSE),"")</f>
        <v/>
      </c>
      <c r="F193" s="573"/>
      <c r="G193" s="574">
        <f>足元帳!J147</f>
        <v>0</v>
      </c>
      <c r="H193" s="575"/>
      <c r="I193" s="574">
        <f>足元帳!K147</f>
        <v>0</v>
      </c>
      <c r="J193" s="576"/>
      <c r="K193" s="575"/>
      <c r="L193" s="73" t="str">
        <f ca="1">IF(足元帳!AB147="●","無",IF(足元帳!AC147="●","半",IF(AG193="周年","半",IF(AG193="プレ6","半",IF(AG193="6割","半","")))))</f>
        <v/>
      </c>
      <c r="M193" s="115" t="str">
        <f>IF(足元帳!AM147="","","○")&amp;IF(足元帳!AL147="","","○")</f>
        <v/>
      </c>
      <c r="N193" s="115" t="str">
        <f>IF(足元帳!AN147="","","○")</f>
        <v/>
      </c>
      <c r="O193" s="587" t="str">
        <f>IF(足元帳!U147="","",足元帳!U147)</f>
        <v/>
      </c>
      <c r="P193" s="565"/>
      <c r="Q193" s="565"/>
      <c r="R193" s="565" t="str">
        <f>IF(足元帳!V147="","",足元帳!V147)</f>
        <v/>
      </c>
      <c r="S193" s="565"/>
      <c r="T193" s="565"/>
      <c r="U193" s="565" t="str">
        <f>IF(足元帳!W147="","",足元帳!W147)</f>
        <v/>
      </c>
      <c r="V193" s="565"/>
      <c r="W193" s="565"/>
      <c r="X193" s="565" t="str">
        <f>IF(足元帳!X147="","",足元帳!X147)</f>
        <v/>
      </c>
      <c r="Y193" s="565"/>
      <c r="Z193" s="565"/>
      <c r="AA193" s="565" t="str">
        <f>IF(足元帳!Y147="","",足元帳!Y147)</f>
        <v/>
      </c>
      <c r="AB193" s="565"/>
      <c r="AC193" s="565"/>
      <c r="AD193" s="565" t="str">
        <f>IF(足元帳!Z147="","",足元帳!Z147)</f>
        <v/>
      </c>
      <c r="AE193" s="565"/>
      <c r="AF193" s="566"/>
      <c r="AG193" s="587" t="str">
        <f ca="1">IF(ISERROR(MATCH("●",足元帳!AD147:AM147,0)),IF(足元帳!AM147="","",足元帳!$AM$1&amp;足元帳!AM147),INDIRECT("足元帳!R1C"&amp;MATCH("●",足元帳!AD147:AM147,0)+29,FALSE))</f>
        <v/>
      </c>
      <c r="AH193" s="565"/>
      <c r="AI193" s="565"/>
      <c r="AJ193" s="565"/>
      <c r="AK193" s="565" t="str">
        <f>IF(足元帳!AT147="","",足元帳!AT147)</f>
        <v/>
      </c>
      <c r="AL193" s="565"/>
      <c r="AM193" s="565"/>
      <c r="AN193" s="565"/>
      <c r="AO193" s="565"/>
      <c r="AP193" s="565"/>
      <c r="AQ193" s="588"/>
    </row>
    <row r="194" spans="1:43" ht="22.5" customHeight="1">
      <c r="A194" s="586">
        <f t="shared" si="9"/>
        <v>147</v>
      </c>
      <c r="B194" s="566"/>
      <c r="C194" s="73" t="str">
        <f>IF(足元帳!AY148=1,"N",IF(足元帳!AY148=2,"R",""))</f>
        <v/>
      </c>
      <c r="D194" s="74" t="str">
        <f>IF(足元帳!AZ148&gt;0,VLOOKUP(足元帳!AZ148,管理シート!$CF$32:$CG$34,2,FALSE),"")</f>
        <v/>
      </c>
      <c r="E194" s="572" t="str">
        <f>IF(足元帳!BB148&gt;0,VLOOKUP(足元帳!BB148,管理シート!#REF!,2,FALSE),"")</f>
        <v/>
      </c>
      <c r="F194" s="573"/>
      <c r="G194" s="574">
        <f>足元帳!J148</f>
        <v>0</v>
      </c>
      <c r="H194" s="575"/>
      <c r="I194" s="574">
        <f>足元帳!K148</f>
        <v>0</v>
      </c>
      <c r="J194" s="576"/>
      <c r="K194" s="575"/>
      <c r="L194" s="73" t="str">
        <f ca="1">IF(足元帳!AB148="●","無",IF(足元帳!AC148="●","半",IF(AG194="周年","半",IF(AG194="プレ6","半",IF(AG194="6割","半","")))))</f>
        <v/>
      </c>
      <c r="M194" s="115" t="str">
        <f>IF(足元帳!AM148="","","○")&amp;IF(足元帳!AL148="","","○")</f>
        <v/>
      </c>
      <c r="N194" s="115" t="str">
        <f>IF(足元帳!AN148="","","○")</f>
        <v/>
      </c>
      <c r="O194" s="587" t="str">
        <f>IF(足元帳!U148="","",足元帳!U148)</f>
        <v/>
      </c>
      <c r="P194" s="565"/>
      <c r="Q194" s="565"/>
      <c r="R194" s="565" t="str">
        <f>IF(足元帳!V148="","",足元帳!V148)</f>
        <v/>
      </c>
      <c r="S194" s="565"/>
      <c r="T194" s="565"/>
      <c r="U194" s="565" t="str">
        <f>IF(足元帳!W148="","",足元帳!W148)</f>
        <v/>
      </c>
      <c r="V194" s="565"/>
      <c r="W194" s="565"/>
      <c r="X194" s="565" t="str">
        <f>IF(足元帳!X148="","",足元帳!X148)</f>
        <v/>
      </c>
      <c r="Y194" s="565"/>
      <c r="Z194" s="565"/>
      <c r="AA194" s="565" t="str">
        <f>IF(足元帳!Y148="","",足元帳!Y148)</f>
        <v/>
      </c>
      <c r="AB194" s="565"/>
      <c r="AC194" s="565"/>
      <c r="AD194" s="565" t="str">
        <f>IF(足元帳!Z148="","",足元帳!Z148)</f>
        <v/>
      </c>
      <c r="AE194" s="565"/>
      <c r="AF194" s="566"/>
      <c r="AG194" s="587" t="str">
        <f ca="1">IF(ISERROR(MATCH("●",足元帳!AD148:AM148,0)),IF(足元帳!AM148="","",足元帳!$AM$1&amp;足元帳!AM148),INDIRECT("足元帳!R1C"&amp;MATCH("●",足元帳!AD148:AM148,0)+29,FALSE))</f>
        <v/>
      </c>
      <c r="AH194" s="565"/>
      <c r="AI194" s="565"/>
      <c r="AJ194" s="565"/>
      <c r="AK194" s="565" t="str">
        <f>IF(足元帳!AT148="","",足元帳!AT148)</f>
        <v/>
      </c>
      <c r="AL194" s="565"/>
      <c r="AM194" s="565"/>
      <c r="AN194" s="565"/>
      <c r="AO194" s="565"/>
      <c r="AP194" s="565"/>
      <c r="AQ194" s="588"/>
    </row>
    <row r="195" spans="1:43" ht="22.5" customHeight="1">
      <c r="A195" s="586">
        <f t="shared" si="9"/>
        <v>148</v>
      </c>
      <c r="B195" s="566"/>
      <c r="C195" s="73" t="str">
        <f>IF(足元帳!AY149=1,"N",IF(足元帳!AY149=2,"R",""))</f>
        <v/>
      </c>
      <c r="D195" s="74" t="str">
        <f>IF(足元帳!AZ149&gt;0,VLOOKUP(足元帳!AZ149,管理シート!$CF$32:$CG$34,2,FALSE),"")</f>
        <v/>
      </c>
      <c r="E195" s="572" t="str">
        <f>IF(足元帳!BB149&gt;0,VLOOKUP(足元帳!BB149,管理シート!#REF!,2,FALSE),"")</f>
        <v/>
      </c>
      <c r="F195" s="573"/>
      <c r="G195" s="574">
        <f>足元帳!J149</f>
        <v>0</v>
      </c>
      <c r="H195" s="575"/>
      <c r="I195" s="574">
        <f>足元帳!K149</f>
        <v>0</v>
      </c>
      <c r="J195" s="576"/>
      <c r="K195" s="575"/>
      <c r="L195" s="73" t="str">
        <f ca="1">IF(足元帳!AB149="●","無",IF(足元帳!AC149="●","半",IF(AG195="周年","半",IF(AG195="プレ6","半",IF(AG195="6割","半","")))))</f>
        <v/>
      </c>
      <c r="M195" s="115" t="str">
        <f>IF(足元帳!AM149="","","○")&amp;IF(足元帳!AL149="","","○")</f>
        <v/>
      </c>
      <c r="N195" s="115" t="str">
        <f>IF(足元帳!AN149="","","○")</f>
        <v/>
      </c>
      <c r="O195" s="587" t="str">
        <f>IF(足元帳!U149="","",足元帳!U149)</f>
        <v/>
      </c>
      <c r="P195" s="565"/>
      <c r="Q195" s="565"/>
      <c r="R195" s="565" t="str">
        <f>IF(足元帳!V149="","",足元帳!V149)</f>
        <v/>
      </c>
      <c r="S195" s="565"/>
      <c r="T195" s="565"/>
      <c r="U195" s="565" t="str">
        <f>IF(足元帳!W149="","",足元帳!W149)</f>
        <v/>
      </c>
      <c r="V195" s="565"/>
      <c r="W195" s="565"/>
      <c r="X195" s="565" t="str">
        <f>IF(足元帳!X149="","",足元帳!X149)</f>
        <v/>
      </c>
      <c r="Y195" s="565"/>
      <c r="Z195" s="565"/>
      <c r="AA195" s="565" t="str">
        <f>IF(足元帳!Y149="","",足元帳!Y149)</f>
        <v/>
      </c>
      <c r="AB195" s="565"/>
      <c r="AC195" s="565"/>
      <c r="AD195" s="565" t="str">
        <f>IF(足元帳!Z149="","",足元帳!Z149)</f>
        <v/>
      </c>
      <c r="AE195" s="565"/>
      <c r="AF195" s="566"/>
      <c r="AG195" s="587" t="str">
        <f ca="1">IF(ISERROR(MATCH("●",足元帳!AD149:AM149,0)),IF(足元帳!AM149="","",足元帳!$AM$1&amp;足元帳!AM149),INDIRECT("足元帳!R1C"&amp;MATCH("●",足元帳!AD149:AM149,0)+29,FALSE))</f>
        <v/>
      </c>
      <c r="AH195" s="565"/>
      <c r="AI195" s="565"/>
      <c r="AJ195" s="565"/>
      <c r="AK195" s="565" t="str">
        <f>IF(足元帳!AT149="","",足元帳!AT149)</f>
        <v/>
      </c>
      <c r="AL195" s="565"/>
      <c r="AM195" s="565"/>
      <c r="AN195" s="565"/>
      <c r="AO195" s="565"/>
      <c r="AP195" s="565"/>
      <c r="AQ195" s="588"/>
    </row>
    <row r="196" spans="1:43" ht="22.5" customHeight="1">
      <c r="A196" s="586">
        <f t="shared" si="9"/>
        <v>149</v>
      </c>
      <c r="B196" s="566"/>
      <c r="C196" s="73" t="str">
        <f>IF(足元帳!AY150=1,"N",IF(足元帳!AY150=2,"R",""))</f>
        <v/>
      </c>
      <c r="D196" s="74" t="str">
        <f>IF(足元帳!AZ150&gt;0,VLOOKUP(足元帳!AZ150,管理シート!$CF$32:$CG$34,2,FALSE),"")</f>
        <v/>
      </c>
      <c r="E196" s="572" t="str">
        <f>IF(足元帳!BB150&gt;0,VLOOKUP(足元帳!BB150,管理シート!#REF!,2,FALSE),"")</f>
        <v/>
      </c>
      <c r="F196" s="573"/>
      <c r="G196" s="574">
        <f>足元帳!J150</f>
        <v>0</v>
      </c>
      <c r="H196" s="575"/>
      <c r="I196" s="574">
        <f>足元帳!K150</f>
        <v>0</v>
      </c>
      <c r="J196" s="576"/>
      <c r="K196" s="575"/>
      <c r="L196" s="73" t="str">
        <f ca="1">IF(足元帳!AB150="●","無",IF(足元帳!AC150="●","半",IF(AG196="周年","半",IF(AG196="プレ6","半",IF(AG196="6割","半","")))))</f>
        <v/>
      </c>
      <c r="M196" s="115" t="str">
        <f>IF(足元帳!AM150="","","○")&amp;IF(足元帳!AL150="","","○")</f>
        <v/>
      </c>
      <c r="N196" s="115" t="str">
        <f>IF(足元帳!AN150="","","○")</f>
        <v/>
      </c>
      <c r="O196" s="587" t="str">
        <f>IF(足元帳!U150="","",足元帳!U150)</f>
        <v/>
      </c>
      <c r="P196" s="565"/>
      <c r="Q196" s="565"/>
      <c r="R196" s="565" t="str">
        <f>IF(足元帳!V150="","",足元帳!V150)</f>
        <v/>
      </c>
      <c r="S196" s="565"/>
      <c r="T196" s="565"/>
      <c r="U196" s="565" t="str">
        <f>IF(足元帳!W150="","",足元帳!W150)</f>
        <v/>
      </c>
      <c r="V196" s="565"/>
      <c r="W196" s="565"/>
      <c r="X196" s="565" t="str">
        <f>IF(足元帳!X150="","",足元帳!X150)</f>
        <v/>
      </c>
      <c r="Y196" s="565"/>
      <c r="Z196" s="565"/>
      <c r="AA196" s="565" t="str">
        <f>IF(足元帳!Y150="","",足元帳!Y150)</f>
        <v/>
      </c>
      <c r="AB196" s="565"/>
      <c r="AC196" s="565"/>
      <c r="AD196" s="565" t="str">
        <f>IF(足元帳!Z150="","",足元帳!Z150)</f>
        <v/>
      </c>
      <c r="AE196" s="565"/>
      <c r="AF196" s="566"/>
      <c r="AG196" s="587" t="str">
        <f ca="1">IF(ISERROR(MATCH("●",足元帳!AD150:AM150,0)),IF(足元帳!AM150="","",足元帳!$AM$1&amp;足元帳!AM150),INDIRECT("足元帳!R1C"&amp;MATCH("●",足元帳!AD150:AM150,0)+29,FALSE))</f>
        <v/>
      </c>
      <c r="AH196" s="565"/>
      <c r="AI196" s="565"/>
      <c r="AJ196" s="565"/>
      <c r="AK196" s="565" t="str">
        <f>IF(足元帳!AT150="","",足元帳!AT150)</f>
        <v/>
      </c>
      <c r="AL196" s="565"/>
      <c r="AM196" s="565"/>
      <c r="AN196" s="565"/>
      <c r="AO196" s="565"/>
      <c r="AP196" s="565"/>
      <c r="AQ196" s="588"/>
    </row>
    <row r="197" spans="1:43" ht="22.5" customHeight="1">
      <c r="A197" s="586">
        <f t="shared" si="9"/>
        <v>150</v>
      </c>
      <c r="B197" s="566"/>
      <c r="C197" s="73" t="str">
        <f>IF(足元帳!AY151=1,"N",IF(足元帳!AY151=2,"R",""))</f>
        <v/>
      </c>
      <c r="D197" s="74" t="str">
        <f>IF(足元帳!AZ151&gt;0,VLOOKUP(足元帳!AZ151,管理シート!$CF$32:$CG$34,2,FALSE),"")</f>
        <v/>
      </c>
      <c r="E197" s="572" t="str">
        <f>IF(足元帳!BB151&gt;0,VLOOKUP(足元帳!BB151,管理シート!#REF!,2,FALSE),"")</f>
        <v/>
      </c>
      <c r="F197" s="573"/>
      <c r="G197" s="574">
        <f>足元帳!J151</f>
        <v>0</v>
      </c>
      <c r="H197" s="575"/>
      <c r="I197" s="574">
        <f>足元帳!K151</f>
        <v>0</v>
      </c>
      <c r="J197" s="576"/>
      <c r="K197" s="575"/>
      <c r="L197" s="73" t="str">
        <f ca="1">IF(足元帳!AB151="●","無",IF(足元帳!AC151="●","半",IF(AG197="周年","半",IF(AG197="プレ6","半",IF(AG197="6割","半","")))))</f>
        <v/>
      </c>
      <c r="M197" s="115" t="str">
        <f>IF(足元帳!AM151="","","○")&amp;IF(足元帳!AL151="","","○")</f>
        <v/>
      </c>
      <c r="N197" s="115" t="str">
        <f>IF(足元帳!AN151="","","○")</f>
        <v/>
      </c>
      <c r="O197" s="587" t="str">
        <f>IF(足元帳!U151="","",足元帳!U151)</f>
        <v/>
      </c>
      <c r="P197" s="565"/>
      <c r="Q197" s="565"/>
      <c r="R197" s="565" t="str">
        <f>IF(足元帳!V151="","",足元帳!V151)</f>
        <v/>
      </c>
      <c r="S197" s="565"/>
      <c r="T197" s="565"/>
      <c r="U197" s="565" t="str">
        <f>IF(足元帳!W151="","",足元帳!W151)</f>
        <v/>
      </c>
      <c r="V197" s="565"/>
      <c r="W197" s="565"/>
      <c r="X197" s="565" t="str">
        <f>IF(足元帳!X151="","",足元帳!X151)</f>
        <v/>
      </c>
      <c r="Y197" s="565"/>
      <c r="Z197" s="565"/>
      <c r="AA197" s="565" t="str">
        <f>IF(足元帳!Y151="","",足元帳!Y151)</f>
        <v/>
      </c>
      <c r="AB197" s="565"/>
      <c r="AC197" s="565"/>
      <c r="AD197" s="565" t="str">
        <f>IF(足元帳!Z151="","",足元帳!Z151)</f>
        <v/>
      </c>
      <c r="AE197" s="565"/>
      <c r="AF197" s="566"/>
      <c r="AG197" s="587" t="str">
        <f ca="1">IF(ISERROR(MATCH("●",足元帳!AD151:AM151,0)),IF(足元帳!AM151="","",足元帳!$AM$1&amp;足元帳!AM151),INDIRECT("足元帳!R1C"&amp;MATCH("●",足元帳!AD151:AM151,0)+29,FALSE))</f>
        <v/>
      </c>
      <c r="AH197" s="565"/>
      <c r="AI197" s="565"/>
      <c r="AJ197" s="565"/>
      <c r="AK197" s="565" t="str">
        <f>IF(足元帳!AT151="","",足元帳!AT151)</f>
        <v/>
      </c>
      <c r="AL197" s="565"/>
      <c r="AM197" s="565"/>
      <c r="AN197" s="565"/>
      <c r="AO197" s="565"/>
      <c r="AP197" s="565"/>
      <c r="AQ197" s="588"/>
    </row>
    <row r="198" spans="1:43" ht="22.5" customHeight="1">
      <c r="A198" s="586">
        <f t="shared" si="9"/>
        <v>151</v>
      </c>
      <c r="B198" s="566"/>
      <c r="C198" s="73" t="str">
        <f>IF(足元帳!AY152=1,"N",IF(足元帳!AY152=2,"R",""))</f>
        <v/>
      </c>
      <c r="D198" s="74" t="str">
        <f>IF(足元帳!AZ152&gt;0,VLOOKUP(足元帳!AZ152,管理シート!$CF$32:$CG$34,2,FALSE),"")</f>
        <v/>
      </c>
      <c r="E198" s="572" t="str">
        <f>IF(足元帳!BB152&gt;0,VLOOKUP(足元帳!BB152,管理シート!#REF!,2,FALSE),"")</f>
        <v/>
      </c>
      <c r="F198" s="573"/>
      <c r="G198" s="574">
        <f>足元帳!J152</f>
        <v>0</v>
      </c>
      <c r="H198" s="575"/>
      <c r="I198" s="574">
        <f>足元帳!K152</f>
        <v>0</v>
      </c>
      <c r="J198" s="576"/>
      <c r="K198" s="575"/>
      <c r="L198" s="73" t="str">
        <f ca="1">IF(足元帳!AB152="●","無",IF(足元帳!AC152="●","半",IF(AG198="周年","半",IF(AG198="プレ6","半",IF(AG198="6割","半","")))))</f>
        <v/>
      </c>
      <c r="M198" s="115" t="str">
        <f>IF(足元帳!AM152="","","○")&amp;IF(足元帳!AL152="","","○")</f>
        <v/>
      </c>
      <c r="N198" s="115" t="str">
        <f>IF(足元帳!AN152="","","○")</f>
        <v/>
      </c>
      <c r="O198" s="587" t="str">
        <f>IF(足元帳!U152="","",足元帳!U152)</f>
        <v/>
      </c>
      <c r="P198" s="565"/>
      <c r="Q198" s="565"/>
      <c r="R198" s="565" t="str">
        <f>IF(足元帳!V152="","",足元帳!V152)</f>
        <v/>
      </c>
      <c r="S198" s="565"/>
      <c r="T198" s="565"/>
      <c r="U198" s="565" t="str">
        <f>IF(足元帳!W152="","",足元帳!W152)</f>
        <v/>
      </c>
      <c r="V198" s="565"/>
      <c r="W198" s="565"/>
      <c r="X198" s="565" t="str">
        <f>IF(足元帳!X152="","",足元帳!X152)</f>
        <v/>
      </c>
      <c r="Y198" s="565"/>
      <c r="Z198" s="565"/>
      <c r="AA198" s="565" t="str">
        <f>IF(足元帳!Y152="","",足元帳!Y152)</f>
        <v/>
      </c>
      <c r="AB198" s="565"/>
      <c r="AC198" s="565"/>
      <c r="AD198" s="565" t="str">
        <f>IF(足元帳!Z152="","",足元帳!Z152)</f>
        <v/>
      </c>
      <c r="AE198" s="565"/>
      <c r="AF198" s="566"/>
      <c r="AG198" s="587" t="str">
        <f ca="1">IF(ISERROR(MATCH("●",足元帳!AD152:AM152,0)),IF(足元帳!AM152="","",足元帳!$AM$1&amp;足元帳!AM152),INDIRECT("足元帳!R1C"&amp;MATCH("●",足元帳!AD152:AM152,0)+29,FALSE))</f>
        <v/>
      </c>
      <c r="AH198" s="565"/>
      <c r="AI198" s="565"/>
      <c r="AJ198" s="565"/>
      <c r="AK198" s="565" t="str">
        <f>IF(足元帳!AT152="","",足元帳!AT152)</f>
        <v/>
      </c>
      <c r="AL198" s="565"/>
      <c r="AM198" s="565"/>
      <c r="AN198" s="565"/>
      <c r="AO198" s="565"/>
      <c r="AP198" s="565"/>
      <c r="AQ198" s="588"/>
    </row>
    <row r="199" spans="1:43" ht="22.5" customHeight="1">
      <c r="A199" s="586">
        <f t="shared" si="9"/>
        <v>152</v>
      </c>
      <c r="B199" s="566"/>
      <c r="C199" s="73" t="str">
        <f>IF(足元帳!AY153=1,"N",IF(足元帳!AY153=2,"R",""))</f>
        <v/>
      </c>
      <c r="D199" s="74" t="str">
        <f>IF(足元帳!AZ153&gt;0,VLOOKUP(足元帳!AZ153,管理シート!$CF$32:$CG$34,2,FALSE),"")</f>
        <v/>
      </c>
      <c r="E199" s="572" t="str">
        <f>IF(足元帳!BB153&gt;0,VLOOKUP(足元帳!BB153,管理シート!#REF!,2,FALSE),"")</f>
        <v/>
      </c>
      <c r="F199" s="573"/>
      <c r="G199" s="574">
        <f>足元帳!J153</f>
        <v>0</v>
      </c>
      <c r="H199" s="575"/>
      <c r="I199" s="574">
        <f>足元帳!K153</f>
        <v>0</v>
      </c>
      <c r="J199" s="576"/>
      <c r="K199" s="575"/>
      <c r="L199" s="73" t="str">
        <f ca="1">IF(足元帳!AB153="●","無",IF(足元帳!AC153="●","半",IF(AG199="周年","半",IF(AG199="プレ6","半",IF(AG199="6割","半","")))))</f>
        <v/>
      </c>
      <c r="M199" s="115" t="str">
        <f>IF(足元帳!AM153="","","○")&amp;IF(足元帳!AL153="","","○")</f>
        <v/>
      </c>
      <c r="N199" s="115" t="str">
        <f>IF(足元帳!AN153="","","○")</f>
        <v/>
      </c>
      <c r="O199" s="587" t="str">
        <f>IF(足元帳!U153="","",足元帳!U153)</f>
        <v/>
      </c>
      <c r="P199" s="565"/>
      <c r="Q199" s="565"/>
      <c r="R199" s="565" t="str">
        <f>IF(足元帳!V153="","",足元帳!V153)</f>
        <v/>
      </c>
      <c r="S199" s="565"/>
      <c r="T199" s="565"/>
      <c r="U199" s="565" t="str">
        <f>IF(足元帳!W153="","",足元帳!W153)</f>
        <v/>
      </c>
      <c r="V199" s="565"/>
      <c r="W199" s="565"/>
      <c r="X199" s="565" t="str">
        <f>IF(足元帳!X153="","",足元帳!X153)</f>
        <v/>
      </c>
      <c r="Y199" s="565"/>
      <c r="Z199" s="565"/>
      <c r="AA199" s="565" t="str">
        <f>IF(足元帳!Y153="","",足元帳!Y153)</f>
        <v/>
      </c>
      <c r="AB199" s="565"/>
      <c r="AC199" s="565"/>
      <c r="AD199" s="565" t="str">
        <f>IF(足元帳!Z153="","",足元帳!Z153)</f>
        <v/>
      </c>
      <c r="AE199" s="565"/>
      <c r="AF199" s="566"/>
      <c r="AG199" s="587" t="str">
        <f ca="1">IF(ISERROR(MATCH("●",足元帳!AD153:AM153,0)),IF(足元帳!AM153="","",足元帳!$AM$1&amp;足元帳!AM153),INDIRECT("足元帳!R1C"&amp;MATCH("●",足元帳!AD153:AM153,0)+29,FALSE))</f>
        <v/>
      </c>
      <c r="AH199" s="565"/>
      <c r="AI199" s="565"/>
      <c r="AJ199" s="565"/>
      <c r="AK199" s="565" t="str">
        <f>IF(足元帳!AT153="","",足元帳!AT153)</f>
        <v/>
      </c>
      <c r="AL199" s="565"/>
      <c r="AM199" s="565"/>
      <c r="AN199" s="565"/>
      <c r="AO199" s="565"/>
      <c r="AP199" s="565"/>
      <c r="AQ199" s="588"/>
    </row>
    <row r="200" spans="1:43" ht="22.5" customHeight="1">
      <c r="A200" s="586">
        <f t="shared" si="9"/>
        <v>153</v>
      </c>
      <c r="B200" s="566"/>
      <c r="C200" s="73" t="str">
        <f>IF(足元帳!AY154=1,"N",IF(足元帳!AY154=2,"R",""))</f>
        <v/>
      </c>
      <c r="D200" s="74" t="str">
        <f>IF(足元帳!AZ154&gt;0,VLOOKUP(足元帳!AZ154,管理シート!$CF$32:$CG$34,2,FALSE),"")</f>
        <v/>
      </c>
      <c r="E200" s="572" t="str">
        <f>IF(足元帳!BB154&gt;0,VLOOKUP(足元帳!BB154,管理シート!#REF!,2,FALSE),"")</f>
        <v/>
      </c>
      <c r="F200" s="573"/>
      <c r="G200" s="574">
        <f>足元帳!J154</f>
        <v>0</v>
      </c>
      <c r="H200" s="575"/>
      <c r="I200" s="574">
        <f>足元帳!K154</f>
        <v>0</v>
      </c>
      <c r="J200" s="576"/>
      <c r="K200" s="575"/>
      <c r="L200" s="73" t="str">
        <f ca="1">IF(足元帳!AB154="●","無",IF(足元帳!AC154="●","半",IF(AG200="周年","半",IF(AG200="プレ6","半",IF(AG200="6割","半","")))))</f>
        <v/>
      </c>
      <c r="M200" s="115" t="str">
        <f>IF(足元帳!AM154="","","○")&amp;IF(足元帳!AL154="","","○")</f>
        <v/>
      </c>
      <c r="N200" s="115" t="str">
        <f>IF(足元帳!AN154="","","○")</f>
        <v/>
      </c>
      <c r="O200" s="587" t="str">
        <f>IF(足元帳!U154="","",足元帳!U154)</f>
        <v/>
      </c>
      <c r="P200" s="565"/>
      <c r="Q200" s="565"/>
      <c r="R200" s="565" t="str">
        <f>IF(足元帳!V154="","",足元帳!V154)</f>
        <v/>
      </c>
      <c r="S200" s="565"/>
      <c r="T200" s="565"/>
      <c r="U200" s="565" t="str">
        <f>IF(足元帳!W154="","",足元帳!W154)</f>
        <v/>
      </c>
      <c r="V200" s="565"/>
      <c r="W200" s="565"/>
      <c r="X200" s="565" t="str">
        <f>IF(足元帳!X154="","",足元帳!X154)</f>
        <v/>
      </c>
      <c r="Y200" s="565"/>
      <c r="Z200" s="565"/>
      <c r="AA200" s="565" t="str">
        <f>IF(足元帳!Y154="","",足元帳!Y154)</f>
        <v/>
      </c>
      <c r="AB200" s="565"/>
      <c r="AC200" s="565"/>
      <c r="AD200" s="565" t="str">
        <f>IF(足元帳!Z154="","",足元帳!Z154)</f>
        <v/>
      </c>
      <c r="AE200" s="565"/>
      <c r="AF200" s="566"/>
      <c r="AG200" s="587" t="str">
        <f ca="1">IF(ISERROR(MATCH("●",足元帳!AD154:AM154,0)),IF(足元帳!AM154="","",足元帳!$AM$1&amp;足元帳!AM154),INDIRECT("足元帳!R1C"&amp;MATCH("●",足元帳!AD154:AM154,0)+29,FALSE))</f>
        <v/>
      </c>
      <c r="AH200" s="565"/>
      <c r="AI200" s="565"/>
      <c r="AJ200" s="565"/>
      <c r="AK200" s="565" t="str">
        <f>IF(足元帳!AT154="","",足元帳!AT154)</f>
        <v/>
      </c>
      <c r="AL200" s="565"/>
      <c r="AM200" s="565"/>
      <c r="AN200" s="565"/>
      <c r="AO200" s="565"/>
      <c r="AP200" s="565"/>
      <c r="AQ200" s="588"/>
    </row>
    <row r="201" spans="1:43" ht="22.5" customHeight="1">
      <c r="A201" s="586">
        <f t="shared" si="9"/>
        <v>154</v>
      </c>
      <c r="B201" s="566"/>
      <c r="C201" s="73" t="str">
        <f>IF(足元帳!AY155=1,"N",IF(足元帳!AY155=2,"R",""))</f>
        <v/>
      </c>
      <c r="D201" s="74" t="str">
        <f>IF(足元帳!AZ155&gt;0,VLOOKUP(足元帳!AZ155,管理シート!$CF$32:$CG$34,2,FALSE),"")</f>
        <v/>
      </c>
      <c r="E201" s="572" t="str">
        <f>IF(足元帳!BB155&gt;0,VLOOKUP(足元帳!BB155,管理シート!#REF!,2,FALSE),"")</f>
        <v/>
      </c>
      <c r="F201" s="573"/>
      <c r="G201" s="574">
        <f>足元帳!J155</f>
        <v>0</v>
      </c>
      <c r="H201" s="575"/>
      <c r="I201" s="574">
        <f>足元帳!K155</f>
        <v>0</v>
      </c>
      <c r="J201" s="576"/>
      <c r="K201" s="575"/>
      <c r="L201" s="73" t="str">
        <f ca="1">IF(足元帳!AB155="●","無",IF(足元帳!AC155="●","半",IF(AG201="周年","半",IF(AG201="プレ6","半",IF(AG201="6割","半","")))))</f>
        <v/>
      </c>
      <c r="M201" s="115" t="str">
        <f>IF(足元帳!AM155="","","○")&amp;IF(足元帳!AL155="","","○")</f>
        <v/>
      </c>
      <c r="N201" s="115" t="str">
        <f>IF(足元帳!AN155="","","○")</f>
        <v/>
      </c>
      <c r="O201" s="587" t="str">
        <f>IF(足元帳!U155="","",足元帳!U155)</f>
        <v/>
      </c>
      <c r="P201" s="565"/>
      <c r="Q201" s="565"/>
      <c r="R201" s="565" t="str">
        <f>IF(足元帳!V155="","",足元帳!V155)</f>
        <v/>
      </c>
      <c r="S201" s="565"/>
      <c r="T201" s="565"/>
      <c r="U201" s="565" t="str">
        <f>IF(足元帳!W155="","",足元帳!W155)</f>
        <v/>
      </c>
      <c r="V201" s="565"/>
      <c r="W201" s="565"/>
      <c r="X201" s="565" t="str">
        <f>IF(足元帳!X155="","",足元帳!X155)</f>
        <v/>
      </c>
      <c r="Y201" s="565"/>
      <c r="Z201" s="565"/>
      <c r="AA201" s="565" t="str">
        <f>IF(足元帳!Y155="","",足元帳!Y155)</f>
        <v/>
      </c>
      <c r="AB201" s="565"/>
      <c r="AC201" s="565"/>
      <c r="AD201" s="565" t="str">
        <f>IF(足元帳!Z155="","",足元帳!Z155)</f>
        <v/>
      </c>
      <c r="AE201" s="565"/>
      <c r="AF201" s="566"/>
      <c r="AG201" s="587" t="str">
        <f ca="1">IF(ISERROR(MATCH("●",足元帳!AD155:AM155,0)),IF(足元帳!AM155="","",足元帳!$AM$1&amp;足元帳!AM155),INDIRECT("足元帳!R1C"&amp;MATCH("●",足元帳!AD155:AM155,0)+29,FALSE))</f>
        <v/>
      </c>
      <c r="AH201" s="565"/>
      <c r="AI201" s="565"/>
      <c r="AJ201" s="565"/>
      <c r="AK201" s="565" t="str">
        <f>IF(足元帳!AT155="","",足元帳!AT155)</f>
        <v/>
      </c>
      <c r="AL201" s="565"/>
      <c r="AM201" s="565"/>
      <c r="AN201" s="565"/>
      <c r="AO201" s="565"/>
      <c r="AP201" s="565"/>
      <c r="AQ201" s="588"/>
    </row>
    <row r="202" spans="1:43" ht="22.5" customHeight="1">
      <c r="A202" s="586">
        <f t="shared" si="9"/>
        <v>155</v>
      </c>
      <c r="B202" s="566"/>
      <c r="C202" s="73" t="str">
        <f>IF(足元帳!AY156=1,"N",IF(足元帳!AY156=2,"R",""))</f>
        <v/>
      </c>
      <c r="D202" s="74" t="str">
        <f>IF(足元帳!AZ156&gt;0,VLOOKUP(足元帳!AZ156,管理シート!$CF$32:$CG$34,2,FALSE),"")</f>
        <v/>
      </c>
      <c r="E202" s="572" t="str">
        <f>IF(足元帳!BB156&gt;0,VLOOKUP(足元帳!BB156,管理シート!#REF!,2,FALSE),"")</f>
        <v/>
      </c>
      <c r="F202" s="573"/>
      <c r="G202" s="574">
        <f>足元帳!J156</f>
        <v>0</v>
      </c>
      <c r="H202" s="575"/>
      <c r="I202" s="574">
        <f>足元帳!K156</f>
        <v>0</v>
      </c>
      <c r="J202" s="576"/>
      <c r="K202" s="575"/>
      <c r="L202" s="73" t="str">
        <f ca="1">IF(足元帳!AB156="●","無",IF(足元帳!AC156="●","半",IF(AG202="周年","半",IF(AG202="プレ6","半",IF(AG202="6割","半","")))))</f>
        <v/>
      </c>
      <c r="M202" s="115" t="str">
        <f>IF(足元帳!AM156="","","○")&amp;IF(足元帳!AL156="","","○")</f>
        <v/>
      </c>
      <c r="N202" s="115" t="str">
        <f>IF(足元帳!AN156="","","○")</f>
        <v/>
      </c>
      <c r="O202" s="587" t="str">
        <f>IF(足元帳!U156="","",足元帳!U156)</f>
        <v/>
      </c>
      <c r="P202" s="565"/>
      <c r="Q202" s="565"/>
      <c r="R202" s="565" t="str">
        <f>IF(足元帳!V156="","",足元帳!V156)</f>
        <v/>
      </c>
      <c r="S202" s="565"/>
      <c r="T202" s="565"/>
      <c r="U202" s="565" t="str">
        <f>IF(足元帳!W156="","",足元帳!W156)</f>
        <v/>
      </c>
      <c r="V202" s="565"/>
      <c r="W202" s="565"/>
      <c r="X202" s="565" t="str">
        <f>IF(足元帳!X156="","",足元帳!X156)</f>
        <v/>
      </c>
      <c r="Y202" s="565"/>
      <c r="Z202" s="565"/>
      <c r="AA202" s="565" t="str">
        <f>IF(足元帳!Y156="","",足元帳!Y156)</f>
        <v/>
      </c>
      <c r="AB202" s="565"/>
      <c r="AC202" s="565"/>
      <c r="AD202" s="565" t="str">
        <f>IF(足元帳!Z156="","",足元帳!Z156)</f>
        <v/>
      </c>
      <c r="AE202" s="565"/>
      <c r="AF202" s="566"/>
      <c r="AG202" s="587" t="str">
        <f ca="1">IF(ISERROR(MATCH("●",足元帳!AD156:AM156,0)),IF(足元帳!AM156="","",足元帳!$AM$1&amp;足元帳!AM156),INDIRECT("足元帳!R1C"&amp;MATCH("●",足元帳!AD156:AM156,0)+29,FALSE))</f>
        <v/>
      </c>
      <c r="AH202" s="565"/>
      <c r="AI202" s="565"/>
      <c r="AJ202" s="565"/>
      <c r="AK202" s="565" t="str">
        <f>IF(足元帳!AT156="","",足元帳!AT156)</f>
        <v/>
      </c>
      <c r="AL202" s="565"/>
      <c r="AM202" s="565"/>
      <c r="AN202" s="565"/>
      <c r="AO202" s="565"/>
      <c r="AP202" s="565"/>
      <c r="AQ202" s="588"/>
    </row>
    <row r="203" spans="1:43" ht="22.5" customHeight="1">
      <c r="A203" s="586">
        <f t="shared" si="9"/>
        <v>156</v>
      </c>
      <c r="B203" s="566"/>
      <c r="C203" s="73" t="str">
        <f>IF(足元帳!AY157=1,"N",IF(足元帳!AY157=2,"R",""))</f>
        <v/>
      </c>
      <c r="D203" s="74" t="str">
        <f>IF(足元帳!AZ157&gt;0,VLOOKUP(足元帳!AZ157,管理シート!$CF$32:$CG$34,2,FALSE),"")</f>
        <v/>
      </c>
      <c r="E203" s="572" t="str">
        <f>IF(足元帳!BB157&gt;0,VLOOKUP(足元帳!BB157,管理シート!#REF!,2,FALSE),"")</f>
        <v/>
      </c>
      <c r="F203" s="573"/>
      <c r="G203" s="574">
        <f>足元帳!J157</f>
        <v>0</v>
      </c>
      <c r="H203" s="575"/>
      <c r="I203" s="574">
        <f>足元帳!K157</f>
        <v>0</v>
      </c>
      <c r="J203" s="576"/>
      <c r="K203" s="575"/>
      <c r="L203" s="73" t="str">
        <f ca="1">IF(足元帳!AB157="●","無",IF(足元帳!AC157="●","半",IF(AG203="周年","半",IF(AG203="プレ6","半",IF(AG203="6割","半","")))))</f>
        <v/>
      </c>
      <c r="M203" s="115" t="str">
        <f>IF(足元帳!AM157="","","○")&amp;IF(足元帳!AL157="","","○")</f>
        <v/>
      </c>
      <c r="N203" s="115" t="str">
        <f>IF(足元帳!AN157="","","○")</f>
        <v/>
      </c>
      <c r="O203" s="587" t="str">
        <f>IF(足元帳!U157="","",足元帳!U157)</f>
        <v/>
      </c>
      <c r="P203" s="565"/>
      <c r="Q203" s="565"/>
      <c r="R203" s="565" t="str">
        <f>IF(足元帳!V157="","",足元帳!V157)</f>
        <v/>
      </c>
      <c r="S203" s="565"/>
      <c r="T203" s="565"/>
      <c r="U203" s="565" t="str">
        <f>IF(足元帳!W157="","",足元帳!W157)</f>
        <v/>
      </c>
      <c r="V203" s="565"/>
      <c r="W203" s="565"/>
      <c r="X203" s="565" t="str">
        <f>IF(足元帳!X157="","",足元帳!X157)</f>
        <v/>
      </c>
      <c r="Y203" s="565"/>
      <c r="Z203" s="565"/>
      <c r="AA203" s="565" t="str">
        <f>IF(足元帳!Y157="","",足元帳!Y157)</f>
        <v/>
      </c>
      <c r="AB203" s="565"/>
      <c r="AC203" s="565"/>
      <c r="AD203" s="565" t="str">
        <f>IF(足元帳!Z157="","",足元帳!Z157)</f>
        <v/>
      </c>
      <c r="AE203" s="565"/>
      <c r="AF203" s="566"/>
      <c r="AG203" s="587" t="str">
        <f ca="1">IF(ISERROR(MATCH("●",足元帳!AD157:AM157,0)),IF(足元帳!AM157="","",足元帳!$AM$1&amp;足元帳!AM157),INDIRECT("足元帳!R1C"&amp;MATCH("●",足元帳!AD157:AM157,0)+29,FALSE))</f>
        <v/>
      </c>
      <c r="AH203" s="565"/>
      <c r="AI203" s="565"/>
      <c r="AJ203" s="565"/>
      <c r="AK203" s="565" t="str">
        <f>IF(足元帳!AT157="","",足元帳!AT157)</f>
        <v/>
      </c>
      <c r="AL203" s="565"/>
      <c r="AM203" s="565"/>
      <c r="AN203" s="565"/>
      <c r="AO203" s="565"/>
      <c r="AP203" s="565"/>
      <c r="AQ203" s="588"/>
    </row>
    <row r="204" spans="1:43" ht="22.5" customHeight="1">
      <c r="A204" s="586">
        <f t="shared" si="9"/>
        <v>157</v>
      </c>
      <c r="B204" s="566"/>
      <c r="C204" s="73" t="str">
        <f>IF(足元帳!AY158=1,"N",IF(足元帳!AY158=2,"R",""))</f>
        <v/>
      </c>
      <c r="D204" s="74" t="str">
        <f>IF(足元帳!AZ158&gt;0,VLOOKUP(足元帳!AZ158,管理シート!$CF$32:$CG$34,2,FALSE),"")</f>
        <v/>
      </c>
      <c r="E204" s="572" t="str">
        <f>IF(足元帳!BB158&gt;0,VLOOKUP(足元帳!BB158,管理シート!#REF!,2,FALSE),"")</f>
        <v/>
      </c>
      <c r="F204" s="573"/>
      <c r="G204" s="574">
        <f>足元帳!J158</f>
        <v>0</v>
      </c>
      <c r="H204" s="575"/>
      <c r="I204" s="574">
        <f>足元帳!K158</f>
        <v>0</v>
      </c>
      <c r="J204" s="576"/>
      <c r="K204" s="575"/>
      <c r="L204" s="73" t="str">
        <f ca="1">IF(足元帳!AB158="●","無",IF(足元帳!AC158="●","半",IF(AG204="周年","半",IF(AG204="プレ6","半",IF(AG204="6割","半","")))))</f>
        <v/>
      </c>
      <c r="M204" s="115" t="str">
        <f>IF(足元帳!AM158="","","○")&amp;IF(足元帳!AL158="","","○")</f>
        <v/>
      </c>
      <c r="N204" s="115" t="str">
        <f>IF(足元帳!AN158="","","○")</f>
        <v/>
      </c>
      <c r="O204" s="587" t="str">
        <f>IF(足元帳!U158="","",足元帳!U158)</f>
        <v/>
      </c>
      <c r="P204" s="565"/>
      <c r="Q204" s="565"/>
      <c r="R204" s="565" t="str">
        <f>IF(足元帳!V158="","",足元帳!V158)</f>
        <v/>
      </c>
      <c r="S204" s="565"/>
      <c r="T204" s="565"/>
      <c r="U204" s="565" t="str">
        <f>IF(足元帳!W158="","",足元帳!W158)</f>
        <v/>
      </c>
      <c r="V204" s="565"/>
      <c r="W204" s="565"/>
      <c r="X204" s="565" t="str">
        <f>IF(足元帳!X158="","",足元帳!X158)</f>
        <v/>
      </c>
      <c r="Y204" s="565"/>
      <c r="Z204" s="565"/>
      <c r="AA204" s="565" t="str">
        <f>IF(足元帳!Y158="","",足元帳!Y158)</f>
        <v/>
      </c>
      <c r="AB204" s="565"/>
      <c r="AC204" s="565"/>
      <c r="AD204" s="565" t="str">
        <f>IF(足元帳!Z158="","",足元帳!Z158)</f>
        <v/>
      </c>
      <c r="AE204" s="565"/>
      <c r="AF204" s="566"/>
      <c r="AG204" s="587" t="str">
        <f ca="1">IF(ISERROR(MATCH("●",足元帳!AD158:AM158,0)),IF(足元帳!AM158="","",足元帳!$AM$1&amp;足元帳!AM158),INDIRECT("足元帳!R1C"&amp;MATCH("●",足元帳!AD158:AM158,0)+29,FALSE))</f>
        <v/>
      </c>
      <c r="AH204" s="565"/>
      <c r="AI204" s="565"/>
      <c r="AJ204" s="565"/>
      <c r="AK204" s="565" t="str">
        <f>IF(足元帳!AT158="","",足元帳!AT158)</f>
        <v/>
      </c>
      <c r="AL204" s="565"/>
      <c r="AM204" s="565"/>
      <c r="AN204" s="565"/>
      <c r="AO204" s="565"/>
      <c r="AP204" s="565"/>
      <c r="AQ204" s="588"/>
    </row>
    <row r="205" spans="1:43" ht="22.5" customHeight="1">
      <c r="A205" s="586">
        <f t="shared" si="9"/>
        <v>158</v>
      </c>
      <c r="B205" s="566"/>
      <c r="C205" s="73" t="str">
        <f>IF(足元帳!AY159=1,"N",IF(足元帳!AY159=2,"R",""))</f>
        <v/>
      </c>
      <c r="D205" s="74" t="str">
        <f>IF(足元帳!AZ159&gt;0,VLOOKUP(足元帳!AZ159,管理シート!$CF$32:$CG$34,2,FALSE),"")</f>
        <v/>
      </c>
      <c r="E205" s="572" t="str">
        <f>IF(足元帳!BB159&gt;0,VLOOKUP(足元帳!BB159,管理シート!#REF!,2,FALSE),"")</f>
        <v/>
      </c>
      <c r="F205" s="573"/>
      <c r="G205" s="574">
        <f>足元帳!J159</f>
        <v>0</v>
      </c>
      <c r="H205" s="575"/>
      <c r="I205" s="574">
        <f>足元帳!K159</f>
        <v>0</v>
      </c>
      <c r="J205" s="576"/>
      <c r="K205" s="575"/>
      <c r="L205" s="73" t="str">
        <f ca="1">IF(足元帳!AB159="●","無",IF(足元帳!AC159="●","半",IF(AG205="周年","半",IF(AG205="プレ6","半",IF(AG205="6割","半","")))))</f>
        <v/>
      </c>
      <c r="M205" s="115" t="str">
        <f>IF(足元帳!AM159="","","○")&amp;IF(足元帳!AL159="","","○")</f>
        <v/>
      </c>
      <c r="N205" s="115" t="str">
        <f>IF(足元帳!AN159="","","○")</f>
        <v/>
      </c>
      <c r="O205" s="587" t="str">
        <f>IF(足元帳!U159="","",足元帳!U159)</f>
        <v/>
      </c>
      <c r="P205" s="565"/>
      <c r="Q205" s="565"/>
      <c r="R205" s="565" t="str">
        <f>IF(足元帳!V159="","",足元帳!V159)</f>
        <v/>
      </c>
      <c r="S205" s="565"/>
      <c r="T205" s="565"/>
      <c r="U205" s="565" t="str">
        <f>IF(足元帳!W159="","",足元帳!W159)</f>
        <v/>
      </c>
      <c r="V205" s="565"/>
      <c r="W205" s="565"/>
      <c r="X205" s="565" t="str">
        <f>IF(足元帳!X159="","",足元帳!X159)</f>
        <v/>
      </c>
      <c r="Y205" s="565"/>
      <c r="Z205" s="565"/>
      <c r="AA205" s="565" t="str">
        <f>IF(足元帳!Y159="","",足元帳!Y159)</f>
        <v/>
      </c>
      <c r="AB205" s="565"/>
      <c r="AC205" s="565"/>
      <c r="AD205" s="565" t="str">
        <f>IF(足元帳!Z159="","",足元帳!Z159)</f>
        <v/>
      </c>
      <c r="AE205" s="565"/>
      <c r="AF205" s="566"/>
      <c r="AG205" s="587" t="str">
        <f ca="1">IF(ISERROR(MATCH("●",足元帳!AD159:AM159,0)),IF(足元帳!AM159="","",足元帳!$AM$1&amp;足元帳!AM159),INDIRECT("足元帳!R1C"&amp;MATCH("●",足元帳!AD159:AM159,0)+29,FALSE))</f>
        <v/>
      </c>
      <c r="AH205" s="565"/>
      <c r="AI205" s="565"/>
      <c r="AJ205" s="565"/>
      <c r="AK205" s="565" t="str">
        <f>IF(足元帳!AT159="","",足元帳!AT159)</f>
        <v/>
      </c>
      <c r="AL205" s="565"/>
      <c r="AM205" s="565"/>
      <c r="AN205" s="565"/>
      <c r="AO205" s="565"/>
      <c r="AP205" s="565"/>
      <c r="AQ205" s="588"/>
    </row>
    <row r="206" spans="1:43" ht="22.5" customHeight="1">
      <c r="A206" s="586">
        <f t="shared" si="9"/>
        <v>159</v>
      </c>
      <c r="B206" s="566"/>
      <c r="C206" s="73" t="str">
        <f>IF(足元帳!AY160=1,"N",IF(足元帳!AY160=2,"R",""))</f>
        <v/>
      </c>
      <c r="D206" s="74" t="str">
        <f>IF(足元帳!AZ160&gt;0,VLOOKUP(足元帳!AZ160,管理シート!$CF$32:$CG$34,2,FALSE),"")</f>
        <v/>
      </c>
      <c r="E206" s="572" t="str">
        <f>IF(足元帳!BB160&gt;0,VLOOKUP(足元帳!BB160,管理シート!#REF!,2,FALSE),"")</f>
        <v/>
      </c>
      <c r="F206" s="573"/>
      <c r="G206" s="574">
        <f>足元帳!J160</f>
        <v>0</v>
      </c>
      <c r="H206" s="575"/>
      <c r="I206" s="574">
        <f>足元帳!K160</f>
        <v>0</v>
      </c>
      <c r="J206" s="576"/>
      <c r="K206" s="575"/>
      <c r="L206" s="73" t="str">
        <f ca="1">IF(足元帳!AB160="●","無",IF(足元帳!AC160="●","半",IF(AG206="周年","半",IF(AG206="プレ6","半",IF(AG206="6割","半","")))))</f>
        <v/>
      </c>
      <c r="M206" s="115" t="str">
        <f>IF(足元帳!AM160="","","○")&amp;IF(足元帳!AL160="","","○")</f>
        <v/>
      </c>
      <c r="N206" s="115" t="str">
        <f>IF(足元帳!AN160="","","○")</f>
        <v/>
      </c>
      <c r="O206" s="587" t="str">
        <f>IF(足元帳!U160="","",足元帳!U160)</f>
        <v/>
      </c>
      <c r="P206" s="565"/>
      <c r="Q206" s="565"/>
      <c r="R206" s="565" t="str">
        <f>IF(足元帳!V160="","",足元帳!V160)</f>
        <v/>
      </c>
      <c r="S206" s="565"/>
      <c r="T206" s="565"/>
      <c r="U206" s="565" t="str">
        <f>IF(足元帳!W160="","",足元帳!W160)</f>
        <v/>
      </c>
      <c r="V206" s="565"/>
      <c r="W206" s="565"/>
      <c r="X206" s="565" t="str">
        <f>IF(足元帳!X160="","",足元帳!X160)</f>
        <v/>
      </c>
      <c r="Y206" s="565"/>
      <c r="Z206" s="565"/>
      <c r="AA206" s="565" t="str">
        <f>IF(足元帳!Y160="","",足元帳!Y160)</f>
        <v/>
      </c>
      <c r="AB206" s="565"/>
      <c r="AC206" s="565"/>
      <c r="AD206" s="565" t="str">
        <f>IF(足元帳!Z160="","",足元帳!Z160)</f>
        <v/>
      </c>
      <c r="AE206" s="565"/>
      <c r="AF206" s="566"/>
      <c r="AG206" s="587" t="str">
        <f ca="1">IF(ISERROR(MATCH("●",足元帳!AD160:AM160,0)),IF(足元帳!AM160="","",足元帳!$AM$1&amp;足元帳!AM160),INDIRECT("足元帳!R1C"&amp;MATCH("●",足元帳!AD160:AM160,0)+29,FALSE))</f>
        <v/>
      </c>
      <c r="AH206" s="565"/>
      <c r="AI206" s="565"/>
      <c r="AJ206" s="565"/>
      <c r="AK206" s="565" t="str">
        <f>IF(足元帳!AT160="","",足元帳!AT160)</f>
        <v/>
      </c>
      <c r="AL206" s="565"/>
      <c r="AM206" s="565"/>
      <c r="AN206" s="565"/>
      <c r="AO206" s="565"/>
      <c r="AP206" s="565"/>
      <c r="AQ206" s="588"/>
    </row>
    <row r="207" spans="1:43" ht="22.5" customHeight="1">
      <c r="A207" s="586">
        <f t="shared" si="9"/>
        <v>160</v>
      </c>
      <c r="B207" s="566"/>
      <c r="C207" s="73" t="str">
        <f>IF(足元帳!AY161=1,"N",IF(足元帳!AY161=2,"R",""))</f>
        <v/>
      </c>
      <c r="D207" s="74" t="str">
        <f>IF(足元帳!AZ161&gt;0,VLOOKUP(足元帳!AZ161,管理シート!$CF$32:$CG$34,2,FALSE),"")</f>
        <v/>
      </c>
      <c r="E207" s="572" t="str">
        <f>IF(足元帳!BB161&gt;0,VLOOKUP(足元帳!BB161,管理シート!#REF!,2,FALSE),"")</f>
        <v/>
      </c>
      <c r="F207" s="573"/>
      <c r="G207" s="574">
        <f>足元帳!J161</f>
        <v>0</v>
      </c>
      <c r="H207" s="575"/>
      <c r="I207" s="574">
        <f>足元帳!K161</f>
        <v>0</v>
      </c>
      <c r="J207" s="576"/>
      <c r="K207" s="575"/>
      <c r="L207" s="73" t="str">
        <f ca="1">IF(足元帳!AB161="●","無",IF(足元帳!AC161="●","半",IF(AG207="周年","半",IF(AG207="プレ6","半",IF(AG207="6割","半","")))))</f>
        <v/>
      </c>
      <c r="M207" s="115" t="str">
        <f>IF(足元帳!AM161="","","○")&amp;IF(足元帳!AL161="","","○")</f>
        <v/>
      </c>
      <c r="N207" s="115" t="str">
        <f>IF(足元帳!AN161="","","○")</f>
        <v/>
      </c>
      <c r="O207" s="587" t="str">
        <f>IF(足元帳!U161="","",足元帳!U161)</f>
        <v/>
      </c>
      <c r="P207" s="565"/>
      <c r="Q207" s="565"/>
      <c r="R207" s="565" t="str">
        <f>IF(足元帳!V161="","",足元帳!V161)</f>
        <v/>
      </c>
      <c r="S207" s="565"/>
      <c r="T207" s="565"/>
      <c r="U207" s="565" t="str">
        <f>IF(足元帳!W161="","",足元帳!W161)</f>
        <v/>
      </c>
      <c r="V207" s="565"/>
      <c r="W207" s="565"/>
      <c r="X207" s="565" t="str">
        <f>IF(足元帳!X161="","",足元帳!X161)</f>
        <v/>
      </c>
      <c r="Y207" s="565"/>
      <c r="Z207" s="565"/>
      <c r="AA207" s="565" t="str">
        <f>IF(足元帳!Y161="","",足元帳!Y161)</f>
        <v/>
      </c>
      <c r="AB207" s="565"/>
      <c r="AC207" s="565"/>
      <c r="AD207" s="565" t="str">
        <f>IF(足元帳!Z161="","",足元帳!Z161)</f>
        <v/>
      </c>
      <c r="AE207" s="565"/>
      <c r="AF207" s="566"/>
      <c r="AG207" s="587" t="str">
        <f ca="1">IF(ISERROR(MATCH("●",足元帳!AD161:AM161,0)),IF(足元帳!AM161="","",足元帳!$AM$1&amp;足元帳!AM161),INDIRECT("足元帳!R1C"&amp;MATCH("●",足元帳!AD161:AM161,0)+29,FALSE))</f>
        <v/>
      </c>
      <c r="AH207" s="565"/>
      <c r="AI207" s="565"/>
      <c r="AJ207" s="565"/>
      <c r="AK207" s="565" t="str">
        <f>IF(足元帳!AT161="","",足元帳!AT161)</f>
        <v/>
      </c>
      <c r="AL207" s="565"/>
      <c r="AM207" s="565"/>
      <c r="AN207" s="565"/>
      <c r="AO207" s="565"/>
      <c r="AP207" s="565"/>
      <c r="AQ207" s="588"/>
    </row>
    <row r="208" spans="1:43" ht="22.5" customHeight="1">
      <c r="A208" s="586">
        <f t="shared" si="9"/>
        <v>161</v>
      </c>
      <c r="B208" s="566"/>
      <c r="C208" s="73" t="str">
        <f>IF(足元帳!AY162=1,"N",IF(足元帳!AY162=2,"R",""))</f>
        <v/>
      </c>
      <c r="D208" s="74" t="str">
        <f>IF(足元帳!AZ162&gt;0,VLOOKUP(足元帳!AZ162,管理シート!$CF$32:$CG$34,2,FALSE),"")</f>
        <v/>
      </c>
      <c r="E208" s="572" t="str">
        <f>IF(足元帳!BB162&gt;0,VLOOKUP(足元帳!BB162,管理シート!#REF!,2,FALSE),"")</f>
        <v/>
      </c>
      <c r="F208" s="573"/>
      <c r="G208" s="574">
        <f>足元帳!J162</f>
        <v>0</v>
      </c>
      <c r="H208" s="575"/>
      <c r="I208" s="574">
        <f>足元帳!K162</f>
        <v>0</v>
      </c>
      <c r="J208" s="576"/>
      <c r="K208" s="575"/>
      <c r="L208" s="73" t="str">
        <f ca="1">IF(足元帳!AB162="●","無",IF(足元帳!AC162="●","半",IF(AG208="周年","半",IF(AG208="プレ6","半",IF(AG208="6割","半","")))))</f>
        <v/>
      </c>
      <c r="M208" s="115" t="str">
        <f>IF(足元帳!AM162="","","○")&amp;IF(足元帳!AL162="","","○")</f>
        <v/>
      </c>
      <c r="N208" s="115" t="str">
        <f>IF(足元帳!AN162="","","○")</f>
        <v/>
      </c>
      <c r="O208" s="587" t="str">
        <f>IF(足元帳!U162="","",足元帳!U162)</f>
        <v/>
      </c>
      <c r="P208" s="565"/>
      <c r="Q208" s="565"/>
      <c r="R208" s="565" t="str">
        <f>IF(足元帳!V162="","",足元帳!V162)</f>
        <v/>
      </c>
      <c r="S208" s="565"/>
      <c r="T208" s="565"/>
      <c r="U208" s="565" t="str">
        <f>IF(足元帳!W162="","",足元帳!W162)</f>
        <v/>
      </c>
      <c r="V208" s="565"/>
      <c r="W208" s="565"/>
      <c r="X208" s="565" t="str">
        <f>IF(足元帳!X162="","",足元帳!X162)</f>
        <v/>
      </c>
      <c r="Y208" s="565"/>
      <c r="Z208" s="565"/>
      <c r="AA208" s="565" t="str">
        <f>IF(足元帳!Y162="","",足元帳!Y162)</f>
        <v/>
      </c>
      <c r="AB208" s="565"/>
      <c r="AC208" s="565"/>
      <c r="AD208" s="565" t="str">
        <f>IF(足元帳!Z162="","",足元帳!Z162)</f>
        <v/>
      </c>
      <c r="AE208" s="565"/>
      <c r="AF208" s="566"/>
      <c r="AG208" s="587" t="str">
        <f ca="1">IF(ISERROR(MATCH("●",足元帳!AD162:AM162,0)),IF(足元帳!AM162="","",足元帳!$AM$1&amp;足元帳!AM162),INDIRECT("足元帳!R1C"&amp;MATCH("●",足元帳!AD162:AM162,0)+29,FALSE))</f>
        <v/>
      </c>
      <c r="AH208" s="565"/>
      <c r="AI208" s="565"/>
      <c r="AJ208" s="565"/>
      <c r="AK208" s="565" t="str">
        <f>IF(足元帳!AT162="","",足元帳!AT162)</f>
        <v/>
      </c>
      <c r="AL208" s="565"/>
      <c r="AM208" s="565"/>
      <c r="AN208" s="565"/>
      <c r="AO208" s="565"/>
      <c r="AP208" s="565"/>
      <c r="AQ208" s="588"/>
    </row>
    <row r="209" spans="1:43" ht="22.5" customHeight="1">
      <c r="A209" s="586">
        <f t="shared" si="9"/>
        <v>162</v>
      </c>
      <c r="B209" s="566"/>
      <c r="C209" s="73" t="str">
        <f>IF(足元帳!AY163=1,"N",IF(足元帳!AY163=2,"R",""))</f>
        <v/>
      </c>
      <c r="D209" s="74" t="str">
        <f>IF(足元帳!AZ163&gt;0,VLOOKUP(足元帳!AZ163,管理シート!$CF$32:$CG$34,2,FALSE),"")</f>
        <v/>
      </c>
      <c r="E209" s="572" t="str">
        <f>IF(足元帳!BB163&gt;0,VLOOKUP(足元帳!BB163,管理シート!#REF!,2,FALSE),"")</f>
        <v/>
      </c>
      <c r="F209" s="573"/>
      <c r="G209" s="574">
        <f>足元帳!J163</f>
        <v>0</v>
      </c>
      <c r="H209" s="575"/>
      <c r="I209" s="574">
        <f>足元帳!K163</f>
        <v>0</v>
      </c>
      <c r="J209" s="576"/>
      <c r="K209" s="575"/>
      <c r="L209" s="73" t="str">
        <f ca="1">IF(足元帳!AB163="●","無",IF(足元帳!AC163="●","半",IF(AG209="周年","半",IF(AG209="プレ6","半",IF(AG209="6割","半","")))))</f>
        <v/>
      </c>
      <c r="M209" s="115" t="str">
        <f>IF(足元帳!AM163="","","○")&amp;IF(足元帳!AL163="","","○")</f>
        <v/>
      </c>
      <c r="N209" s="115" t="str">
        <f>IF(足元帳!AN163="","","○")</f>
        <v/>
      </c>
      <c r="O209" s="587" t="str">
        <f>IF(足元帳!U163="","",足元帳!U163)</f>
        <v/>
      </c>
      <c r="P209" s="565"/>
      <c r="Q209" s="565"/>
      <c r="R209" s="565" t="str">
        <f>IF(足元帳!V163="","",足元帳!V163)</f>
        <v/>
      </c>
      <c r="S209" s="565"/>
      <c r="T209" s="565"/>
      <c r="U209" s="565" t="str">
        <f>IF(足元帳!W163="","",足元帳!W163)</f>
        <v/>
      </c>
      <c r="V209" s="565"/>
      <c r="W209" s="565"/>
      <c r="X209" s="565" t="str">
        <f>IF(足元帳!X163="","",足元帳!X163)</f>
        <v/>
      </c>
      <c r="Y209" s="565"/>
      <c r="Z209" s="565"/>
      <c r="AA209" s="565" t="str">
        <f>IF(足元帳!Y163="","",足元帳!Y163)</f>
        <v/>
      </c>
      <c r="AB209" s="565"/>
      <c r="AC209" s="565"/>
      <c r="AD209" s="565" t="str">
        <f>IF(足元帳!Z163="","",足元帳!Z163)</f>
        <v/>
      </c>
      <c r="AE209" s="565"/>
      <c r="AF209" s="566"/>
      <c r="AG209" s="587" t="str">
        <f ca="1">IF(ISERROR(MATCH("●",足元帳!AD163:AM163,0)),IF(足元帳!AM163="","",足元帳!$AM$1&amp;足元帳!AM163),INDIRECT("足元帳!R1C"&amp;MATCH("●",足元帳!AD163:AM163,0)+29,FALSE))</f>
        <v/>
      </c>
      <c r="AH209" s="565"/>
      <c r="AI209" s="565"/>
      <c r="AJ209" s="565"/>
      <c r="AK209" s="565" t="str">
        <f>IF(足元帳!AT163="","",足元帳!AT163)</f>
        <v/>
      </c>
      <c r="AL209" s="565"/>
      <c r="AM209" s="565"/>
      <c r="AN209" s="565"/>
      <c r="AO209" s="565"/>
      <c r="AP209" s="565"/>
      <c r="AQ209" s="588"/>
    </row>
    <row r="210" spans="1:43" ht="22.5" customHeight="1">
      <c r="A210" s="586">
        <f t="shared" si="9"/>
        <v>163</v>
      </c>
      <c r="B210" s="566"/>
      <c r="C210" s="73" t="str">
        <f>IF(足元帳!AY164=1,"N",IF(足元帳!AY164=2,"R",""))</f>
        <v/>
      </c>
      <c r="D210" s="74" t="str">
        <f>IF(足元帳!AZ164&gt;0,VLOOKUP(足元帳!AZ164,管理シート!$CF$32:$CG$34,2,FALSE),"")</f>
        <v/>
      </c>
      <c r="E210" s="572" t="str">
        <f>IF(足元帳!BB164&gt;0,VLOOKUP(足元帳!BB164,管理シート!#REF!,2,FALSE),"")</f>
        <v/>
      </c>
      <c r="F210" s="573"/>
      <c r="G210" s="574">
        <f>足元帳!J164</f>
        <v>0</v>
      </c>
      <c r="H210" s="575"/>
      <c r="I210" s="574">
        <f>足元帳!K164</f>
        <v>0</v>
      </c>
      <c r="J210" s="576"/>
      <c r="K210" s="575"/>
      <c r="L210" s="73" t="str">
        <f ca="1">IF(足元帳!AB164="●","無",IF(足元帳!AC164="●","半",IF(AG210="周年","半",IF(AG210="プレ6","半",IF(AG210="6割","半","")))))</f>
        <v/>
      </c>
      <c r="M210" s="115" t="str">
        <f>IF(足元帳!AM164="","","○")&amp;IF(足元帳!AL164="","","○")</f>
        <v/>
      </c>
      <c r="N210" s="115" t="str">
        <f>IF(足元帳!AN164="","","○")</f>
        <v/>
      </c>
      <c r="O210" s="587" t="str">
        <f>IF(足元帳!U164="","",足元帳!U164)</f>
        <v/>
      </c>
      <c r="P210" s="565"/>
      <c r="Q210" s="565"/>
      <c r="R210" s="565" t="str">
        <f>IF(足元帳!V164="","",足元帳!V164)</f>
        <v/>
      </c>
      <c r="S210" s="565"/>
      <c r="T210" s="565"/>
      <c r="U210" s="565" t="str">
        <f>IF(足元帳!W164="","",足元帳!W164)</f>
        <v/>
      </c>
      <c r="V210" s="565"/>
      <c r="W210" s="565"/>
      <c r="X210" s="565" t="str">
        <f>IF(足元帳!X164="","",足元帳!X164)</f>
        <v/>
      </c>
      <c r="Y210" s="565"/>
      <c r="Z210" s="565"/>
      <c r="AA210" s="565" t="str">
        <f>IF(足元帳!Y164="","",足元帳!Y164)</f>
        <v/>
      </c>
      <c r="AB210" s="565"/>
      <c r="AC210" s="565"/>
      <c r="AD210" s="565" t="str">
        <f>IF(足元帳!Z164="","",足元帳!Z164)</f>
        <v/>
      </c>
      <c r="AE210" s="565"/>
      <c r="AF210" s="566"/>
      <c r="AG210" s="587" t="str">
        <f ca="1">IF(ISERROR(MATCH("●",足元帳!AD164:AM164,0)),IF(足元帳!AM164="","",足元帳!$AM$1&amp;足元帳!AM164),INDIRECT("足元帳!R1C"&amp;MATCH("●",足元帳!AD164:AM164,0)+29,FALSE))</f>
        <v/>
      </c>
      <c r="AH210" s="565"/>
      <c r="AI210" s="565"/>
      <c r="AJ210" s="565"/>
      <c r="AK210" s="565" t="str">
        <f>IF(足元帳!AT164="","",足元帳!AT164)</f>
        <v/>
      </c>
      <c r="AL210" s="565"/>
      <c r="AM210" s="565"/>
      <c r="AN210" s="565"/>
      <c r="AO210" s="565"/>
      <c r="AP210" s="565"/>
      <c r="AQ210" s="588"/>
    </row>
    <row r="211" spans="1:43" ht="22.5" customHeight="1">
      <c r="A211" s="586">
        <f t="shared" si="9"/>
        <v>164</v>
      </c>
      <c r="B211" s="566"/>
      <c r="C211" s="73" t="str">
        <f>IF(足元帳!AY165=1,"N",IF(足元帳!AY165=2,"R",""))</f>
        <v/>
      </c>
      <c r="D211" s="74" t="str">
        <f>IF(足元帳!AZ165&gt;0,VLOOKUP(足元帳!AZ165,管理シート!$CF$32:$CG$34,2,FALSE),"")</f>
        <v/>
      </c>
      <c r="E211" s="572" t="str">
        <f>IF(足元帳!BB165&gt;0,VLOOKUP(足元帳!BB165,管理シート!#REF!,2,FALSE),"")</f>
        <v/>
      </c>
      <c r="F211" s="573"/>
      <c r="G211" s="574">
        <f>足元帳!J165</f>
        <v>0</v>
      </c>
      <c r="H211" s="575"/>
      <c r="I211" s="574">
        <f>足元帳!K165</f>
        <v>0</v>
      </c>
      <c r="J211" s="576"/>
      <c r="K211" s="575"/>
      <c r="L211" s="73" t="str">
        <f ca="1">IF(足元帳!AB165="●","無",IF(足元帳!AC165="●","半",IF(AG211="周年","半",IF(AG211="プレ6","半",IF(AG211="6割","半","")))))</f>
        <v/>
      </c>
      <c r="M211" s="115" t="str">
        <f>IF(足元帳!AM165="","","○")&amp;IF(足元帳!AL165="","","○")</f>
        <v/>
      </c>
      <c r="N211" s="115" t="str">
        <f>IF(足元帳!AN165="","","○")</f>
        <v/>
      </c>
      <c r="O211" s="587" t="str">
        <f>IF(足元帳!U165="","",足元帳!U165)</f>
        <v/>
      </c>
      <c r="P211" s="565"/>
      <c r="Q211" s="565"/>
      <c r="R211" s="565" t="str">
        <f>IF(足元帳!V165="","",足元帳!V165)</f>
        <v/>
      </c>
      <c r="S211" s="565"/>
      <c r="T211" s="565"/>
      <c r="U211" s="565" t="str">
        <f>IF(足元帳!W165="","",足元帳!W165)</f>
        <v/>
      </c>
      <c r="V211" s="565"/>
      <c r="W211" s="565"/>
      <c r="X211" s="565" t="str">
        <f>IF(足元帳!X165="","",足元帳!X165)</f>
        <v/>
      </c>
      <c r="Y211" s="565"/>
      <c r="Z211" s="565"/>
      <c r="AA211" s="565" t="str">
        <f>IF(足元帳!Y165="","",足元帳!Y165)</f>
        <v/>
      </c>
      <c r="AB211" s="565"/>
      <c r="AC211" s="565"/>
      <c r="AD211" s="565" t="str">
        <f>IF(足元帳!Z165="","",足元帳!Z165)</f>
        <v/>
      </c>
      <c r="AE211" s="565"/>
      <c r="AF211" s="566"/>
      <c r="AG211" s="587" t="str">
        <f ca="1">IF(ISERROR(MATCH("●",足元帳!AD165:AM165,0)),IF(足元帳!AM165="","",足元帳!$AM$1&amp;足元帳!AM165),INDIRECT("足元帳!R1C"&amp;MATCH("●",足元帳!AD165:AM165,0)+29,FALSE))</f>
        <v/>
      </c>
      <c r="AH211" s="565"/>
      <c r="AI211" s="565"/>
      <c r="AJ211" s="565"/>
      <c r="AK211" s="565" t="str">
        <f>IF(足元帳!AT165="","",足元帳!AT165)</f>
        <v/>
      </c>
      <c r="AL211" s="565"/>
      <c r="AM211" s="565"/>
      <c r="AN211" s="565"/>
      <c r="AO211" s="565"/>
      <c r="AP211" s="565"/>
      <c r="AQ211" s="588"/>
    </row>
    <row r="212" spans="1:43" ht="22.5" customHeight="1">
      <c r="A212" s="586">
        <f t="shared" si="9"/>
        <v>165</v>
      </c>
      <c r="B212" s="566"/>
      <c r="C212" s="73" t="str">
        <f>IF(足元帳!AY166=1,"N",IF(足元帳!AY166=2,"R",""))</f>
        <v/>
      </c>
      <c r="D212" s="74" t="str">
        <f>IF(足元帳!AZ166&gt;0,VLOOKUP(足元帳!AZ166,管理シート!$CF$32:$CG$34,2,FALSE),"")</f>
        <v/>
      </c>
      <c r="E212" s="572" t="str">
        <f>IF(足元帳!BB166&gt;0,VLOOKUP(足元帳!BB166,管理シート!#REF!,2,FALSE),"")</f>
        <v/>
      </c>
      <c r="F212" s="573"/>
      <c r="G212" s="574">
        <f>足元帳!J166</f>
        <v>0</v>
      </c>
      <c r="H212" s="575"/>
      <c r="I212" s="574">
        <f>足元帳!K166</f>
        <v>0</v>
      </c>
      <c r="J212" s="576"/>
      <c r="K212" s="575"/>
      <c r="L212" s="73" t="str">
        <f ca="1">IF(足元帳!AB166="●","無",IF(足元帳!AC166="●","半",IF(AG212="周年","半",IF(AG212="プレ6","半",IF(AG212="6割","半","")))))</f>
        <v/>
      </c>
      <c r="M212" s="115" t="str">
        <f>IF(足元帳!AM166="","","○")&amp;IF(足元帳!AL166="","","○")</f>
        <v/>
      </c>
      <c r="N212" s="115" t="str">
        <f>IF(足元帳!AN166="","","○")</f>
        <v/>
      </c>
      <c r="O212" s="587" t="str">
        <f>IF(足元帳!U166="","",足元帳!U166)</f>
        <v/>
      </c>
      <c r="P212" s="565"/>
      <c r="Q212" s="565"/>
      <c r="R212" s="565" t="str">
        <f>IF(足元帳!V166="","",足元帳!V166)</f>
        <v/>
      </c>
      <c r="S212" s="565"/>
      <c r="T212" s="565"/>
      <c r="U212" s="565" t="str">
        <f>IF(足元帳!W166="","",足元帳!W166)</f>
        <v/>
      </c>
      <c r="V212" s="565"/>
      <c r="W212" s="565"/>
      <c r="X212" s="565" t="str">
        <f>IF(足元帳!X166="","",足元帳!X166)</f>
        <v/>
      </c>
      <c r="Y212" s="565"/>
      <c r="Z212" s="565"/>
      <c r="AA212" s="565" t="str">
        <f>IF(足元帳!Y166="","",足元帳!Y166)</f>
        <v/>
      </c>
      <c r="AB212" s="565"/>
      <c r="AC212" s="565"/>
      <c r="AD212" s="565" t="str">
        <f>IF(足元帳!Z166="","",足元帳!Z166)</f>
        <v/>
      </c>
      <c r="AE212" s="565"/>
      <c r="AF212" s="566"/>
      <c r="AG212" s="587" t="str">
        <f ca="1">IF(ISERROR(MATCH("●",足元帳!AD166:AM166,0)),IF(足元帳!AM166="","",足元帳!$AM$1&amp;足元帳!AM166),INDIRECT("足元帳!R1C"&amp;MATCH("●",足元帳!AD166:AM166,0)+29,FALSE))</f>
        <v/>
      </c>
      <c r="AH212" s="565"/>
      <c r="AI212" s="565"/>
      <c r="AJ212" s="565"/>
      <c r="AK212" s="565" t="str">
        <f>IF(足元帳!AT166="","",足元帳!AT166)</f>
        <v/>
      </c>
      <c r="AL212" s="565"/>
      <c r="AM212" s="565"/>
      <c r="AN212" s="565"/>
      <c r="AO212" s="565"/>
      <c r="AP212" s="565"/>
      <c r="AQ212" s="588"/>
    </row>
    <row r="213" spans="1:43" ht="22.5" customHeight="1">
      <c r="A213" s="586">
        <f t="shared" si="9"/>
        <v>166</v>
      </c>
      <c r="B213" s="566"/>
      <c r="C213" s="73" t="str">
        <f>IF(足元帳!AY167=1,"N",IF(足元帳!AY167=2,"R",""))</f>
        <v/>
      </c>
      <c r="D213" s="74" t="str">
        <f>IF(足元帳!AZ167&gt;0,VLOOKUP(足元帳!AZ167,管理シート!$CF$32:$CG$34,2,FALSE),"")</f>
        <v/>
      </c>
      <c r="E213" s="572" t="str">
        <f>IF(足元帳!BB167&gt;0,VLOOKUP(足元帳!BB167,管理シート!#REF!,2,FALSE),"")</f>
        <v/>
      </c>
      <c r="F213" s="573"/>
      <c r="G213" s="574">
        <f>足元帳!J167</f>
        <v>0</v>
      </c>
      <c r="H213" s="575"/>
      <c r="I213" s="574">
        <f>足元帳!K167</f>
        <v>0</v>
      </c>
      <c r="J213" s="576"/>
      <c r="K213" s="575"/>
      <c r="L213" s="73" t="str">
        <f ca="1">IF(足元帳!AB167="●","無",IF(足元帳!AC167="●","半",IF(AG213="周年","半",IF(AG213="プレ6","半",IF(AG213="6割","半","")))))</f>
        <v/>
      </c>
      <c r="M213" s="115" t="str">
        <f>IF(足元帳!AM167="","","○")&amp;IF(足元帳!AL167="","","○")</f>
        <v/>
      </c>
      <c r="N213" s="115" t="str">
        <f>IF(足元帳!AN167="","","○")</f>
        <v/>
      </c>
      <c r="O213" s="587" t="str">
        <f>IF(足元帳!U167="","",足元帳!U167)</f>
        <v/>
      </c>
      <c r="P213" s="565"/>
      <c r="Q213" s="565"/>
      <c r="R213" s="565" t="str">
        <f>IF(足元帳!V167="","",足元帳!V167)</f>
        <v/>
      </c>
      <c r="S213" s="565"/>
      <c r="T213" s="565"/>
      <c r="U213" s="565" t="str">
        <f>IF(足元帳!W167="","",足元帳!W167)</f>
        <v/>
      </c>
      <c r="V213" s="565"/>
      <c r="W213" s="565"/>
      <c r="X213" s="565" t="str">
        <f>IF(足元帳!X167="","",足元帳!X167)</f>
        <v/>
      </c>
      <c r="Y213" s="565"/>
      <c r="Z213" s="565"/>
      <c r="AA213" s="565" t="str">
        <f>IF(足元帳!Y167="","",足元帳!Y167)</f>
        <v/>
      </c>
      <c r="AB213" s="565"/>
      <c r="AC213" s="565"/>
      <c r="AD213" s="565" t="str">
        <f>IF(足元帳!Z167="","",足元帳!Z167)</f>
        <v/>
      </c>
      <c r="AE213" s="565"/>
      <c r="AF213" s="566"/>
      <c r="AG213" s="587" t="str">
        <f ca="1">IF(ISERROR(MATCH("●",足元帳!AD167:AM167,0)),IF(足元帳!AM167="","",足元帳!$AM$1&amp;足元帳!AM167),INDIRECT("足元帳!R1C"&amp;MATCH("●",足元帳!AD167:AM167,0)+29,FALSE))</f>
        <v/>
      </c>
      <c r="AH213" s="565"/>
      <c r="AI213" s="565"/>
      <c r="AJ213" s="565"/>
      <c r="AK213" s="565" t="str">
        <f>IF(足元帳!AT167="","",足元帳!AT167)</f>
        <v/>
      </c>
      <c r="AL213" s="565"/>
      <c r="AM213" s="565"/>
      <c r="AN213" s="565"/>
      <c r="AO213" s="565"/>
      <c r="AP213" s="565"/>
      <c r="AQ213" s="588"/>
    </row>
    <row r="214" spans="1:43" ht="22.5" customHeight="1">
      <c r="A214" s="586">
        <f t="shared" si="9"/>
        <v>167</v>
      </c>
      <c r="B214" s="566"/>
      <c r="C214" s="73" t="str">
        <f>IF(足元帳!AY168=1,"N",IF(足元帳!AY168=2,"R",""))</f>
        <v/>
      </c>
      <c r="D214" s="74" t="str">
        <f>IF(足元帳!AZ168&gt;0,VLOOKUP(足元帳!AZ168,管理シート!$CF$32:$CG$34,2,FALSE),"")</f>
        <v/>
      </c>
      <c r="E214" s="572" t="str">
        <f>IF(足元帳!BB168&gt;0,VLOOKUP(足元帳!BB168,管理シート!#REF!,2,FALSE),"")</f>
        <v/>
      </c>
      <c r="F214" s="573"/>
      <c r="G214" s="574">
        <f>足元帳!J168</f>
        <v>0</v>
      </c>
      <c r="H214" s="575"/>
      <c r="I214" s="574">
        <f>足元帳!K168</f>
        <v>0</v>
      </c>
      <c r="J214" s="576"/>
      <c r="K214" s="575"/>
      <c r="L214" s="73" t="str">
        <f ca="1">IF(足元帳!AB168="●","無",IF(足元帳!AC168="●","半",IF(AG214="周年","半",IF(AG214="プレ6","半",IF(AG214="6割","半","")))))</f>
        <v/>
      </c>
      <c r="M214" s="115" t="str">
        <f>IF(足元帳!AM168="","","○")&amp;IF(足元帳!AL168="","","○")</f>
        <v/>
      </c>
      <c r="N214" s="115" t="str">
        <f>IF(足元帳!AN168="","","○")</f>
        <v/>
      </c>
      <c r="O214" s="587" t="str">
        <f>IF(足元帳!U168="","",足元帳!U168)</f>
        <v/>
      </c>
      <c r="P214" s="565"/>
      <c r="Q214" s="565"/>
      <c r="R214" s="565" t="str">
        <f>IF(足元帳!V168="","",足元帳!V168)</f>
        <v/>
      </c>
      <c r="S214" s="565"/>
      <c r="T214" s="565"/>
      <c r="U214" s="565" t="str">
        <f>IF(足元帳!W168="","",足元帳!W168)</f>
        <v/>
      </c>
      <c r="V214" s="565"/>
      <c r="W214" s="565"/>
      <c r="X214" s="565" t="str">
        <f>IF(足元帳!X168="","",足元帳!X168)</f>
        <v/>
      </c>
      <c r="Y214" s="565"/>
      <c r="Z214" s="565"/>
      <c r="AA214" s="565" t="str">
        <f>IF(足元帳!Y168="","",足元帳!Y168)</f>
        <v/>
      </c>
      <c r="AB214" s="565"/>
      <c r="AC214" s="565"/>
      <c r="AD214" s="565" t="str">
        <f>IF(足元帳!Z168="","",足元帳!Z168)</f>
        <v/>
      </c>
      <c r="AE214" s="565"/>
      <c r="AF214" s="566"/>
      <c r="AG214" s="587" t="str">
        <f ca="1">IF(ISERROR(MATCH("●",足元帳!AD168:AM168,0)),IF(足元帳!AM168="","",足元帳!$AM$1&amp;足元帳!AM168),INDIRECT("足元帳!R1C"&amp;MATCH("●",足元帳!AD168:AM168,0)+29,FALSE))</f>
        <v/>
      </c>
      <c r="AH214" s="565"/>
      <c r="AI214" s="565"/>
      <c r="AJ214" s="565"/>
      <c r="AK214" s="565" t="str">
        <f>IF(足元帳!AT168="","",足元帳!AT168)</f>
        <v/>
      </c>
      <c r="AL214" s="565"/>
      <c r="AM214" s="565"/>
      <c r="AN214" s="565"/>
      <c r="AO214" s="565"/>
      <c r="AP214" s="565"/>
      <c r="AQ214" s="588"/>
    </row>
    <row r="215" spans="1:43" ht="22.5" customHeight="1">
      <c r="A215" s="586">
        <f t="shared" si="9"/>
        <v>168</v>
      </c>
      <c r="B215" s="566"/>
      <c r="C215" s="73" t="str">
        <f>IF(足元帳!AY169=1,"N",IF(足元帳!AY169=2,"R",""))</f>
        <v/>
      </c>
      <c r="D215" s="74" t="str">
        <f>IF(足元帳!AZ169&gt;0,VLOOKUP(足元帳!AZ169,管理シート!$CF$32:$CG$34,2,FALSE),"")</f>
        <v/>
      </c>
      <c r="E215" s="572" t="str">
        <f>IF(足元帳!BB169&gt;0,VLOOKUP(足元帳!BB169,管理シート!#REF!,2,FALSE),"")</f>
        <v/>
      </c>
      <c r="F215" s="573"/>
      <c r="G215" s="574">
        <f>足元帳!J169</f>
        <v>0</v>
      </c>
      <c r="H215" s="575"/>
      <c r="I215" s="574">
        <f>足元帳!K169</f>
        <v>0</v>
      </c>
      <c r="J215" s="576"/>
      <c r="K215" s="575"/>
      <c r="L215" s="73" t="str">
        <f ca="1">IF(足元帳!AB169="●","無",IF(足元帳!AC169="●","半",IF(AG215="周年","半",IF(AG215="プレ6","半",IF(AG215="6割","半","")))))</f>
        <v/>
      </c>
      <c r="M215" s="115" t="str">
        <f>IF(足元帳!AM169="","","○")&amp;IF(足元帳!AL169="","","○")</f>
        <v/>
      </c>
      <c r="N215" s="115" t="str">
        <f>IF(足元帳!AN169="","","○")</f>
        <v/>
      </c>
      <c r="O215" s="587" t="str">
        <f>IF(足元帳!U169="","",足元帳!U169)</f>
        <v/>
      </c>
      <c r="P215" s="565"/>
      <c r="Q215" s="565"/>
      <c r="R215" s="565" t="str">
        <f>IF(足元帳!V169="","",足元帳!V169)</f>
        <v/>
      </c>
      <c r="S215" s="565"/>
      <c r="T215" s="565"/>
      <c r="U215" s="565" t="str">
        <f>IF(足元帳!W169="","",足元帳!W169)</f>
        <v/>
      </c>
      <c r="V215" s="565"/>
      <c r="W215" s="565"/>
      <c r="X215" s="565" t="str">
        <f>IF(足元帳!X169="","",足元帳!X169)</f>
        <v/>
      </c>
      <c r="Y215" s="565"/>
      <c r="Z215" s="565"/>
      <c r="AA215" s="565" t="str">
        <f>IF(足元帳!Y169="","",足元帳!Y169)</f>
        <v/>
      </c>
      <c r="AB215" s="565"/>
      <c r="AC215" s="565"/>
      <c r="AD215" s="565" t="str">
        <f>IF(足元帳!Z169="","",足元帳!Z169)</f>
        <v/>
      </c>
      <c r="AE215" s="565"/>
      <c r="AF215" s="566"/>
      <c r="AG215" s="587" t="str">
        <f ca="1">IF(ISERROR(MATCH("●",足元帳!AD169:AM169,0)),IF(足元帳!AM169="","",足元帳!$AM$1&amp;足元帳!AM169),INDIRECT("足元帳!R1C"&amp;MATCH("●",足元帳!AD169:AM169,0)+29,FALSE))</f>
        <v/>
      </c>
      <c r="AH215" s="565"/>
      <c r="AI215" s="565"/>
      <c r="AJ215" s="565"/>
      <c r="AK215" s="565" t="str">
        <f>IF(足元帳!AT169="","",足元帳!AT169)</f>
        <v/>
      </c>
      <c r="AL215" s="565"/>
      <c r="AM215" s="565"/>
      <c r="AN215" s="565"/>
      <c r="AO215" s="565"/>
      <c r="AP215" s="565"/>
      <c r="AQ215" s="588"/>
    </row>
    <row r="216" spans="1:43" ht="22.5" customHeight="1">
      <c r="A216" s="586">
        <f t="shared" si="9"/>
        <v>169</v>
      </c>
      <c r="B216" s="566"/>
      <c r="C216" s="73" t="str">
        <f>IF(足元帳!AY170=1,"N",IF(足元帳!AY170=2,"R",""))</f>
        <v/>
      </c>
      <c r="D216" s="74" t="str">
        <f>IF(足元帳!AZ170&gt;0,VLOOKUP(足元帳!AZ170,管理シート!$CF$32:$CG$34,2,FALSE),"")</f>
        <v/>
      </c>
      <c r="E216" s="572" t="str">
        <f>IF(足元帳!BB170&gt;0,VLOOKUP(足元帳!BB170,管理シート!#REF!,2,FALSE),"")</f>
        <v/>
      </c>
      <c r="F216" s="573"/>
      <c r="G216" s="574">
        <f>足元帳!J170</f>
        <v>0</v>
      </c>
      <c r="H216" s="575"/>
      <c r="I216" s="574">
        <f>足元帳!K170</f>
        <v>0</v>
      </c>
      <c r="J216" s="576"/>
      <c r="K216" s="575"/>
      <c r="L216" s="73" t="str">
        <f ca="1">IF(足元帳!AB170="●","無",IF(足元帳!AC170="●","半",IF(AG216="周年","半",IF(AG216="プレ6","半",IF(AG216="6割","半","")))))</f>
        <v/>
      </c>
      <c r="M216" s="115" t="str">
        <f>IF(足元帳!AM170="","","○")&amp;IF(足元帳!AL170="","","○")</f>
        <v/>
      </c>
      <c r="N216" s="115" t="str">
        <f>IF(足元帳!AN170="","","○")</f>
        <v/>
      </c>
      <c r="O216" s="587" t="str">
        <f>IF(足元帳!U170="","",足元帳!U170)</f>
        <v/>
      </c>
      <c r="P216" s="565"/>
      <c r="Q216" s="565"/>
      <c r="R216" s="565" t="str">
        <f>IF(足元帳!V170="","",足元帳!V170)</f>
        <v/>
      </c>
      <c r="S216" s="565"/>
      <c r="T216" s="565"/>
      <c r="U216" s="565" t="str">
        <f>IF(足元帳!W170="","",足元帳!W170)</f>
        <v/>
      </c>
      <c r="V216" s="565"/>
      <c r="W216" s="565"/>
      <c r="X216" s="565" t="str">
        <f>IF(足元帳!X170="","",足元帳!X170)</f>
        <v/>
      </c>
      <c r="Y216" s="565"/>
      <c r="Z216" s="565"/>
      <c r="AA216" s="565" t="str">
        <f>IF(足元帳!Y170="","",足元帳!Y170)</f>
        <v/>
      </c>
      <c r="AB216" s="565"/>
      <c r="AC216" s="565"/>
      <c r="AD216" s="565" t="str">
        <f>IF(足元帳!Z170="","",足元帳!Z170)</f>
        <v/>
      </c>
      <c r="AE216" s="565"/>
      <c r="AF216" s="566"/>
      <c r="AG216" s="587" t="str">
        <f ca="1">IF(ISERROR(MATCH("●",足元帳!AD170:AM170,0)),IF(足元帳!AM170="","",足元帳!$AM$1&amp;足元帳!AM170),INDIRECT("足元帳!R1C"&amp;MATCH("●",足元帳!AD170:AM170,0)+29,FALSE))</f>
        <v/>
      </c>
      <c r="AH216" s="565"/>
      <c r="AI216" s="565"/>
      <c r="AJ216" s="565"/>
      <c r="AK216" s="565" t="str">
        <f>IF(足元帳!AT170="","",足元帳!AT170)</f>
        <v/>
      </c>
      <c r="AL216" s="565"/>
      <c r="AM216" s="565"/>
      <c r="AN216" s="565"/>
      <c r="AO216" s="565"/>
      <c r="AP216" s="565"/>
      <c r="AQ216" s="588"/>
    </row>
    <row r="217" spans="1:43" ht="22.5" customHeight="1">
      <c r="A217" s="586">
        <f t="shared" si="9"/>
        <v>170</v>
      </c>
      <c r="B217" s="566"/>
      <c r="C217" s="73" t="str">
        <f>IF(足元帳!AY171=1,"N",IF(足元帳!AY171=2,"R",""))</f>
        <v/>
      </c>
      <c r="D217" s="74" t="str">
        <f>IF(足元帳!AZ171&gt;0,VLOOKUP(足元帳!AZ171,管理シート!$CF$32:$CG$34,2,FALSE),"")</f>
        <v/>
      </c>
      <c r="E217" s="572" t="str">
        <f>IF(足元帳!BB171&gt;0,VLOOKUP(足元帳!BB171,管理シート!#REF!,2,FALSE),"")</f>
        <v/>
      </c>
      <c r="F217" s="573"/>
      <c r="G217" s="574">
        <f>足元帳!J171</f>
        <v>0</v>
      </c>
      <c r="H217" s="575"/>
      <c r="I217" s="574">
        <f>足元帳!K171</f>
        <v>0</v>
      </c>
      <c r="J217" s="576"/>
      <c r="K217" s="575"/>
      <c r="L217" s="73" t="str">
        <f ca="1">IF(足元帳!AB171="●","無",IF(足元帳!AC171="●","半",IF(AG217="周年","半",IF(AG217="プレ6","半",IF(AG217="6割","半","")))))</f>
        <v/>
      </c>
      <c r="M217" s="116" t="str">
        <f>IF(足元帳!AM171="","","○")&amp;IF(足元帳!AL171="","","○")</f>
        <v/>
      </c>
      <c r="N217" s="116" t="str">
        <f>IF(足元帳!AN171="","","○")</f>
        <v/>
      </c>
      <c r="O217" s="587" t="str">
        <f>IF(足元帳!U171="","",足元帳!U171)</f>
        <v/>
      </c>
      <c r="P217" s="565"/>
      <c r="Q217" s="565"/>
      <c r="R217" s="565" t="str">
        <f>IF(足元帳!V171="","",足元帳!V171)</f>
        <v/>
      </c>
      <c r="S217" s="565"/>
      <c r="T217" s="565"/>
      <c r="U217" s="565" t="str">
        <f>IF(足元帳!W171="","",足元帳!W171)</f>
        <v/>
      </c>
      <c r="V217" s="565"/>
      <c r="W217" s="565"/>
      <c r="X217" s="565" t="str">
        <f>IF(足元帳!X171="","",足元帳!X171)</f>
        <v/>
      </c>
      <c r="Y217" s="565"/>
      <c r="Z217" s="565"/>
      <c r="AA217" s="565" t="str">
        <f>IF(足元帳!Y171="","",足元帳!Y171)</f>
        <v/>
      </c>
      <c r="AB217" s="565"/>
      <c r="AC217" s="565"/>
      <c r="AD217" s="565" t="str">
        <f>IF(足元帳!Z171="","",足元帳!Z171)</f>
        <v/>
      </c>
      <c r="AE217" s="565"/>
      <c r="AF217" s="566"/>
      <c r="AG217" s="587" t="str">
        <f ca="1">IF(ISERROR(MATCH("●",足元帳!AD171:AM171,0)),IF(足元帳!AM171="","",足元帳!$AM$1&amp;足元帳!AM171),INDIRECT("足元帳!R1C"&amp;MATCH("●",足元帳!AD171:AM171,0)+29,FALSE))</f>
        <v/>
      </c>
      <c r="AH217" s="565"/>
      <c r="AI217" s="565"/>
      <c r="AJ217" s="565"/>
      <c r="AK217" s="565" t="str">
        <f>IF(足元帳!AT171="","",足元帳!AT171)</f>
        <v/>
      </c>
      <c r="AL217" s="565"/>
      <c r="AM217" s="565"/>
      <c r="AN217" s="565"/>
      <c r="AO217" s="565"/>
      <c r="AP217" s="565"/>
      <c r="AQ217" s="588"/>
    </row>
    <row r="218" spans="1:43" ht="22.5" customHeight="1">
      <c r="A218" s="586">
        <f t="shared" si="9"/>
        <v>171</v>
      </c>
      <c r="B218" s="566"/>
      <c r="C218" s="73" t="str">
        <f>IF(足元帳!AY172=1,"N",IF(足元帳!AY172=2,"R",""))</f>
        <v/>
      </c>
      <c r="D218" s="74" t="str">
        <f>IF(足元帳!AZ172&gt;0,VLOOKUP(足元帳!AZ172,管理シート!$CF$32:$CG$34,2,FALSE),"")</f>
        <v/>
      </c>
      <c r="E218" s="572" t="str">
        <f>IF(足元帳!BB172&gt;0,VLOOKUP(足元帳!BB172,管理シート!#REF!,2,FALSE),"")</f>
        <v/>
      </c>
      <c r="F218" s="573"/>
      <c r="G218" s="574">
        <f>足元帳!J172</f>
        <v>0</v>
      </c>
      <c r="H218" s="575"/>
      <c r="I218" s="574">
        <f>足元帳!K172</f>
        <v>0</v>
      </c>
      <c r="J218" s="576"/>
      <c r="K218" s="575"/>
      <c r="L218" s="73" t="str">
        <f ca="1">IF(足元帳!AB172="●","無",IF(足元帳!AC172="●","半",IF(AG218="周年","半",IF(AG218="プレ6","半",IF(AG218="6割","半","")))))</f>
        <v/>
      </c>
      <c r="M218" s="115" t="str">
        <f>IF(足元帳!AM172="","","○")&amp;IF(足元帳!AL172="","","○")</f>
        <v/>
      </c>
      <c r="N218" s="115" t="str">
        <f>IF(足元帳!AN172="","","○")</f>
        <v/>
      </c>
      <c r="O218" s="587" t="str">
        <f>IF(足元帳!U172="","",足元帳!U172)</f>
        <v/>
      </c>
      <c r="P218" s="565"/>
      <c r="Q218" s="565"/>
      <c r="R218" s="565" t="str">
        <f>IF(足元帳!V172="","",足元帳!V172)</f>
        <v/>
      </c>
      <c r="S218" s="565"/>
      <c r="T218" s="565"/>
      <c r="U218" s="565" t="str">
        <f>IF(足元帳!W172="","",足元帳!W172)</f>
        <v/>
      </c>
      <c r="V218" s="565"/>
      <c r="W218" s="565"/>
      <c r="X218" s="565" t="str">
        <f>IF(足元帳!X172="","",足元帳!X172)</f>
        <v/>
      </c>
      <c r="Y218" s="565"/>
      <c r="Z218" s="565"/>
      <c r="AA218" s="565" t="str">
        <f>IF(足元帳!Y172="","",足元帳!Y172)</f>
        <v/>
      </c>
      <c r="AB218" s="565"/>
      <c r="AC218" s="565"/>
      <c r="AD218" s="565" t="str">
        <f>IF(足元帳!Z172="","",足元帳!Z172)</f>
        <v/>
      </c>
      <c r="AE218" s="565"/>
      <c r="AF218" s="566"/>
      <c r="AG218" s="587" t="str">
        <f ca="1">IF(ISERROR(MATCH("●",足元帳!AD172:AM172,0)),IF(足元帳!AM172="","",足元帳!$AM$1&amp;足元帳!AM172),INDIRECT("足元帳!R1C"&amp;MATCH("●",足元帳!AD172:AM172,0)+29,FALSE))</f>
        <v/>
      </c>
      <c r="AH218" s="565"/>
      <c r="AI218" s="565"/>
      <c r="AJ218" s="565"/>
      <c r="AK218" s="565" t="str">
        <f>IF(足元帳!AT172="","",足元帳!AT172)</f>
        <v/>
      </c>
      <c r="AL218" s="565"/>
      <c r="AM218" s="565"/>
      <c r="AN218" s="565"/>
      <c r="AO218" s="565"/>
      <c r="AP218" s="565"/>
      <c r="AQ218" s="588"/>
    </row>
    <row r="219" spans="1:43" ht="22.5" customHeight="1">
      <c r="A219" s="586">
        <f t="shared" si="9"/>
        <v>172</v>
      </c>
      <c r="B219" s="566"/>
      <c r="C219" s="73" t="str">
        <f>IF(足元帳!AY173=1,"N",IF(足元帳!AY173=2,"R",""))</f>
        <v/>
      </c>
      <c r="D219" s="74" t="str">
        <f>IF(足元帳!AZ173&gt;0,VLOOKUP(足元帳!AZ173,管理シート!$CF$32:$CG$34,2,FALSE),"")</f>
        <v/>
      </c>
      <c r="E219" s="572" t="str">
        <f>IF(足元帳!BB173&gt;0,VLOOKUP(足元帳!BB173,管理シート!#REF!,2,FALSE),"")</f>
        <v/>
      </c>
      <c r="F219" s="573"/>
      <c r="G219" s="574">
        <f>足元帳!J173</f>
        <v>0</v>
      </c>
      <c r="H219" s="575"/>
      <c r="I219" s="574">
        <f>足元帳!K173</f>
        <v>0</v>
      </c>
      <c r="J219" s="576"/>
      <c r="K219" s="575"/>
      <c r="L219" s="73" t="str">
        <f ca="1">IF(足元帳!AB173="●","無",IF(足元帳!AC173="●","半",IF(AG219="周年","半",IF(AG219="プレ6","半",IF(AG219="6割","半","")))))</f>
        <v/>
      </c>
      <c r="M219" s="115" t="str">
        <f>IF(足元帳!AM173="","","○")&amp;IF(足元帳!AL173="","","○")</f>
        <v/>
      </c>
      <c r="N219" s="115" t="str">
        <f>IF(足元帳!AN173="","","○")</f>
        <v/>
      </c>
      <c r="O219" s="587" t="str">
        <f>IF(足元帳!U173="","",足元帳!U173)</f>
        <v/>
      </c>
      <c r="P219" s="565"/>
      <c r="Q219" s="565"/>
      <c r="R219" s="565" t="str">
        <f>IF(足元帳!V173="","",足元帳!V173)</f>
        <v/>
      </c>
      <c r="S219" s="565"/>
      <c r="T219" s="565"/>
      <c r="U219" s="565" t="str">
        <f>IF(足元帳!W173="","",足元帳!W173)</f>
        <v/>
      </c>
      <c r="V219" s="565"/>
      <c r="W219" s="565"/>
      <c r="X219" s="565" t="str">
        <f>IF(足元帳!X173="","",足元帳!X173)</f>
        <v/>
      </c>
      <c r="Y219" s="565"/>
      <c r="Z219" s="565"/>
      <c r="AA219" s="565" t="str">
        <f>IF(足元帳!Y173="","",足元帳!Y173)</f>
        <v/>
      </c>
      <c r="AB219" s="565"/>
      <c r="AC219" s="565"/>
      <c r="AD219" s="565" t="str">
        <f>IF(足元帳!Z173="","",足元帳!Z173)</f>
        <v/>
      </c>
      <c r="AE219" s="565"/>
      <c r="AF219" s="566"/>
      <c r="AG219" s="587" t="str">
        <f ca="1">IF(ISERROR(MATCH("●",足元帳!AD173:AM173,0)),IF(足元帳!AM173="","",足元帳!$AM$1&amp;足元帳!AM173),INDIRECT("足元帳!R1C"&amp;MATCH("●",足元帳!AD173:AM173,0)+29,FALSE))</f>
        <v/>
      </c>
      <c r="AH219" s="565"/>
      <c r="AI219" s="565"/>
      <c r="AJ219" s="565"/>
      <c r="AK219" s="565" t="str">
        <f>IF(足元帳!AT173="","",足元帳!AT173)</f>
        <v/>
      </c>
      <c r="AL219" s="565"/>
      <c r="AM219" s="565"/>
      <c r="AN219" s="565"/>
      <c r="AO219" s="565"/>
      <c r="AP219" s="565"/>
      <c r="AQ219" s="588"/>
    </row>
    <row r="220" spans="1:43" ht="22.5" customHeight="1">
      <c r="A220" s="586">
        <f t="shared" si="9"/>
        <v>173</v>
      </c>
      <c r="B220" s="566"/>
      <c r="C220" s="73" t="str">
        <f>IF(足元帳!AY174=1,"N",IF(足元帳!AY174=2,"R",""))</f>
        <v/>
      </c>
      <c r="D220" s="74" t="str">
        <f>IF(足元帳!AZ174&gt;0,VLOOKUP(足元帳!AZ174,管理シート!$CF$32:$CG$34,2,FALSE),"")</f>
        <v/>
      </c>
      <c r="E220" s="572" t="str">
        <f>IF(足元帳!BB174&gt;0,VLOOKUP(足元帳!BB174,管理シート!#REF!,2,FALSE),"")</f>
        <v/>
      </c>
      <c r="F220" s="573"/>
      <c r="G220" s="574">
        <f>足元帳!J174</f>
        <v>0</v>
      </c>
      <c r="H220" s="575"/>
      <c r="I220" s="574">
        <f>足元帳!K174</f>
        <v>0</v>
      </c>
      <c r="J220" s="576"/>
      <c r="K220" s="575"/>
      <c r="L220" s="73" t="str">
        <f ca="1">IF(足元帳!AB174="●","無",IF(足元帳!AC174="●","半",IF(AG220="周年","半",IF(AG220="プレ6","半",IF(AG220="6割","半","")))))</f>
        <v/>
      </c>
      <c r="M220" s="115" t="str">
        <f>IF(足元帳!AM174="","","○")&amp;IF(足元帳!AL174="","","○")</f>
        <v/>
      </c>
      <c r="N220" s="115" t="str">
        <f>IF(足元帳!AN174="","","○")</f>
        <v/>
      </c>
      <c r="O220" s="587" t="str">
        <f>IF(足元帳!U174="","",足元帳!U174)</f>
        <v/>
      </c>
      <c r="P220" s="565"/>
      <c r="Q220" s="565"/>
      <c r="R220" s="565" t="str">
        <f>IF(足元帳!V174="","",足元帳!V174)</f>
        <v/>
      </c>
      <c r="S220" s="565"/>
      <c r="T220" s="565"/>
      <c r="U220" s="565" t="str">
        <f>IF(足元帳!W174="","",足元帳!W174)</f>
        <v/>
      </c>
      <c r="V220" s="565"/>
      <c r="W220" s="565"/>
      <c r="X220" s="565" t="str">
        <f>IF(足元帳!X174="","",足元帳!X174)</f>
        <v/>
      </c>
      <c r="Y220" s="565"/>
      <c r="Z220" s="565"/>
      <c r="AA220" s="565" t="str">
        <f>IF(足元帳!Y174="","",足元帳!Y174)</f>
        <v/>
      </c>
      <c r="AB220" s="565"/>
      <c r="AC220" s="565"/>
      <c r="AD220" s="565" t="str">
        <f>IF(足元帳!Z174="","",足元帳!Z174)</f>
        <v/>
      </c>
      <c r="AE220" s="565"/>
      <c r="AF220" s="566"/>
      <c r="AG220" s="587" t="str">
        <f ca="1">IF(ISERROR(MATCH("●",足元帳!AD174:AM174,0)),IF(足元帳!AM174="","",足元帳!$AM$1&amp;足元帳!AM174),INDIRECT("足元帳!R1C"&amp;MATCH("●",足元帳!AD174:AM174,0)+29,FALSE))</f>
        <v/>
      </c>
      <c r="AH220" s="565"/>
      <c r="AI220" s="565"/>
      <c r="AJ220" s="565"/>
      <c r="AK220" s="565" t="str">
        <f>IF(足元帳!AT174="","",足元帳!AT174)</f>
        <v/>
      </c>
      <c r="AL220" s="565"/>
      <c r="AM220" s="565"/>
      <c r="AN220" s="565"/>
      <c r="AO220" s="565"/>
      <c r="AP220" s="565"/>
      <c r="AQ220" s="588"/>
    </row>
    <row r="221" spans="1:43" ht="22.5" customHeight="1">
      <c r="A221" s="586">
        <f t="shared" si="9"/>
        <v>174</v>
      </c>
      <c r="B221" s="566"/>
      <c r="C221" s="73" t="str">
        <f>IF(足元帳!AY175=1,"N",IF(足元帳!AY175=2,"R",""))</f>
        <v/>
      </c>
      <c r="D221" s="74" t="str">
        <f>IF(足元帳!AZ175&gt;0,VLOOKUP(足元帳!AZ175,管理シート!$CF$32:$CG$34,2,FALSE),"")</f>
        <v/>
      </c>
      <c r="E221" s="572" t="str">
        <f>IF(足元帳!BB175&gt;0,VLOOKUP(足元帳!BB175,管理シート!#REF!,2,FALSE),"")</f>
        <v/>
      </c>
      <c r="F221" s="573"/>
      <c r="G221" s="574">
        <f>足元帳!J175</f>
        <v>0</v>
      </c>
      <c r="H221" s="575"/>
      <c r="I221" s="574">
        <f>足元帳!K175</f>
        <v>0</v>
      </c>
      <c r="J221" s="576"/>
      <c r="K221" s="575"/>
      <c r="L221" s="73" t="str">
        <f ca="1">IF(足元帳!AB175="●","無",IF(足元帳!AC175="●","半",IF(AG221="周年","半",IF(AG221="プレ6","半",IF(AG221="6割","半","")))))</f>
        <v/>
      </c>
      <c r="M221" s="115" t="str">
        <f>IF(足元帳!AM175="","","○")&amp;IF(足元帳!AL175="","","○")</f>
        <v/>
      </c>
      <c r="N221" s="115" t="str">
        <f>IF(足元帳!AN175="","","○")</f>
        <v/>
      </c>
      <c r="O221" s="587" t="str">
        <f>IF(足元帳!U175="","",足元帳!U175)</f>
        <v/>
      </c>
      <c r="P221" s="565"/>
      <c r="Q221" s="565"/>
      <c r="R221" s="565" t="str">
        <f>IF(足元帳!V175="","",足元帳!V175)</f>
        <v/>
      </c>
      <c r="S221" s="565"/>
      <c r="T221" s="565"/>
      <c r="U221" s="565" t="str">
        <f>IF(足元帳!W175="","",足元帳!W175)</f>
        <v/>
      </c>
      <c r="V221" s="565"/>
      <c r="W221" s="565"/>
      <c r="X221" s="565" t="str">
        <f>IF(足元帳!X175="","",足元帳!X175)</f>
        <v/>
      </c>
      <c r="Y221" s="565"/>
      <c r="Z221" s="565"/>
      <c r="AA221" s="565" t="str">
        <f>IF(足元帳!Y175="","",足元帳!Y175)</f>
        <v/>
      </c>
      <c r="AB221" s="565"/>
      <c r="AC221" s="565"/>
      <c r="AD221" s="565" t="str">
        <f>IF(足元帳!Z175="","",足元帳!Z175)</f>
        <v/>
      </c>
      <c r="AE221" s="565"/>
      <c r="AF221" s="566"/>
      <c r="AG221" s="587" t="str">
        <f ca="1">IF(ISERROR(MATCH("●",足元帳!AD175:AM175,0)),IF(足元帳!AM175="","",足元帳!$AM$1&amp;足元帳!AM175),INDIRECT("足元帳!R1C"&amp;MATCH("●",足元帳!AD175:AM175,0)+29,FALSE))</f>
        <v/>
      </c>
      <c r="AH221" s="565"/>
      <c r="AI221" s="565"/>
      <c r="AJ221" s="565"/>
      <c r="AK221" s="565" t="str">
        <f>IF(足元帳!AT175="","",足元帳!AT175)</f>
        <v/>
      </c>
      <c r="AL221" s="565"/>
      <c r="AM221" s="565"/>
      <c r="AN221" s="565"/>
      <c r="AO221" s="565"/>
      <c r="AP221" s="565"/>
      <c r="AQ221" s="588"/>
    </row>
    <row r="222" spans="1:43" ht="22.5" customHeight="1" thickBot="1">
      <c r="A222" s="598">
        <f t="shared" si="9"/>
        <v>175</v>
      </c>
      <c r="B222" s="596"/>
      <c r="C222" s="76" t="str">
        <f>IF(足元帳!AY176=1,"N",IF(足元帳!AY176=2,"R",""))</f>
        <v/>
      </c>
      <c r="D222" s="77" t="str">
        <f>IF(足元帳!AZ176&gt;0,VLOOKUP(足元帳!AZ176,管理シート!$CF$32:$CG$34,2,FALSE),"")</f>
        <v/>
      </c>
      <c r="E222" s="599" t="str">
        <f>IF(足元帳!BB176&gt;0,VLOOKUP(足元帳!BB176,管理シート!#REF!,2,FALSE),"")</f>
        <v/>
      </c>
      <c r="F222" s="600"/>
      <c r="G222" s="601">
        <f>足元帳!J176</f>
        <v>0</v>
      </c>
      <c r="H222" s="602"/>
      <c r="I222" s="601">
        <f>足元帳!K176</f>
        <v>0</v>
      </c>
      <c r="J222" s="603"/>
      <c r="K222" s="602"/>
      <c r="L222" s="76" t="str">
        <f ca="1">IF(足元帳!AB176="●","無",IF(足元帳!AC176="●","半",IF(AG222="周年","半",IF(AG222="プレ6","半",IF(AG222="6割","半","")))))</f>
        <v/>
      </c>
      <c r="M222" s="118" t="str">
        <f>IF(足元帳!AM176="","","○")&amp;IF(足元帳!AL176="","","○")</f>
        <v/>
      </c>
      <c r="N222" s="118" t="str">
        <f>IF(足元帳!AN176="","","○")</f>
        <v/>
      </c>
      <c r="O222" s="597" t="str">
        <f>IF(足元帳!U176="","",足元帳!U176)</f>
        <v/>
      </c>
      <c r="P222" s="589"/>
      <c r="Q222" s="589"/>
      <c r="R222" s="589" t="str">
        <f>IF(足元帳!V176="","",足元帳!V176)</f>
        <v/>
      </c>
      <c r="S222" s="589"/>
      <c r="T222" s="589"/>
      <c r="U222" s="589" t="str">
        <f>IF(足元帳!W176="","",足元帳!W176)</f>
        <v/>
      </c>
      <c r="V222" s="589"/>
      <c r="W222" s="589"/>
      <c r="X222" s="589" t="str">
        <f>IF(足元帳!X176="","",足元帳!X176)</f>
        <v/>
      </c>
      <c r="Y222" s="589"/>
      <c r="Z222" s="589"/>
      <c r="AA222" s="589" t="str">
        <f>IF(足元帳!Y176="","",足元帳!Y176)</f>
        <v/>
      </c>
      <c r="AB222" s="589"/>
      <c r="AC222" s="589"/>
      <c r="AD222" s="589" t="str">
        <f>IF(足元帳!Z176="","",足元帳!Z176)</f>
        <v/>
      </c>
      <c r="AE222" s="589"/>
      <c r="AF222" s="596"/>
      <c r="AG222" s="597" t="str">
        <f ca="1">IF(ISERROR(MATCH("●",足元帳!AD176:AM176,0)),IF(足元帳!AM176="","",足元帳!$AM$1&amp;足元帳!AM176),INDIRECT("足元帳!R1C"&amp;MATCH("●",足元帳!AD176:AM176,0)+29,FALSE))</f>
        <v/>
      </c>
      <c r="AH222" s="589"/>
      <c r="AI222" s="589"/>
      <c r="AJ222" s="589"/>
      <c r="AK222" s="589" t="str">
        <f>IF(足元帳!AT176="","",足元帳!AT176)</f>
        <v/>
      </c>
      <c r="AL222" s="589"/>
      <c r="AM222" s="589"/>
      <c r="AN222" s="589"/>
      <c r="AO222" s="589"/>
      <c r="AP222" s="589"/>
      <c r="AQ222" s="590"/>
    </row>
    <row r="223" spans="1:43" ht="22.5" customHeight="1">
      <c r="A223" s="591"/>
      <c r="B223" s="592"/>
      <c r="C223" s="592" t="s">
        <v>11</v>
      </c>
      <c r="D223" s="592"/>
      <c r="E223" s="592"/>
      <c r="F223" s="592"/>
      <c r="G223" s="592" t="s">
        <v>153</v>
      </c>
      <c r="H223" s="592"/>
      <c r="I223" s="592"/>
      <c r="J223" s="592"/>
      <c r="K223" s="592"/>
      <c r="L223" s="592"/>
      <c r="M223" s="592"/>
      <c r="N223" s="592"/>
      <c r="O223" s="592" t="s">
        <v>154</v>
      </c>
      <c r="P223" s="592"/>
      <c r="Q223" s="592"/>
      <c r="R223" s="592"/>
      <c r="S223" s="592"/>
      <c r="T223" s="592"/>
      <c r="U223" s="592"/>
      <c r="V223" s="592"/>
      <c r="W223" s="592"/>
      <c r="X223" s="592"/>
      <c r="Y223" s="592" t="s">
        <v>155</v>
      </c>
      <c r="Z223" s="592"/>
      <c r="AA223" s="592"/>
      <c r="AB223" s="592"/>
      <c r="AC223" s="592"/>
      <c r="AD223" s="592"/>
      <c r="AE223" s="592"/>
      <c r="AF223" s="592"/>
      <c r="AG223" s="592" t="s">
        <v>156</v>
      </c>
      <c r="AH223" s="592"/>
      <c r="AI223" s="592" t="s">
        <v>157</v>
      </c>
      <c r="AJ223" s="592"/>
      <c r="AK223" s="592"/>
      <c r="AL223" s="592" t="s">
        <v>2</v>
      </c>
      <c r="AM223" s="592"/>
      <c r="AN223" s="592"/>
      <c r="AO223" s="592"/>
      <c r="AP223" s="592"/>
      <c r="AQ223" s="595"/>
    </row>
    <row r="224" spans="1:43" ht="22.5" customHeight="1">
      <c r="A224" s="593"/>
      <c r="B224" s="594"/>
      <c r="C224" s="594" t="s">
        <v>4</v>
      </c>
      <c r="D224" s="594"/>
      <c r="E224" s="594" t="s">
        <v>3</v>
      </c>
      <c r="F224" s="594"/>
      <c r="G224" s="594" t="s">
        <v>14</v>
      </c>
      <c r="H224" s="594"/>
      <c r="I224" s="594" t="s">
        <v>5</v>
      </c>
      <c r="J224" s="594"/>
      <c r="K224" s="594" t="s">
        <v>152</v>
      </c>
      <c r="L224" s="594"/>
      <c r="M224" s="594" t="s">
        <v>0</v>
      </c>
      <c r="N224" s="594"/>
      <c r="O224" s="594">
        <v>45</v>
      </c>
      <c r="P224" s="594"/>
      <c r="Q224" s="594">
        <v>60</v>
      </c>
      <c r="R224" s="594"/>
      <c r="S224" s="594">
        <v>70</v>
      </c>
      <c r="T224" s="594"/>
      <c r="U224" s="594">
        <v>90</v>
      </c>
      <c r="V224" s="594"/>
      <c r="W224" s="594">
        <v>110</v>
      </c>
      <c r="X224" s="594"/>
      <c r="Y224" s="594">
        <v>30</v>
      </c>
      <c r="Z224" s="594"/>
      <c r="AA224" s="594">
        <v>20</v>
      </c>
      <c r="AB224" s="594"/>
      <c r="AC224" s="594">
        <v>15</v>
      </c>
      <c r="AD224" s="594"/>
      <c r="AE224" s="594">
        <v>10</v>
      </c>
      <c r="AF224" s="594"/>
      <c r="AG224" s="594"/>
      <c r="AH224" s="594"/>
      <c r="AI224" s="594"/>
      <c r="AJ224" s="594"/>
      <c r="AK224" s="594"/>
      <c r="AL224" s="604"/>
      <c r="AM224" s="604"/>
      <c r="AN224" s="604"/>
      <c r="AO224" s="604"/>
      <c r="AP224" s="604"/>
      <c r="AQ224" s="605"/>
    </row>
    <row r="225" spans="1:43" ht="22.5" customHeight="1">
      <c r="A225" s="593" t="s">
        <v>158</v>
      </c>
      <c r="B225" s="594"/>
      <c r="C225" s="587">
        <f>SUM(C226:F226)</f>
        <v>0</v>
      </c>
      <c r="D225" s="565"/>
      <c r="E225" s="565"/>
      <c r="F225" s="566"/>
      <c r="G225" s="604">
        <f>SUM(G226:N226)</f>
        <v>0</v>
      </c>
      <c r="H225" s="604"/>
      <c r="I225" s="604"/>
      <c r="J225" s="604"/>
      <c r="K225" s="604"/>
      <c r="L225" s="604"/>
      <c r="M225" s="604"/>
      <c r="N225" s="604"/>
      <c r="O225" s="604">
        <f>SUM(O226:X226)</f>
        <v>0</v>
      </c>
      <c r="P225" s="604"/>
      <c r="Q225" s="604"/>
      <c r="R225" s="604"/>
      <c r="S225" s="604"/>
      <c r="T225" s="604"/>
      <c r="U225" s="604"/>
      <c r="V225" s="604"/>
      <c r="W225" s="604"/>
      <c r="X225" s="604"/>
      <c r="Y225" s="604"/>
      <c r="Z225" s="604"/>
      <c r="AA225" s="604"/>
      <c r="AB225" s="604"/>
      <c r="AC225" s="604"/>
      <c r="AD225" s="604"/>
      <c r="AE225" s="604"/>
      <c r="AF225" s="604"/>
      <c r="AG225" s="604"/>
      <c r="AH225" s="604"/>
      <c r="AI225" s="604"/>
      <c r="AJ225" s="604"/>
      <c r="AK225" s="604"/>
      <c r="AL225" s="604"/>
      <c r="AM225" s="604"/>
      <c r="AN225" s="604"/>
      <c r="AO225" s="604"/>
      <c r="AP225" s="604"/>
      <c r="AQ225" s="605"/>
    </row>
    <row r="226" spans="1:43" ht="22.5" customHeight="1">
      <c r="A226" s="593"/>
      <c r="B226" s="594"/>
      <c r="C226" s="604">
        <f>COUNTIF(C188:C222,"N")</f>
        <v>0</v>
      </c>
      <c r="D226" s="604"/>
      <c r="E226" s="604">
        <f>COUNTIF(C188:C222,"R")</f>
        <v>0</v>
      </c>
      <c r="F226" s="604"/>
      <c r="G226" s="604">
        <f>COUNTIF(D188:D222,"姫")</f>
        <v>0</v>
      </c>
      <c r="H226" s="604"/>
      <c r="I226" s="604">
        <f>COUNTIF(D188:D222,"本")</f>
        <v>0</v>
      </c>
      <c r="J226" s="604"/>
      <c r="K226" s="604">
        <f>COUNTIF(D188:D222,"ネ")</f>
        <v>0</v>
      </c>
      <c r="L226" s="604"/>
      <c r="M226" s="604">
        <f>COUNTIF(D188:D222,"写")</f>
        <v>0</v>
      </c>
      <c r="N226" s="604"/>
      <c r="O226" s="604">
        <f>COUNTIF(E188:F222,45)</f>
        <v>0</v>
      </c>
      <c r="P226" s="604"/>
      <c r="Q226" s="604">
        <f>COUNTIF(E188:F222,60)</f>
        <v>0</v>
      </c>
      <c r="R226" s="604"/>
      <c r="S226" s="604">
        <f>COUNTIF(E188:F222,70)</f>
        <v>0</v>
      </c>
      <c r="T226" s="604"/>
      <c r="U226" s="604">
        <f>COUNTIF(E188:F222,90)</f>
        <v>0</v>
      </c>
      <c r="V226" s="604"/>
      <c r="W226" s="604">
        <f>COUNTIF(E188:F222,110)</f>
        <v>0</v>
      </c>
      <c r="X226" s="604"/>
      <c r="Y226" s="604"/>
      <c r="Z226" s="604"/>
      <c r="AA226" s="604"/>
      <c r="AB226" s="604"/>
      <c r="AC226" s="604"/>
      <c r="AD226" s="604"/>
      <c r="AE226" s="604"/>
      <c r="AF226" s="604"/>
      <c r="AG226" s="604"/>
      <c r="AH226" s="604"/>
      <c r="AI226" s="604"/>
      <c r="AJ226" s="604"/>
      <c r="AK226" s="604"/>
      <c r="AL226" s="604"/>
      <c r="AM226" s="604"/>
      <c r="AN226" s="604"/>
      <c r="AO226" s="604"/>
      <c r="AP226" s="604"/>
      <c r="AQ226" s="605"/>
    </row>
    <row r="227" spans="1:43" ht="22.5" customHeight="1">
      <c r="A227" s="593" t="s">
        <v>159</v>
      </c>
      <c r="B227" s="594"/>
      <c r="C227" s="604"/>
      <c r="D227" s="604"/>
      <c r="E227" s="604"/>
      <c r="F227" s="604"/>
      <c r="G227" s="604"/>
      <c r="H227" s="604"/>
      <c r="I227" s="604"/>
      <c r="J227" s="604"/>
      <c r="K227" s="604"/>
      <c r="L227" s="604"/>
      <c r="M227" s="604"/>
      <c r="N227" s="604"/>
      <c r="O227" s="604"/>
      <c r="P227" s="604"/>
      <c r="Q227" s="604"/>
      <c r="R227" s="604"/>
      <c r="S227" s="604"/>
      <c r="T227" s="604"/>
      <c r="U227" s="604"/>
      <c r="V227" s="604"/>
      <c r="W227" s="604"/>
      <c r="X227" s="604"/>
      <c r="Y227" s="604"/>
      <c r="Z227" s="604"/>
      <c r="AA227" s="604"/>
      <c r="AB227" s="604"/>
      <c r="AC227" s="604"/>
      <c r="AD227" s="604"/>
      <c r="AE227" s="604"/>
      <c r="AF227" s="604"/>
      <c r="AG227" s="604"/>
      <c r="AH227" s="604"/>
      <c r="AI227" s="604"/>
      <c r="AJ227" s="604"/>
      <c r="AK227" s="604"/>
      <c r="AL227" s="604"/>
      <c r="AM227" s="604"/>
      <c r="AN227" s="604"/>
      <c r="AO227" s="604"/>
      <c r="AP227" s="604"/>
      <c r="AQ227" s="605"/>
    </row>
    <row r="228" spans="1:43" ht="22.5" customHeight="1" thickBot="1">
      <c r="A228" s="606"/>
      <c r="B228" s="607"/>
      <c r="C228" s="608"/>
      <c r="D228" s="608"/>
      <c r="E228" s="608"/>
      <c r="F228" s="608"/>
      <c r="G228" s="608"/>
      <c r="H228" s="608"/>
      <c r="I228" s="608"/>
      <c r="J228" s="608"/>
      <c r="K228" s="608"/>
      <c r="L228" s="608"/>
      <c r="M228" s="608"/>
      <c r="N228" s="608"/>
      <c r="O228" s="608"/>
      <c r="P228" s="608"/>
      <c r="Q228" s="608"/>
      <c r="R228" s="608"/>
      <c r="S228" s="608"/>
      <c r="T228" s="608"/>
      <c r="U228" s="608"/>
      <c r="V228" s="608"/>
      <c r="W228" s="608"/>
      <c r="X228" s="608"/>
      <c r="Y228" s="608"/>
      <c r="Z228" s="608"/>
      <c r="AA228" s="608"/>
      <c r="AB228" s="608"/>
      <c r="AC228" s="608"/>
      <c r="AD228" s="608"/>
      <c r="AE228" s="608"/>
      <c r="AF228" s="608"/>
      <c r="AG228" s="608"/>
      <c r="AH228" s="608"/>
      <c r="AI228" s="608"/>
      <c r="AJ228" s="608"/>
      <c r="AK228" s="608"/>
      <c r="AL228" s="608"/>
      <c r="AM228" s="608"/>
      <c r="AN228" s="608"/>
      <c r="AO228" s="608"/>
      <c r="AP228" s="608"/>
      <c r="AQ228" s="611"/>
    </row>
    <row r="229" spans="1:43" ht="22.5" customHeight="1">
      <c r="A229" s="609" t="s">
        <v>160</v>
      </c>
      <c r="B229" s="610"/>
      <c r="C229" s="610"/>
      <c r="D229" s="610"/>
      <c r="E229" s="610"/>
      <c r="F229" s="610"/>
      <c r="G229" s="610" t="s">
        <v>161</v>
      </c>
      <c r="H229" s="610"/>
      <c r="I229" s="610" t="s">
        <v>162</v>
      </c>
      <c r="J229" s="610"/>
      <c r="K229" s="610"/>
      <c r="L229" s="610"/>
      <c r="M229" s="610"/>
      <c r="N229" s="610"/>
      <c r="O229" s="610" t="s">
        <v>161</v>
      </c>
      <c r="P229" s="610"/>
      <c r="Q229" s="610" t="s">
        <v>163</v>
      </c>
      <c r="R229" s="610"/>
      <c r="S229" s="610"/>
      <c r="T229" s="610"/>
      <c r="U229" s="610"/>
      <c r="V229" s="610"/>
      <c r="W229" s="610" t="s">
        <v>164</v>
      </c>
      <c r="X229" s="610"/>
      <c r="Y229" s="610" t="s">
        <v>165</v>
      </c>
      <c r="Z229" s="610"/>
      <c r="AA229" s="610"/>
      <c r="AB229" s="610"/>
      <c r="AC229" s="610"/>
      <c r="AD229" s="610"/>
      <c r="AE229" s="610" t="s">
        <v>166</v>
      </c>
      <c r="AF229" s="610"/>
      <c r="AG229" s="610" t="s">
        <v>167</v>
      </c>
      <c r="AH229" s="610"/>
      <c r="AI229" s="610"/>
      <c r="AJ229" s="610"/>
      <c r="AK229" s="610"/>
      <c r="AL229" s="610"/>
      <c r="AM229" s="610"/>
      <c r="AN229" s="610"/>
      <c r="AO229" s="610"/>
      <c r="AP229" s="610"/>
      <c r="AQ229" s="614"/>
    </row>
    <row r="230" spans="1:43" ht="22.5" customHeight="1" thickBot="1">
      <c r="A230" s="615">
        <f>IF(C271&gt;0,"",精算表!$BD$46)</f>
        <v>0</v>
      </c>
      <c r="B230" s="616"/>
      <c r="C230" s="616"/>
      <c r="D230" s="616"/>
      <c r="E230" s="616"/>
      <c r="F230" s="616"/>
      <c r="G230" s="607" t="s">
        <v>161</v>
      </c>
      <c r="H230" s="607"/>
      <c r="I230" s="616">
        <f>IF(C271&gt;0,"",精算表!$BD$49)</f>
        <v>0</v>
      </c>
      <c r="J230" s="616"/>
      <c r="K230" s="616"/>
      <c r="L230" s="616"/>
      <c r="M230" s="616"/>
      <c r="N230" s="616"/>
      <c r="O230" s="607" t="s">
        <v>161</v>
      </c>
      <c r="P230" s="607"/>
      <c r="Q230" s="616">
        <f>IF(C271&gt;0,"",精算表!$BD$50)</f>
        <v>0</v>
      </c>
      <c r="R230" s="616"/>
      <c r="S230" s="616"/>
      <c r="T230" s="616"/>
      <c r="U230" s="616"/>
      <c r="V230" s="616"/>
      <c r="W230" s="607" t="s">
        <v>164</v>
      </c>
      <c r="X230" s="607"/>
      <c r="Y230" s="616">
        <f>IF(C271&gt;0,"",精算表!$BD$56)</f>
        <v>0</v>
      </c>
      <c r="Z230" s="616"/>
      <c r="AA230" s="616"/>
      <c r="AB230" s="616"/>
      <c r="AC230" s="616"/>
      <c r="AD230" s="616"/>
      <c r="AE230" s="607" t="s">
        <v>166</v>
      </c>
      <c r="AF230" s="607"/>
      <c r="AG230" s="613">
        <f>IF(C271&gt;0,"",A230-I230-Q230+Y230)</f>
        <v>0</v>
      </c>
      <c r="AH230" s="608"/>
      <c r="AI230" s="608"/>
      <c r="AJ230" s="608"/>
      <c r="AK230" s="608"/>
      <c r="AL230" s="608"/>
      <c r="AM230" s="608"/>
      <c r="AN230" s="608"/>
      <c r="AO230" s="608"/>
      <c r="AP230" s="608"/>
      <c r="AQ230" s="611"/>
    </row>
    <row r="231" spans="1:43" ht="22.5" customHeight="1">
      <c r="AD231" s="113" t="s">
        <v>142</v>
      </c>
      <c r="AF231" s="617" t="str">
        <f>AF185</f>
        <v>31</v>
      </c>
      <c r="AG231" s="617"/>
      <c r="AH231" s="113" t="s">
        <v>143</v>
      </c>
      <c r="AI231" s="617">
        <f>AI185</f>
        <v>10</v>
      </c>
      <c r="AJ231" s="617"/>
      <c r="AK231" s="617"/>
      <c r="AL231" s="578" t="s">
        <v>144</v>
      </c>
      <c r="AM231" s="578"/>
      <c r="AN231" s="617">
        <f>AN185</f>
        <v>17</v>
      </c>
      <c r="AO231" s="617"/>
      <c r="AP231" s="578" t="s">
        <v>145</v>
      </c>
      <c r="AQ231" s="578"/>
    </row>
    <row r="232" spans="1:43" ht="22.5" customHeight="1" thickBot="1">
      <c r="A232" s="579">
        <f>A186+1</f>
        <v>6</v>
      </c>
      <c r="B232" s="612"/>
      <c r="C232" s="612"/>
      <c r="D232" s="612"/>
      <c r="E232" s="612"/>
      <c r="F232" s="612"/>
      <c r="G232" s="612"/>
      <c r="H232" s="612"/>
      <c r="I232" s="612"/>
      <c r="J232" s="612"/>
      <c r="K232" s="612"/>
      <c r="L232" s="612"/>
      <c r="M232" s="612"/>
      <c r="N232" s="612"/>
      <c r="O232" s="612"/>
      <c r="P232" s="612"/>
      <c r="Q232" s="612"/>
      <c r="R232" s="612"/>
      <c r="S232" s="612"/>
      <c r="T232" s="612"/>
      <c r="U232" s="612"/>
      <c r="V232" s="612"/>
      <c r="W232" s="612"/>
      <c r="X232" s="612"/>
      <c r="Y232" s="612"/>
      <c r="Z232" s="612"/>
      <c r="AA232" s="612"/>
      <c r="AB232" s="612"/>
      <c r="AC232" s="612"/>
      <c r="AD232" s="612"/>
      <c r="AE232" s="612"/>
      <c r="AF232" s="612"/>
      <c r="AG232" s="612"/>
      <c r="AH232" s="612"/>
      <c r="AI232" s="612"/>
      <c r="AJ232" s="612"/>
      <c r="AK232" s="612"/>
      <c r="AL232" s="612"/>
      <c r="AM232" s="612"/>
      <c r="AN232" s="612"/>
      <c r="AO232" s="612"/>
      <c r="AP232" s="612"/>
      <c r="AQ232" s="612"/>
    </row>
    <row r="233" spans="1:43" ht="22.5" customHeight="1" thickBot="1">
      <c r="A233" s="580" t="s">
        <v>146</v>
      </c>
      <c r="B233" s="581"/>
      <c r="C233" s="582" t="s">
        <v>147</v>
      </c>
      <c r="D233" s="581"/>
      <c r="E233" s="582" t="s">
        <v>154</v>
      </c>
      <c r="F233" s="583"/>
      <c r="G233" s="583" t="s">
        <v>6</v>
      </c>
      <c r="H233" s="581"/>
      <c r="I233" s="583" t="s">
        <v>148</v>
      </c>
      <c r="J233" s="583"/>
      <c r="K233" s="581"/>
      <c r="L233" s="72" t="s">
        <v>2</v>
      </c>
      <c r="M233" s="72" t="s">
        <v>149</v>
      </c>
      <c r="N233" s="75" t="s">
        <v>150</v>
      </c>
      <c r="O233" s="582" t="s">
        <v>168</v>
      </c>
      <c r="P233" s="583"/>
      <c r="Q233" s="583"/>
      <c r="R233" s="583"/>
      <c r="S233" s="583"/>
      <c r="T233" s="583"/>
      <c r="U233" s="583"/>
      <c r="V233" s="583"/>
      <c r="W233" s="583"/>
      <c r="X233" s="583"/>
      <c r="Y233" s="583"/>
      <c r="Z233" s="583"/>
      <c r="AA233" s="583"/>
      <c r="AB233" s="583"/>
      <c r="AC233" s="583"/>
      <c r="AD233" s="583"/>
      <c r="AE233" s="583"/>
      <c r="AF233" s="581"/>
      <c r="AG233" s="583" t="s">
        <v>151</v>
      </c>
      <c r="AH233" s="583"/>
      <c r="AI233" s="583"/>
      <c r="AJ233" s="583"/>
      <c r="AK233" s="583"/>
      <c r="AL233" s="583"/>
      <c r="AM233" s="583"/>
      <c r="AN233" s="583"/>
      <c r="AO233" s="583"/>
      <c r="AP233" s="583"/>
      <c r="AQ233" s="584"/>
    </row>
    <row r="234" spans="1:43" ht="22.5" customHeight="1">
      <c r="A234" s="570">
        <f>A222+1</f>
        <v>176</v>
      </c>
      <c r="B234" s="571"/>
      <c r="C234" s="73" t="str">
        <f>IF(足元帳!AY177=1,"N",IF(足元帳!AY177=2,"R",""))</f>
        <v/>
      </c>
      <c r="D234" s="74" t="str">
        <f>IF(足元帳!AZ177&gt;0,VLOOKUP(足元帳!AZ177,管理シート!$CF$32:$CG$34,2,FALSE),"")</f>
        <v/>
      </c>
      <c r="E234" s="572" t="str">
        <f>IF(足元帳!BB177&gt;0,VLOOKUP(足元帳!BB177,管理シート!#REF!,2,FALSE),"")</f>
        <v/>
      </c>
      <c r="F234" s="573"/>
      <c r="G234" s="574">
        <f>足元帳!J177</f>
        <v>0</v>
      </c>
      <c r="H234" s="575"/>
      <c r="I234" s="574">
        <f>足元帳!K177</f>
        <v>0</v>
      </c>
      <c r="J234" s="576"/>
      <c r="K234" s="575"/>
      <c r="L234" s="73" t="str">
        <f ca="1">IF(足元帳!AB177="●","無",IF(足元帳!AC177="●","半",IF(AG234="周年","半",IF(AG234="プレ6","半",IF(AG234="6割","半","")))))</f>
        <v/>
      </c>
      <c r="M234" s="115" t="str">
        <f>IF(足元帳!AM177="","","○")&amp;IF(足元帳!AL177="","","○")</f>
        <v/>
      </c>
      <c r="N234" s="115" t="str">
        <f>IF(足元帳!AN177="","","○")</f>
        <v/>
      </c>
      <c r="O234" s="587" t="str">
        <f>IF(足元帳!U177="","",足元帳!U177)</f>
        <v/>
      </c>
      <c r="P234" s="565"/>
      <c r="Q234" s="565"/>
      <c r="R234" s="565" t="str">
        <f>IF(足元帳!V177="","",足元帳!V177)</f>
        <v/>
      </c>
      <c r="S234" s="565"/>
      <c r="T234" s="565"/>
      <c r="U234" s="565" t="str">
        <f>IF(足元帳!W177="","",足元帳!W177)</f>
        <v/>
      </c>
      <c r="V234" s="565"/>
      <c r="W234" s="565"/>
      <c r="X234" s="565" t="str">
        <f>IF(足元帳!X177="","",足元帳!X177)</f>
        <v/>
      </c>
      <c r="Y234" s="565"/>
      <c r="Z234" s="565"/>
      <c r="AA234" s="565" t="str">
        <f>IF(足元帳!Y177="","",足元帳!Y177)</f>
        <v/>
      </c>
      <c r="AB234" s="565"/>
      <c r="AC234" s="565"/>
      <c r="AD234" s="565" t="str">
        <f>IF(足元帳!Z177="","",足元帳!Z177)</f>
        <v/>
      </c>
      <c r="AE234" s="565"/>
      <c r="AF234" s="566"/>
      <c r="AG234" s="587" t="str">
        <f ca="1">IF(ISERROR(MATCH("●",足元帳!AD177:AM177,0)),IF(足元帳!AM177="","",足元帳!$AM$1&amp;足元帳!AM177),INDIRECT("足元帳!R1C"&amp;MATCH("●",足元帳!AD177:AM177,0)+29,FALSE))</f>
        <v/>
      </c>
      <c r="AH234" s="565"/>
      <c r="AI234" s="565"/>
      <c r="AJ234" s="565"/>
      <c r="AK234" s="565" t="str">
        <f>IF(足元帳!AT177="","",足元帳!AT177)</f>
        <v/>
      </c>
      <c r="AL234" s="565"/>
      <c r="AM234" s="565"/>
      <c r="AN234" s="565"/>
      <c r="AO234" s="565"/>
      <c r="AP234" s="565"/>
      <c r="AQ234" s="588"/>
    </row>
    <row r="235" spans="1:43" ht="22.5" customHeight="1">
      <c r="A235" s="586">
        <f>A234+1</f>
        <v>177</v>
      </c>
      <c r="B235" s="566"/>
      <c r="C235" s="73" t="str">
        <f>IF(足元帳!AY178=1,"N",IF(足元帳!AY178=2,"R",""))</f>
        <v/>
      </c>
      <c r="D235" s="74" t="str">
        <f>IF(足元帳!AZ178&gt;0,VLOOKUP(足元帳!AZ178,管理シート!$CF$32:$CG$34,2,FALSE),"")</f>
        <v/>
      </c>
      <c r="E235" s="572" t="str">
        <f>IF(足元帳!BB178&gt;0,VLOOKUP(足元帳!BB178,管理シート!#REF!,2,FALSE),"")</f>
        <v/>
      </c>
      <c r="F235" s="573"/>
      <c r="G235" s="574">
        <f>足元帳!J178</f>
        <v>0</v>
      </c>
      <c r="H235" s="575"/>
      <c r="I235" s="574">
        <f>足元帳!K178</f>
        <v>0</v>
      </c>
      <c r="J235" s="576"/>
      <c r="K235" s="575"/>
      <c r="L235" s="73" t="str">
        <f ca="1">IF(足元帳!AB178="●","無",IF(足元帳!AC178="●","半",IF(AG235="周年","半",IF(AG235="プレ6","半",IF(AG235="6割","半","")))))</f>
        <v/>
      </c>
      <c r="M235" s="115" t="str">
        <f>IF(足元帳!AM178="","","○")&amp;IF(足元帳!AL178="","","○")</f>
        <v/>
      </c>
      <c r="N235" s="115" t="str">
        <f>IF(足元帳!AN178="","","○")</f>
        <v/>
      </c>
      <c r="O235" s="587" t="str">
        <f>IF(足元帳!U178="","",足元帳!U178)</f>
        <v/>
      </c>
      <c r="P235" s="565"/>
      <c r="Q235" s="565"/>
      <c r="R235" s="565" t="str">
        <f>IF(足元帳!V178="","",足元帳!V178)</f>
        <v/>
      </c>
      <c r="S235" s="565"/>
      <c r="T235" s="565"/>
      <c r="U235" s="565" t="str">
        <f>IF(足元帳!W178="","",足元帳!W178)</f>
        <v/>
      </c>
      <c r="V235" s="565"/>
      <c r="W235" s="565"/>
      <c r="X235" s="565" t="str">
        <f>IF(足元帳!X178="","",足元帳!X178)</f>
        <v/>
      </c>
      <c r="Y235" s="565"/>
      <c r="Z235" s="565"/>
      <c r="AA235" s="565" t="str">
        <f>IF(足元帳!Y178="","",足元帳!Y178)</f>
        <v/>
      </c>
      <c r="AB235" s="565"/>
      <c r="AC235" s="565"/>
      <c r="AD235" s="565" t="str">
        <f>IF(足元帳!Z178="","",足元帳!Z178)</f>
        <v/>
      </c>
      <c r="AE235" s="565"/>
      <c r="AF235" s="566"/>
      <c r="AG235" s="587" t="str">
        <f ca="1">IF(ISERROR(MATCH("●",足元帳!AD178:AM178,0)),IF(足元帳!AM178="","",足元帳!$AM$1&amp;足元帳!AM178),INDIRECT("足元帳!R1C"&amp;MATCH("●",足元帳!AD178:AM178,0)+29,FALSE))</f>
        <v/>
      </c>
      <c r="AH235" s="565"/>
      <c r="AI235" s="565"/>
      <c r="AJ235" s="565"/>
      <c r="AK235" s="565" t="str">
        <f>IF(足元帳!AT178="","",足元帳!AT178)</f>
        <v/>
      </c>
      <c r="AL235" s="565"/>
      <c r="AM235" s="565"/>
      <c r="AN235" s="565"/>
      <c r="AO235" s="565"/>
      <c r="AP235" s="565"/>
      <c r="AQ235" s="588"/>
    </row>
    <row r="236" spans="1:43" ht="22.5" customHeight="1">
      <c r="A236" s="586">
        <f t="shared" ref="A236:A268" si="10">A235+1</f>
        <v>178</v>
      </c>
      <c r="B236" s="566"/>
      <c r="C236" s="73" t="str">
        <f>IF(足元帳!AY179=1,"N",IF(足元帳!AY179=2,"R",""))</f>
        <v/>
      </c>
      <c r="D236" s="74" t="str">
        <f>IF(足元帳!AZ179&gt;0,VLOOKUP(足元帳!AZ179,管理シート!$CF$32:$CG$34,2,FALSE),"")</f>
        <v/>
      </c>
      <c r="E236" s="572" t="str">
        <f>IF(足元帳!BB179&gt;0,VLOOKUP(足元帳!BB179,管理シート!#REF!,2,FALSE),"")</f>
        <v/>
      </c>
      <c r="F236" s="573"/>
      <c r="G236" s="574">
        <f>足元帳!J179</f>
        <v>0</v>
      </c>
      <c r="H236" s="575"/>
      <c r="I236" s="574">
        <f>足元帳!K179</f>
        <v>0</v>
      </c>
      <c r="J236" s="576"/>
      <c r="K236" s="575"/>
      <c r="L236" s="73" t="str">
        <f ca="1">IF(足元帳!AB179="●","無",IF(足元帳!AC179="●","半",IF(AG236="周年","半",IF(AG236="プレ6","半",IF(AG236="6割","半","")))))</f>
        <v/>
      </c>
      <c r="M236" s="115" t="str">
        <f>IF(足元帳!AM179="","","○")&amp;IF(足元帳!AL179="","","○")</f>
        <v/>
      </c>
      <c r="N236" s="115" t="str">
        <f>IF(足元帳!AN179="","","○")</f>
        <v/>
      </c>
      <c r="O236" s="587" t="str">
        <f>IF(足元帳!U179="","",足元帳!U179)</f>
        <v/>
      </c>
      <c r="P236" s="565"/>
      <c r="Q236" s="565"/>
      <c r="R236" s="565" t="str">
        <f>IF(足元帳!V179="","",足元帳!V179)</f>
        <v/>
      </c>
      <c r="S236" s="565"/>
      <c r="T236" s="565"/>
      <c r="U236" s="565" t="str">
        <f>IF(足元帳!W179="","",足元帳!W179)</f>
        <v/>
      </c>
      <c r="V236" s="565"/>
      <c r="W236" s="565"/>
      <c r="X236" s="565" t="str">
        <f>IF(足元帳!X179="","",足元帳!X179)</f>
        <v/>
      </c>
      <c r="Y236" s="565"/>
      <c r="Z236" s="565"/>
      <c r="AA236" s="565" t="str">
        <f>IF(足元帳!Y179="","",足元帳!Y179)</f>
        <v/>
      </c>
      <c r="AB236" s="565"/>
      <c r="AC236" s="565"/>
      <c r="AD236" s="565" t="str">
        <f>IF(足元帳!Z179="","",足元帳!Z179)</f>
        <v/>
      </c>
      <c r="AE236" s="565"/>
      <c r="AF236" s="566"/>
      <c r="AG236" s="587" t="str">
        <f ca="1">IF(ISERROR(MATCH("●",足元帳!AD179:AM179,0)),IF(足元帳!AM179="","",足元帳!$AM$1&amp;足元帳!AM179),INDIRECT("足元帳!R1C"&amp;MATCH("●",足元帳!AD179:AM179,0)+29,FALSE))</f>
        <v/>
      </c>
      <c r="AH236" s="565"/>
      <c r="AI236" s="565"/>
      <c r="AJ236" s="565"/>
      <c r="AK236" s="565" t="str">
        <f>IF(足元帳!AT179="","",足元帳!AT179)</f>
        <v/>
      </c>
      <c r="AL236" s="565"/>
      <c r="AM236" s="565"/>
      <c r="AN236" s="565"/>
      <c r="AO236" s="565"/>
      <c r="AP236" s="565"/>
      <c r="AQ236" s="588"/>
    </row>
    <row r="237" spans="1:43" ht="22.5" customHeight="1">
      <c r="A237" s="586">
        <f t="shared" si="10"/>
        <v>179</v>
      </c>
      <c r="B237" s="566"/>
      <c r="C237" s="73" t="str">
        <f>IF(足元帳!AY180=1,"N",IF(足元帳!AY180=2,"R",""))</f>
        <v/>
      </c>
      <c r="D237" s="74" t="str">
        <f>IF(足元帳!AZ180&gt;0,VLOOKUP(足元帳!AZ180,管理シート!$CF$32:$CG$34,2,FALSE),"")</f>
        <v/>
      </c>
      <c r="E237" s="572" t="str">
        <f>IF(足元帳!BB180&gt;0,VLOOKUP(足元帳!BB180,管理シート!#REF!,2,FALSE),"")</f>
        <v/>
      </c>
      <c r="F237" s="573"/>
      <c r="G237" s="574">
        <f>足元帳!J180</f>
        <v>0</v>
      </c>
      <c r="H237" s="575"/>
      <c r="I237" s="574">
        <f>足元帳!K180</f>
        <v>0</v>
      </c>
      <c r="J237" s="576"/>
      <c r="K237" s="575"/>
      <c r="L237" s="73" t="str">
        <f ca="1">IF(足元帳!AB180="●","無",IF(足元帳!AC180="●","半",IF(AG237="周年","半",IF(AG237="プレ6","半",IF(AG237="6割","半","")))))</f>
        <v/>
      </c>
      <c r="M237" s="115" t="str">
        <f>IF(足元帳!AM180="","","○")&amp;IF(足元帳!AL180="","","○")</f>
        <v/>
      </c>
      <c r="N237" s="115" t="str">
        <f>IF(足元帳!AN180="","","○")</f>
        <v/>
      </c>
      <c r="O237" s="587" t="str">
        <f>IF(足元帳!U180="","",足元帳!U180)</f>
        <v/>
      </c>
      <c r="P237" s="565"/>
      <c r="Q237" s="565"/>
      <c r="R237" s="565" t="str">
        <f>IF(足元帳!V180="","",足元帳!V180)</f>
        <v/>
      </c>
      <c r="S237" s="565"/>
      <c r="T237" s="565"/>
      <c r="U237" s="565" t="str">
        <f>IF(足元帳!W180="","",足元帳!W180)</f>
        <v/>
      </c>
      <c r="V237" s="565"/>
      <c r="W237" s="565"/>
      <c r="X237" s="565" t="str">
        <f>IF(足元帳!X180="","",足元帳!X180)</f>
        <v/>
      </c>
      <c r="Y237" s="565"/>
      <c r="Z237" s="565"/>
      <c r="AA237" s="565" t="str">
        <f>IF(足元帳!Y180="","",足元帳!Y180)</f>
        <v/>
      </c>
      <c r="AB237" s="565"/>
      <c r="AC237" s="565"/>
      <c r="AD237" s="565" t="str">
        <f>IF(足元帳!Z180="","",足元帳!Z180)</f>
        <v/>
      </c>
      <c r="AE237" s="565"/>
      <c r="AF237" s="566"/>
      <c r="AG237" s="587" t="str">
        <f ca="1">IF(ISERROR(MATCH("●",足元帳!AD180:AM180,0)),IF(足元帳!AM180="","",足元帳!$AM$1&amp;足元帳!AM180),INDIRECT("足元帳!R1C"&amp;MATCH("●",足元帳!AD180:AM180,0)+29,FALSE))</f>
        <v/>
      </c>
      <c r="AH237" s="565"/>
      <c r="AI237" s="565"/>
      <c r="AJ237" s="565"/>
      <c r="AK237" s="565" t="str">
        <f>IF(足元帳!AT180="","",足元帳!AT180)</f>
        <v/>
      </c>
      <c r="AL237" s="565"/>
      <c r="AM237" s="565"/>
      <c r="AN237" s="565"/>
      <c r="AO237" s="565"/>
      <c r="AP237" s="565"/>
      <c r="AQ237" s="588"/>
    </row>
    <row r="238" spans="1:43" ht="22.5" customHeight="1">
      <c r="A238" s="586">
        <f t="shared" si="10"/>
        <v>180</v>
      </c>
      <c r="B238" s="566"/>
      <c r="C238" s="73" t="str">
        <f>IF(足元帳!AY181=1,"N",IF(足元帳!AY181=2,"R",""))</f>
        <v/>
      </c>
      <c r="D238" s="74" t="str">
        <f>IF(足元帳!AZ181&gt;0,VLOOKUP(足元帳!AZ181,管理シート!$CF$32:$CG$34,2,FALSE),"")</f>
        <v/>
      </c>
      <c r="E238" s="572" t="str">
        <f>IF(足元帳!BB181&gt;0,VLOOKUP(足元帳!BB181,管理シート!#REF!,2,FALSE),"")</f>
        <v/>
      </c>
      <c r="F238" s="573"/>
      <c r="G238" s="574">
        <f>足元帳!J181</f>
        <v>0</v>
      </c>
      <c r="H238" s="575"/>
      <c r="I238" s="574">
        <f>足元帳!K181</f>
        <v>0</v>
      </c>
      <c r="J238" s="576"/>
      <c r="K238" s="575"/>
      <c r="L238" s="73" t="str">
        <f ca="1">IF(足元帳!AB181="●","無",IF(足元帳!AC181="●","半",IF(AG238="周年","半",IF(AG238="プレ6","半",IF(AG238="6割","半","")))))</f>
        <v/>
      </c>
      <c r="M238" s="115" t="str">
        <f>IF(足元帳!AM181="","","○")&amp;IF(足元帳!AL181="","","○")</f>
        <v/>
      </c>
      <c r="N238" s="115" t="str">
        <f>IF(足元帳!AN181="","","○")</f>
        <v/>
      </c>
      <c r="O238" s="587" t="str">
        <f>IF(足元帳!U181="","",足元帳!U181)</f>
        <v/>
      </c>
      <c r="P238" s="565"/>
      <c r="Q238" s="565"/>
      <c r="R238" s="565" t="str">
        <f>IF(足元帳!V181="","",足元帳!V181)</f>
        <v/>
      </c>
      <c r="S238" s="565"/>
      <c r="T238" s="565"/>
      <c r="U238" s="565" t="str">
        <f>IF(足元帳!W181="","",足元帳!W181)</f>
        <v/>
      </c>
      <c r="V238" s="565"/>
      <c r="W238" s="565"/>
      <c r="X238" s="565" t="str">
        <f>IF(足元帳!X181="","",足元帳!X181)</f>
        <v/>
      </c>
      <c r="Y238" s="565"/>
      <c r="Z238" s="565"/>
      <c r="AA238" s="565" t="str">
        <f>IF(足元帳!Y181="","",足元帳!Y181)</f>
        <v/>
      </c>
      <c r="AB238" s="565"/>
      <c r="AC238" s="565"/>
      <c r="AD238" s="565" t="str">
        <f>IF(足元帳!Z181="","",足元帳!Z181)</f>
        <v/>
      </c>
      <c r="AE238" s="565"/>
      <c r="AF238" s="566"/>
      <c r="AG238" s="587" t="str">
        <f ca="1">IF(ISERROR(MATCH("●",足元帳!AD181:AM181,0)),IF(足元帳!AM181="","",足元帳!$AM$1&amp;足元帳!AM181),INDIRECT("足元帳!R1C"&amp;MATCH("●",足元帳!AD181:AM181,0)+29,FALSE))</f>
        <v/>
      </c>
      <c r="AH238" s="565"/>
      <c r="AI238" s="565"/>
      <c r="AJ238" s="565"/>
      <c r="AK238" s="565" t="str">
        <f>IF(足元帳!AT181="","",足元帳!AT181)</f>
        <v/>
      </c>
      <c r="AL238" s="565"/>
      <c r="AM238" s="565"/>
      <c r="AN238" s="565"/>
      <c r="AO238" s="565"/>
      <c r="AP238" s="565"/>
      <c r="AQ238" s="588"/>
    </row>
    <row r="239" spans="1:43" ht="22.5" customHeight="1">
      <c r="A239" s="586">
        <f t="shared" si="10"/>
        <v>181</v>
      </c>
      <c r="B239" s="566"/>
      <c r="C239" s="73" t="str">
        <f>IF(足元帳!AY182=1,"N",IF(足元帳!AY182=2,"R",""))</f>
        <v/>
      </c>
      <c r="D239" s="74" t="str">
        <f>IF(足元帳!AZ182&gt;0,VLOOKUP(足元帳!AZ182,管理シート!$CF$32:$CG$34,2,FALSE),"")</f>
        <v/>
      </c>
      <c r="E239" s="572" t="str">
        <f>IF(足元帳!BB182&gt;0,VLOOKUP(足元帳!BB182,管理シート!#REF!,2,FALSE),"")</f>
        <v/>
      </c>
      <c r="F239" s="573"/>
      <c r="G239" s="574">
        <f>足元帳!J182</f>
        <v>0</v>
      </c>
      <c r="H239" s="575"/>
      <c r="I239" s="574">
        <f>足元帳!K182</f>
        <v>0</v>
      </c>
      <c r="J239" s="576"/>
      <c r="K239" s="575"/>
      <c r="L239" s="73" t="str">
        <f ca="1">IF(足元帳!AB182="●","無",IF(足元帳!AC182="●","半",IF(AG239="周年","半",IF(AG239="プレ6","半",IF(AG239="6割","半","")))))</f>
        <v/>
      </c>
      <c r="M239" s="115" t="str">
        <f>IF(足元帳!AM182="","","○")&amp;IF(足元帳!AL182="","","○")</f>
        <v/>
      </c>
      <c r="N239" s="115" t="str">
        <f>IF(足元帳!AN182="","","○")</f>
        <v/>
      </c>
      <c r="O239" s="587" t="str">
        <f>IF(足元帳!U182="","",足元帳!U182)</f>
        <v/>
      </c>
      <c r="P239" s="565"/>
      <c r="Q239" s="565"/>
      <c r="R239" s="565" t="str">
        <f>IF(足元帳!V182="","",足元帳!V182)</f>
        <v/>
      </c>
      <c r="S239" s="565"/>
      <c r="T239" s="565"/>
      <c r="U239" s="565" t="str">
        <f>IF(足元帳!W182="","",足元帳!W182)</f>
        <v/>
      </c>
      <c r="V239" s="565"/>
      <c r="W239" s="565"/>
      <c r="X239" s="565" t="str">
        <f>IF(足元帳!X182="","",足元帳!X182)</f>
        <v/>
      </c>
      <c r="Y239" s="565"/>
      <c r="Z239" s="565"/>
      <c r="AA239" s="565" t="str">
        <f>IF(足元帳!Y182="","",足元帳!Y182)</f>
        <v/>
      </c>
      <c r="AB239" s="565"/>
      <c r="AC239" s="565"/>
      <c r="AD239" s="565" t="str">
        <f>IF(足元帳!Z182="","",足元帳!Z182)</f>
        <v/>
      </c>
      <c r="AE239" s="565"/>
      <c r="AF239" s="566"/>
      <c r="AG239" s="587" t="str">
        <f ca="1">IF(ISERROR(MATCH("●",足元帳!AD182:AM182,0)),IF(足元帳!AM182="","",足元帳!$AM$1&amp;足元帳!AM182),INDIRECT("足元帳!R1C"&amp;MATCH("●",足元帳!AD182:AM182,0)+29,FALSE))</f>
        <v/>
      </c>
      <c r="AH239" s="565"/>
      <c r="AI239" s="565"/>
      <c r="AJ239" s="565"/>
      <c r="AK239" s="565" t="str">
        <f>IF(足元帳!AT182="","",足元帳!AT182)</f>
        <v/>
      </c>
      <c r="AL239" s="565"/>
      <c r="AM239" s="565"/>
      <c r="AN239" s="565"/>
      <c r="AO239" s="565"/>
      <c r="AP239" s="565"/>
      <c r="AQ239" s="588"/>
    </row>
    <row r="240" spans="1:43" ht="22.5" customHeight="1">
      <c r="A240" s="586">
        <f t="shared" si="10"/>
        <v>182</v>
      </c>
      <c r="B240" s="566"/>
      <c r="C240" s="73" t="str">
        <f>IF(足元帳!AY183=1,"N",IF(足元帳!AY183=2,"R",""))</f>
        <v/>
      </c>
      <c r="D240" s="74" t="str">
        <f>IF(足元帳!AZ183&gt;0,VLOOKUP(足元帳!AZ183,管理シート!$CF$32:$CG$34,2,FALSE),"")</f>
        <v/>
      </c>
      <c r="E240" s="572" t="str">
        <f>IF(足元帳!BB183&gt;0,VLOOKUP(足元帳!BB183,管理シート!#REF!,2,FALSE),"")</f>
        <v/>
      </c>
      <c r="F240" s="573"/>
      <c r="G240" s="574">
        <f>足元帳!J183</f>
        <v>0</v>
      </c>
      <c r="H240" s="575"/>
      <c r="I240" s="574">
        <f>足元帳!K183</f>
        <v>0</v>
      </c>
      <c r="J240" s="576"/>
      <c r="K240" s="575"/>
      <c r="L240" s="73" t="str">
        <f ca="1">IF(足元帳!AB183="●","無",IF(足元帳!AC183="●","半",IF(AG240="周年","半",IF(AG240="プレ6","半",IF(AG240="6割","半","")))))</f>
        <v/>
      </c>
      <c r="M240" s="115" t="str">
        <f>IF(足元帳!AM183="","","○")&amp;IF(足元帳!AL183="","","○")</f>
        <v/>
      </c>
      <c r="N240" s="115" t="str">
        <f>IF(足元帳!AN183="","","○")</f>
        <v/>
      </c>
      <c r="O240" s="587" t="str">
        <f>IF(足元帳!U183="","",足元帳!U183)</f>
        <v/>
      </c>
      <c r="P240" s="565"/>
      <c r="Q240" s="565"/>
      <c r="R240" s="565" t="str">
        <f>IF(足元帳!V183="","",足元帳!V183)</f>
        <v/>
      </c>
      <c r="S240" s="565"/>
      <c r="T240" s="565"/>
      <c r="U240" s="565" t="str">
        <f>IF(足元帳!W183="","",足元帳!W183)</f>
        <v/>
      </c>
      <c r="V240" s="565"/>
      <c r="W240" s="565"/>
      <c r="X240" s="565" t="str">
        <f>IF(足元帳!X183="","",足元帳!X183)</f>
        <v/>
      </c>
      <c r="Y240" s="565"/>
      <c r="Z240" s="565"/>
      <c r="AA240" s="565" t="str">
        <f>IF(足元帳!Y183="","",足元帳!Y183)</f>
        <v/>
      </c>
      <c r="AB240" s="565"/>
      <c r="AC240" s="565"/>
      <c r="AD240" s="565" t="str">
        <f>IF(足元帳!Z183="","",足元帳!Z183)</f>
        <v/>
      </c>
      <c r="AE240" s="565"/>
      <c r="AF240" s="566"/>
      <c r="AG240" s="587" t="str">
        <f ca="1">IF(ISERROR(MATCH("●",足元帳!AD183:AM183,0)),IF(足元帳!AM183="","",足元帳!$AM$1&amp;足元帳!AM183),INDIRECT("足元帳!R1C"&amp;MATCH("●",足元帳!AD183:AM183,0)+29,FALSE))</f>
        <v/>
      </c>
      <c r="AH240" s="565"/>
      <c r="AI240" s="565"/>
      <c r="AJ240" s="565"/>
      <c r="AK240" s="565" t="str">
        <f>IF(足元帳!AT183="","",足元帳!AT183)</f>
        <v/>
      </c>
      <c r="AL240" s="565"/>
      <c r="AM240" s="565"/>
      <c r="AN240" s="565"/>
      <c r="AO240" s="565"/>
      <c r="AP240" s="565"/>
      <c r="AQ240" s="588"/>
    </row>
    <row r="241" spans="1:43" ht="22.5" customHeight="1">
      <c r="A241" s="586">
        <f t="shared" si="10"/>
        <v>183</v>
      </c>
      <c r="B241" s="566"/>
      <c r="C241" s="73" t="str">
        <f>IF(足元帳!AY184=1,"N",IF(足元帳!AY184=2,"R",""))</f>
        <v/>
      </c>
      <c r="D241" s="74" t="str">
        <f>IF(足元帳!AZ184&gt;0,VLOOKUP(足元帳!AZ184,管理シート!$CF$32:$CG$34,2,FALSE),"")</f>
        <v/>
      </c>
      <c r="E241" s="572" t="str">
        <f>IF(足元帳!BB184&gt;0,VLOOKUP(足元帳!BB184,管理シート!#REF!,2,FALSE),"")</f>
        <v/>
      </c>
      <c r="F241" s="573"/>
      <c r="G241" s="574">
        <f>足元帳!J184</f>
        <v>0</v>
      </c>
      <c r="H241" s="575"/>
      <c r="I241" s="574">
        <f>足元帳!K184</f>
        <v>0</v>
      </c>
      <c r="J241" s="576"/>
      <c r="K241" s="575"/>
      <c r="L241" s="73" t="str">
        <f ca="1">IF(足元帳!AB184="●","無",IF(足元帳!AC184="●","半",IF(AG241="周年","半",IF(AG241="プレ6","半",IF(AG241="6割","半","")))))</f>
        <v/>
      </c>
      <c r="M241" s="115" t="str">
        <f>IF(足元帳!AM184="","","○")&amp;IF(足元帳!AL184="","","○")</f>
        <v/>
      </c>
      <c r="N241" s="115" t="str">
        <f>IF(足元帳!AN184="","","○")</f>
        <v/>
      </c>
      <c r="O241" s="587" t="str">
        <f>IF(足元帳!U184="","",足元帳!U184)</f>
        <v/>
      </c>
      <c r="P241" s="565"/>
      <c r="Q241" s="565"/>
      <c r="R241" s="565" t="str">
        <f>IF(足元帳!V184="","",足元帳!V184)</f>
        <v/>
      </c>
      <c r="S241" s="565"/>
      <c r="T241" s="565"/>
      <c r="U241" s="565" t="str">
        <f>IF(足元帳!W184="","",足元帳!W184)</f>
        <v/>
      </c>
      <c r="V241" s="565"/>
      <c r="W241" s="565"/>
      <c r="X241" s="565" t="str">
        <f>IF(足元帳!X184="","",足元帳!X184)</f>
        <v/>
      </c>
      <c r="Y241" s="565"/>
      <c r="Z241" s="565"/>
      <c r="AA241" s="565" t="str">
        <f>IF(足元帳!Y184="","",足元帳!Y184)</f>
        <v/>
      </c>
      <c r="AB241" s="565"/>
      <c r="AC241" s="565"/>
      <c r="AD241" s="565" t="str">
        <f>IF(足元帳!Z184="","",足元帳!Z184)</f>
        <v/>
      </c>
      <c r="AE241" s="565"/>
      <c r="AF241" s="566"/>
      <c r="AG241" s="587" t="str">
        <f ca="1">IF(ISERROR(MATCH("●",足元帳!AD184:AM184,0)),IF(足元帳!AM184="","",足元帳!$AM$1&amp;足元帳!AM184),INDIRECT("足元帳!R1C"&amp;MATCH("●",足元帳!AD184:AM184,0)+29,FALSE))</f>
        <v/>
      </c>
      <c r="AH241" s="565"/>
      <c r="AI241" s="565"/>
      <c r="AJ241" s="565"/>
      <c r="AK241" s="565" t="str">
        <f>IF(足元帳!AT184="","",足元帳!AT184)</f>
        <v/>
      </c>
      <c r="AL241" s="565"/>
      <c r="AM241" s="565"/>
      <c r="AN241" s="565"/>
      <c r="AO241" s="565"/>
      <c r="AP241" s="565"/>
      <c r="AQ241" s="588"/>
    </row>
    <row r="242" spans="1:43" ht="22.5" customHeight="1">
      <c r="A242" s="586">
        <f t="shared" si="10"/>
        <v>184</v>
      </c>
      <c r="B242" s="566"/>
      <c r="C242" s="73" t="str">
        <f>IF(足元帳!AY185=1,"N",IF(足元帳!AY185=2,"R",""))</f>
        <v/>
      </c>
      <c r="D242" s="74" t="str">
        <f>IF(足元帳!AZ185&gt;0,VLOOKUP(足元帳!AZ185,管理シート!$CF$32:$CG$34,2,FALSE),"")</f>
        <v/>
      </c>
      <c r="E242" s="572" t="str">
        <f>IF(足元帳!BB185&gt;0,VLOOKUP(足元帳!BB185,管理シート!#REF!,2,FALSE),"")</f>
        <v/>
      </c>
      <c r="F242" s="573"/>
      <c r="G242" s="574">
        <f>足元帳!J185</f>
        <v>0</v>
      </c>
      <c r="H242" s="575"/>
      <c r="I242" s="574">
        <f>足元帳!K185</f>
        <v>0</v>
      </c>
      <c r="J242" s="576"/>
      <c r="K242" s="575"/>
      <c r="L242" s="73" t="str">
        <f ca="1">IF(足元帳!AB185="●","無",IF(足元帳!AC185="●","半",IF(AG242="周年","半",IF(AG242="プレ6","半",IF(AG242="6割","半","")))))</f>
        <v/>
      </c>
      <c r="M242" s="115" t="str">
        <f>IF(足元帳!AM185="","","○")&amp;IF(足元帳!AL185="","","○")</f>
        <v/>
      </c>
      <c r="N242" s="115" t="str">
        <f>IF(足元帳!AN185="","","○")</f>
        <v/>
      </c>
      <c r="O242" s="587" t="str">
        <f>IF(足元帳!U185="","",足元帳!U185)</f>
        <v/>
      </c>
      <c r="P242" s="565"/>
      <c r="Q242" s="565"/>
      <c r="R242" s="565" t="str">
        <f>IF(足元帳!V185="","",足元帳!V185)</f>
        <v/>
      </c>
      <c r="S242" s="565"/>
      <c r="T242" s="565"/>
      <c r="U242" s="565" t="str">
        <f>IF(足元帳!W185="","",足元帳!W185)</f>
        <v/>
      </c>
      <c r="V242" s="565"/>
      <c r="W242" s="565"/>
      <c r="X242" s="565" t="str">
        <f>IF(足元帳!X185="","",足元帳!X185)</f>
        <v/>
      </c>
      <c r="Y242" s="565"/>
      <c r="Z242" s="565"/>
      <c r="AA242" s="565" t="str">
        <f>IF(足元帳!Y185="","",足元帳!Y185)</f>
        <v/>
      </c>
      <c r="AB242" s="565"/>
      <c r="AC242" s="565"/>
      <c r="AD242" s="565" t="str">
        <f>IF(足元帳!Z185="","",足元帳!Z185)</f>
        <v/>
      </c>
      <c r="AE242" s="565"/>
      <c r="AF242" s="566"/>
      <c r="AG242" s="587" t="str">
        <f ca="1">IF(ISERROR(MATCH("●",足元帳!AD185:AM185,0)),IF(足元帳!AM185="","",足元帳!$AM$1&amp;足元帳!AM185),INDIRECT("足元帳!R1C"&amp;MATCH("●",足元帳!AD185:AM185,0)+29,FALSE))</f>
        <v/>
      </c>
      <c r="AH242" s="565"/>
      <c r="AI242" s="565"/>
      <c r="AJ242" s="565"/>
      <c r="AK242" s="565" t="str">
        <f>IF(足元帳!AT185="","",足元帳!AT185)</f>
        <v/>
      </c>
      <c r="AL242" s="565"/>
      <c r="AM242" s="565"/>
      <c r="AN242" s="565"/>
      <c r="AO242" s="565"/>
      <c r="AP242" s="565"/>
      <c r="AQ242" s="588"/>
    </row>
    <row r="243" spans="1:43" ht="22.5" customHeight="1">
      <c r="A243" s="586">
        <f t="shared" si="10"/>
        <v>185</v>
      </c>
      <c r="B243" s="566"/>
      <c r="C243" s="73" t="str">
        <f>IF(足元帳!AY186=1,"N",IF(足元帳!AY186=2,"R",""))</f>
        <v/>
      </c>
      <c r="D243" s="74" t="str">
        <f>IF(足元帳!AZ186&gt;0,VLOOKUP(足元帳!AZ186,管理シート!$CF$32:$CG$34,2,FALSE),"")</f>
        <v/>
      </c>
      <c r="E243" s="572" t="str">
        <f>IF(足元帳!BB186&gt;0,VLOOKUP(足元帳!BB186,管理シート!#REF!,2,FALSE),"")</f>
        <v/>
      </c>
      <c r="F243" s="573"/>
      <c r="G243" s="574">
        <f>足元帳!J186</f>
        <v>0</v>
      </c>
      <c r="H243" s="575"/>
      <c r="I243" s="574">
        <f>足元帳!K186</f>
        <v>0</v>
      </c>
      <c r="J243" s="576"/>
      <c r="K243" s="575"/>
      <c r="L243" s="73" t="str">
        <f ca="1">IF(足元帳!AB186="●","無",IF(足元帳!AC186="●","半",IF(AG243="周年","半",IF(AG243="プレ6","半",IF(AG243="6割","半","")))))</f>
        <v/>
      </c>
      <c r="M243" s="115" t="str">
        <f>IF(足元帳!AM186="","","○")&amp;IF(足元帳!AL186="","","○")</f>
        <v/>
      </c>
      <c r="N243" s="115" t="str">
        <f>IF(足元帳!AN186="","","○")</f>
        <v/>
      </c>
      <c r="O243" s="587" t="str">
        <f>IF(足元帳!U186="","",足元帳!U186)</f>
        <v/>
      </c>
      <c r="P243" s="565"/>
      <c r="Q243" s="565"/>
      <c r="R243" s="565" t="str">
        <f>IF(足元帳!V186="","",足元帳!V186)</f>
        <v/>
      </c>
      <c r="S243" s="565"/>
      <c r="T243" s="565"/>
      <c r="U243" s="565" t="str">
        <f>IF(足元帳!W186="","",足元帳!W186)</f>
        <v/>
      </c>
      <c r="V243" s="565"/>
      <c r="W243" s="565"/>
      <c r="X243" s="565" t="str">
        <f>IF(足元帳!X186="","",足元帳!X186)</f>
        <v/>
      </c>
      <c r="Y243" s="565"/>
      <c r="Z243" s="565"/>
      <c r="AA243" s="565" t="str">
        <f>IF(足元帳!Y186="","",足元帳!Y186)</f>
        <v/>
      </c>
      <c r="AB243" s="565"/>
      <c r="AC243" s="565"/>
      <c r="AD243" s="565" t="str">
        <f>IF(足元帳!Z186="","",足元帳!Z186)</f>
        <v/>
      </c>
      <c r="AE243" s="565"/>
      <c r="AF243" s="566"/>
      <c r="AG243" s="587" t="str">
        <f ca="1">IF(ISERROR(MATCH("●",足元帳!AD186:AM186,0)),IF(足元帳!AM186="","",足元帳!$AM$1&amp;足元帳!AM186),INDIRECT("足元帳!R1C"&amp;MATCH("●",足元帳!AD186:AM186,0)+29,FALSE))</f>
        <v/>
      </c>
      <c r="AH243" s="565"/>
      <c r="AI243" s="565"/>
      <c r="AJ243" s="565"/>
      <c r="AK243" s="565" t="str">
        <f>IF(足元帳!AT186="","",足元帳!AT186)</f>
        <v/>
      </c>
      <c r="AL243" s="565"/>
      <c r="AM243" s="565"/>
      <c r="AN243" s="565"/>
      <c r="AO243" s="565"/>
      <c r="AP243" s="565"/>
      <c r="AQ243" s="588"/>
    </row>
    <row r="244" spans="1:43" ht="22.5" customHeight="1">
      <c r="A244" s="586">
        <f t="shared" si="10"/>
        <v>186</v>
      </c>
      <c r="B244" s="566"/>
      <c r="C244" s="73" t="str">
        <f>IF(足元帳!AY187=1,"N",IF(足元帳!AY187=2,"R",""))</f>
        <v/>
      </c>
      <c r="D244" s="74" t="str">
        <f>IF(足元帳!AZ187&gt;0,VLOOKUP(足元帳!AZ187,管理シート!$CF$32:$CG$34,2,FALSE),"")</f>
        <v/>
      </c>
      <c r="E244" s="572" t="str">
        <f>IF(足元帳!BB187&gt;0,VLOOKUP(足元帳!BB187,管理シート!#REF!,2,FALSE),"")</f>
        <v/>
      </c>
      <c r="F244" s="573"/>
      <c r="G244" s="574">
        <f>足元帳!J187</f>
        <v>0</v>
      </c>
      <c r="H244" s="575"/>
      <c r="I244" s="574">
        <f>足元帳!K187</f>
        <v>0</v>
      </c>
      <c r="J244" s="576"/>
      <c r="K244" s="575"/>
      <c r="L244" s="73" t="str">
        <f ca="1">IF(足元帳!AB187="●","無",IF(足元帳!AC187="●","半",IF(AG244="周年","半",IF(AG244="プレ6","半",IF(AG244="6割","半","")))))</f>
        <v/>
      </c>
      <c r="M244" s="115" t="str">
        <f>IF(足元帳!AM187="","","○")&amp;IF(足元帳!AL187="","","○")</f>
        <v/>
      </c>
      <c r="N244" s="115" t="str">
        <f>IF(足元帳!AN187="","","○")</f>
        <v/>
      </c>
      <c r="O244" s="587" t="str">
        <f>IF(足元帳!U187="","",足元帳!U187)</f>
        <v/>
      </c>
      <c r="P244" s="565"/>
      <c r="Q244" s="565"/>
      <c r="R244" s="565" t="str">
        <f>IF(足元帳!V187="","",足元帳!V187)</f>
        <v/>
      </c>
      <c r="S244" s="565"/>
      <c r="T244" s="565"/>
      <c r="U244" s="565" t="str">
        <f>IF(足元帳!W187="","",足元帳!W187)</f>
        <v/>
      </c>
      <c r="V244" s="565"/>
      <c r="W244" s="565"/>
      <c r="X244" s="565" t="str">
        <f>IF(足元帳!X187="","",足元帳!X187)</f>
        <v/>
      </c>
      <c r="Y244" s="565"/>
      <c r="Z244" s="565"/>
      <c r="AA244" s="565" t="str">
        <f>IF(足元帳!Y187="","",足元帳!Y187)</f>
        <v/>
      </c>
      <c r="AB244" s="565"/>
      <c r="AC244" s="565"/>
      <c r="AD244" s="565" t="str">
        <f>IF(足元帳!Z187="","",足元帳!Z187)</f>
        <v/>
      </c>
      <c r="AE244" s="565"/>
      <c r="AF244" s="566"/>
      <c r="AG244" s="587" t="str">
        <f ca="1">IF(ISERROR(MATCH("●",足元帳!AD187:AM187,0)),IF(足元帳!AM187="","",足元帳!$AM$1&amp;足元帳!AM187),INDIRECT("足元帳!R1C"&amp;MATCH("●",足元帳!AD187:AM187,0)+29,FALSE))</f>
        <v/>
      </c>
      <c r="AH244" s="565"/>
      <c r="AI244" s="565"/>
      <c r="AJ244" s="565"/>
      <c r="AK244" s="565" t="str">
        <f>IF(足元帳!AT187="","",足元帳!AT187)</f>
        <v/>
      </c>
      <c r="AL244" s="565"/>
      <c r="AM244" s="565"/>
      <c r="AN244" s="565"/>
      <c r="AO244" s="565"/>
      <c r="AP244" s="565"/>
      <c r="AQ244" s="588"/>
    </row>
    <row r="245" spans="1:43" ht="22.5" customHeight="1">
      <c r="A245" s="586">
        <f t="shared" si="10"/>
        <v>187</v>
      </c>
      <c r="B245" s="566"/>
      <c r="C245" s="73" t="str">
        <f>IF(足元帳!AY188=1,"N",IF(足元帳!AY188=2,"R",""))</f>
        <v/>
      </c>
      <c r="D245" s="74" t="str">
        <f>IF(足元帳!AZ188&gt;0,VLOOKUP(足元帳!AZ188,管理シート!$CF$32:$CG$34,2,FALSE),"")</f>
        <v/>
      </c>
      <c r="E245" s="572" t="str">
        <f>IF(足元帳!BB188&gt;0,VLOOKUP(足元帳!BB188,管理シート!#REF!,2,FALSE),"")</f>
        <v/>
      </c>
      <c r="F245" s="573"/>
      <c r="G245" s="574">
        <f>足元帳!J188</f>
        <v>0</v>
      </c>
      <c r="H245" s="575"/>
      <c r="I245" s="574">
        <f>足元帳!K188</f>
        <v>0</v>
      </c>
      <c r="J245" s="576"/>
      <c r="K245" s="575"/>
      <c r="L245" s="73" t="str">
        <f ca="1">IF(足元帳!AB188="●","無",IF(足元帳!AC188="●","半",IF(AG245="周年","半",IF(AG245="プレ6","半",IF(AG245="6割","半","")))))</f>
        <v/>
      </c>
      <c r="M245" s="115" t="str">
        <f>IF(足元帳!AM188="","","○")&amp;IF(足元帳!AL188="","","○")</f>
        <v/>
      </c>
      <c r="N245" s="115" t="str">
        <f>IF(足元帳!AN188="","","○")</f>
        <v/>
      </c>
      <c r="O245" s="587" t="str">
        <f>IF(足元帳!U188="","",足元帳!U188)</f>
        <v/>
      </c>
      <c r="P245" s="565"/>
      <c r="Q245" s="565"/>
      <c r="R245" s="565" t="str">
        <f>IF(足元帳!V188="","",足元帳!V188)</f>
        <v/>
      </c>
      <c r="S245" s="565"/>
      <c r="T245" s="565"/>
      <c r="U245" s="565" t="str">
        <f>IF(足元帳!W188="","",足元帳!W188)</f>
        <v/>
      </c>
      <c r="V245" s="565"/>
      <c r="W245" s="565"/>
      <c r="X245" s="565" t="str">
        <f>IF(足元帳!X188="","",足元帳!X188)</f>
        <v/>
      </c>
      <c r="Y245" s="565"/>
      <c r="Z245" s="565"/>
      <c r="AA245" s="565" t="str">
        <f>IF(足元帳!Y188="","",足元帳!Y188)</f>
        <v/>
      </c>
      <c r="AB245" s="565"/>
      <c r="AC245" s="565"/>
      <c r="AD245" s="565" t="str">
        <f>IF(足元帳!Z188="","",足元帳!Z188)</f>
        <v/>
      </c>
      <c r="AE245" s="565"/>
      <c r="AF245" s="566"/>
      <c r="AG245" s="587" t="str">
        <f ca="1">IF(ISERROR(MATCH("●",足元帳!AD188:AM188,0)),IF(足元帳!AM188="","",足元帳!$AM$1&amp;足元帳!AM188),INDIRECT("足元帳!R1C"&amp;MATCH("●",足元帳!AD188:AM188,0)+29,FALSE))</f>
        <v/>
      </c>
      <c r="AH245" s="565"/>
      <c r="AI245" s="565"/>
      <c r="AJ245" s="565"/>
      <c r="AK245" s="565" t="str">
        <f>IF(足元帳!AT188="","",足元帳!AT188)</f>
        <v/>
      </c>
      <c r="AL245" s="565"/>
      <c r="AM245" s="565"/>
      <c r="AN245" s="565"/>
      <c r="AO245" s="565"/>
      <c r="AP245" s="565"/>
      <c r="AQ245" s="588"/>
    </row>
    <row r="246" spans="1:43" ht="22.5" customHeight="1">
      <c r="A246" s="586">
        <f t="shared" si="10"/>
        <v>188</v>
      </c>
      <c r="B246" s="566"/>
      <c r="C246" s="73" t="str">
        <f>IF(足元帳!AY189=1,"N",IF(足元帳!AY189=2,"R",""))</f>
        <v/>
      </c>
      <c r="D246" s="74" t="str">
        <f>IF(足元帳!AZ189&gt;0,VLOOKUP(足元帳!AZ189,管理シート!$CF$32:$CG$34,2,FALSE),"")</f>
        <v/>
      </c>
      <c r="E246" s="572" t="str">
        <f>IF(足元帳!BB189&gt;0,VLOOKUP(足元帳!BB189,管理シート!#REF!,2,FALSE),"")</f>
        <v/>
      </c>
      <c r="F246" s="573"/>
      <c r="G246" s="574">
        <f>足元帳!J189</f>
        <v>0</v>
      </c>
      <c r="H246" s="575"/>
      <c r="I246" s="574">
        <f>足元帳!K189</f>
        <v>0</v>
      </c>
      <c r="J246" s="576"/>
      <c r="K246" s="575"/>
      <c r="L246" s="73" t="str">
        <f ca="1">IF(足元帳!AB189="●","無",IF(足元帳!AC189="●","半",IF(AG246="周年","半",IF(AG246="プレ6","半",IF(AG246="6割","半","")))))</f>
        <v/>
      </c>
      <c r="M246" s="115" t="str">
        <f>IF(足元帳!AM189="","","○")&amp;IF(足元帳!AL189="","","○")</f>
        <v/>
      </c>
      <c r="N246" s="115" t="str">
        <f>IF(足元帳!AN189="","","○")</f>
        <v/>
      </c>
      <c r="O246" s="587" t="str">
        <f>IF(足元帳!U189="","",足元帳!U189)</f>
        <v/>
      </c>
      <c r="P246" s="565"/>
      <c r="Q246" s="565"/>
      <c r="R246" s="565" t="str">
        <f>IF(足元帳!V189="","",足元帳!V189)</f>
        <v/>
      </c>
      <c r="S246" s="565"/>
      <c r="T246" s="565"/>
      <c r="U246" s="565" t="str">
        <f>IF(足元帳!W189="","",足元帳!W189)</f>
        <v/>
      </c>
      <c r="V246" s="565"/>
      <c r="W246" s="565"/>
      <c r="X246" s="565" t="str">
        <f>IF(足元帳!X189="","",足元帳!X189)</f>
        <v/>
      </c>
      <c r="Y246" s="565"/>
      <c r="Z246" s="565"/>
      <c r="AA246" s="565" t="str">
        <f>IF(足元帳!Y189="","",足元帳!Y189)</f>
        <v/>
      </c>
      <c r="AB246" s="565"/>
      <c r="AC246" s="565"/>
      <c r="AD246" s="565" t="str">
        <f>IF(足元帳!Z189="","",足元帳!Z189)</f>
        <v/>
      </c>
      <c r="AE246" s="565"/>
      <c r="AF246" s="566"/>
      <c r="AG246" s="587" t="str">
        <f ca="1">IF(ISERROR(MATCH("●",足元帳!AD189:AM189,0)),IF(足元帳!AM189="","",足元帳!$AM$1&amp;足元帳!AM189),INDIRECT("足元帳!R1C"&amp;MATCH("●",足元帳!AD189:AM189,0)+29,FALSE))</f>
        <v/>
      </c>
      <c r="AH246" s="565"/>
      <c r="AI246" s="565"/>
      <c r="AJ246" s="565"/>
      <c r="AK246" s="565" t="str">
        <f>IF(足元帳!AT189="","",足元帳!AT189)</f>
        <v/>
      </c>
      <c r="AL246" s="565"/>
      <c r="AM246" s="565"/>
      <c r="AN246" s="565"/>
      <c r="AO246" s="565"/>
      <c r="AP246" s="565"/>
      <c r="AQ246" s="588"/>
    </row>
    <row r="247" spans="1:43" ht="22.5" customHeight="1">
      <c r="A247" s="586">
        <f t="shared" si="10"/>
        <v>189</v>
      </c>
      <c r="B247" s="566"/>
      <c r="C247" s="73" t="str">
        <f>IF(足元帳!AY190=1,"N",IF(足元帳!AY190=2,"R",""))</f>
        <v/>
      </c>
      <c r="D247" s="74" t="str">
        <f>IF(足元帳!AZ190&gt;0,VLOOKUP(足元帳!AZ190,管理シート!$CF$32:$CG$34,2,FALSE),"")</f>
        <v/>
      </c>
      <c r="E247" s="572" t="str">
        <f>IF(足元帳!BB190&gt;0,VLOOKUP(足元帳!BB190,管理シート!#REF!,2,FALSE),"")</f>
        <v/>
      </c>
      <c r="F247" s="573"/>
      <c r="G247" s="574">
        <f>足元帳!J190</f>
        <v>0</v>
      </c>
      <c r="H247" s="575"/>
      <c r="I247" s="574">
        <f>足元帳!K190</f>
        <v>0</v>
      </c>
      <c r="J247" s="576"/>
      <c r="K247" s="575"/>
      <c r="L247" s="73" t="str">
        <f ca="1">IF(足元帳!AB190="●","無",IF(足元帳!AC190="●","半",IF(AG247="周年","半",IF(AG247="プレ6","半",IF(AG247="6割","半","")))))</f>
        <v/>
      </c>
      <c r="M247" s="115" t="str">
        <f>IF(足元帳!AM190="","","○")&amp;IF(足元帳!AL190="","","○")</f>
        <v/>
      </c>
      <c r="N247" s="115" t="str">
        <f>IF(足元帳!AN190="","","○")</f>
        <v/>
      </c>
      <c r="O247" s="587" t="str">
        <f>IF(足元帳!U190="","",足元帳!U190)</f>
        <v/>
      </c>
      <c r="P247" s="565"/>
      <c r="Q247" s="565"/>
      <c r="R247" s="565" t="str">
        <f>IF(足元帳!V190="","",足元帳!V190)</f>
        <v/>
      </c>
      <c r="S247" s="565"/>
      <c r="T247" s="565"/>
      <c r="U247" s="565" t="str">
        <f>IF(足元帳!W190="","",足元帳!W190)</f>
        <v/>
      </c>
      <c r="V247" s="565"/>
      <c r="W247" s="565"/>
      <c r="X247" s="565" t="str">
        <f>IF(足元帳!X190="","",足元帳!X190)</f>
        <v/>
      </c>
      <c r="Y247" s="565"/>
      <c r="Z247" s="565"/>
      <c r="AA247" s="565" t="str">
        <f>IF(足元帳!Y190="","",足元帳!Y190)</f>
        <v/>
      </c>
      <c r="AB247" s="565"/>
      <c r="AC247" s="565"/>
      <c r="AD247" s="565" t="str">
        <f>IF(足元帳!Z190="","",足元帳!Z190)</f>
        <v/>
      </c>
      <c r="AE247" s="565"/>
      <c r="AF247" s="566"/>
      <c r="AG247" s="587" t="str">
        <f ca="1">IF(ISERROR(MATCH("●",足元帳!AD190:AM190,0)),IF(足元帳!AM190="","",足元帳!$AM$1&amp;足元帳!AM190),INDIRECT("足元帳!R1C"&amp;MATCH("●",足元帳!AD190:AM190,0)+29,FALSE))</f>
        <v/>
      </c>
      <c r="AH247" s="565"/>
      <c r="AI247" s="565"/>
      <c r="AJ247" s="565"/>
      <c r="AK247" s="565" t="str">
        <f>IF(足元帳!AT190="","",足元帳!AT190)</f>
        <v/>
      </c>
      <c r="AL247" s="565"/>
      <c r="AM247" s="565"/>
      <c r="AN247" s="565"/>
      <c r="AO247" s="565"/>
      <c r="AP247" s="565"/>
      <c r="AQ247" s="588"/>
    </row>
    <row r="248" spans="1:43" ht="22.5" customHeight="1">
      <c r="A248" s="586">
        <f t="shared" si="10"/>
        <v>190</v>
      </c>
      <c r="B248" s="566"/>
      <c r="C248" s="73" t="str">
        <f>IF(足元帳!AY191=1,"N",IF(足元帳!AY191=2,"R",""))</f>
        <v/>
      </c>
      <c r="D248" s="74" t="str">
        <f>IF(足元帳!AZ191&gt;0,VLOOKUP(足元帳!AZ191,管理シート!$CF$32:$CG$34,2,FALSE),"")</f>
        <v/>
      </c>
      <c r="E248" s="572" t="str">
        <f>IF(足元帳!BB191&gt;0,VLOOKUP(足元帳!BB191,管理シート!#REF!,2,FALSE),"")</f>
        <v/>
      </c>
      <c r="F248" s="573"/>
      <c r="G248" s="574">
        <f>足元帳!J191</f>
        <v>0</v>
      </c>
      <c r="H248" s="575"/>
      <c r="I248" s="574">
        <f>足元帳!K191</f>
        <v>0</v>
      </c>
      <c r="J248" s="576"/>
      <c r="K248" s="575"/>
      <c r="L248" s="73" t="str">
        <f ca="1">IF(足元帳!AB191="●","無",IF(足元帳!AC191="●","半",IF(AG248="周年","半",IF(AG248="プレ6","半",IF(AG248="6割","半","")))))</f>
        <v/>
      </c>
      <c r="M248" s="115" t="str">
        <f>IF(足元帳!AM191="","","○")&amp;IF(足元帳!AL191="","","○")</f>
        <v/>
      </c>
      <c r="N248" s="115" t="str">
        <f>IF(足元帳!AN191="","","○")</f>
        <v/>
      </c>
      <c r="O248" s="587" t="str">
        <f>IF(足元帳!U191="","",足元帳!U191)</f>
        <v/>
      </c>
      <c r="P248" s="565"/>
      <c r="Q248" s="565"/>
      <c r="R248" s="565" t="str">
        <f>IF(足元帳!V191="","",足元帳!V191)</f>
        <v/>
      </c>
      <c r="S248" s="565"/>
      <c r="T248" s="565"/>
      <c r="U248" s="565" t="str">
        <f>IF(足元帳!W191="","",足元帳!W191)</f>
        <v/>
      </c>
      <c r="V248" s="565"/>
      <c r="W248" s="565"/>
      <c r="X248" s="565" t="str">
        <f>IF(足元帳!X191="","",足元帳!X191)</f>
        <v/>
      </c>
      <c r="Y248" s="565"/>
      <c r="Z248" s="565"/>
      <c r="AA248" s="565" t="str">
        <f>IF(足元帳!Y191="","",足元帳!Y191)</f>
        <v/>
      </c>
      <c r="AB248" s="565"/>
      <c r="AC248" s="565"/>
      <c r="AD248" s="565" t="str">
        <f>IF(足元帳!Z191="","",足元帳!Z191)</f>
        <v/>
      </c>
      <c r="AE248" s="565"/>
      <c r="AF248" s="566"/>
      <c r="AG248" s="587" t="str">
        <f ca="1">IF(ISERROR(MATCH("●",足元帳!AD191:AM191,0)),IF(足元帳!AM191="","",足元帳!$AM$1&amp;足元帳!AM191),INDIRECT("足元帳!R1C"&amp;MATCH("●",足元帳!AD191:AM191,0)+29,FALSE))</f>
        <v/>
      </c>
      <c r="AH248" s="565"/>
      <c r="AI248" s="565"/>
      <c r="AJ248" s="565"/>
      <c r="AK248" s="565" t="str">
        <f>IF(足元帳!AT191="","",足元帳!AT191)</f>
        <v/>
      </c>
      <c r="AL248" s="565"/>
      <c r="AM248" s="565"/>
      <c r="AN248" s="565"/>
      <c r="AO248" s="565"/>
      <c r="AP248" s="565"/>
      <c r="AQ248" s="588"/>
    </row>
    <row r="249" spans="1:43" ht="22.5" customHeight="1">
      <c r="A249" s="586">
        <f t="shared" si="10"/>
        <v>191</v>
      </c>
      <c r="B249" s="566"/>
      <c r="C249" s="73" t="str">
        <f>IF(足元帳!AY192=1,"N",IF(足元帳!AY192=2,"R",""))</f>
        <v/>
      </c>
      <c r="D249" s="74" t="str">
        <f>IF(足元帳!AZ192&gt;0,VLOOKUP(足元帳!AZ192,管理シート!$CF$32:$CG$34,2,FALSE),"")</f>
        <v/>
      </c>
      <c r="E249" s="572" t="str">
        <f>IF(足元帳!BB192&gt;0,VLOOKUP(足元帳!BB192,管理シート!#REF!,2,FALSE),"")</f>
        <v/>
      </c>
      <c r="F249" s="573"/>
      <c r="G249" s="574">
        <f>足元帳!J192</f>
        <v>0</v>
      </c>
      <c r="H249" s="575"/>
      <c r="I249" s="574">
        <f>足元帳!K192</f>
        <v>0</v>
      </c>
      <c r="J249" s="576"/>
      <c r="K249" s="575"/>
      <c r="L249" s="73" t="str">
        <f ca="1">IF(足元帳!AB192="●","無",IF(足元帳!AC192="●","半",IF(AG249="周年","半",IF(AG249="プレ6","半",IF(AG249="6割","半","")))))</f>
        <v/>
      </c>
      <c r="M249" s="115" t="str">
        <f>IF(足元帳!AM192="","","○")&amp;IF(足元帳!AL192="","","○")</f>
        <v/>
      </c>
      <c r="N249" s="115" t="str">
        <f>IF(足元帳!AN192="","","○")</f>
        <v/>
      </c>
      <c r="O249" s="587" t="str">
        <f>IF(足元帳!U192="","",足元帳!U192)</f>
        <v/>
      </c>
      <c r="P249" s="565"/>
      <c r="Q249" s="565"/>
      <c r="R249" s="565" t="str">
        <f>IF(足元帳!V192="","",足元帳!V192)</f>
        <v/>
      </c>
      <c r="S249" s="565"/>
      <c r="T249" s="565"/>
      <c r="U249" s="565" t="str">
        <f>IF(足元帳!W192="","",足元帳!W192)</f>
        <v/>
      </c>
      <c r="V249" s="565"/>
      <c r="W249" s="565"/>
      <c r="X249" s="565" t="str">
        <f>IF(足元帳!X192="","",足元帳!X192)</f>
        <v/>
      </c>
      <c r="Y249" s="565"/>
      <c r="Z249" s="565"/>
      <c r="AA249" s="565" t="str">
        <f>IF(足元帳!Y192="","",足元帳!Y192)</f>
        <v/>
      </c>
      <c r="AB249" s="565"/>
      <c r="AC249" s="565"/>
      <c r="AD249" s="565" t="str">
        <f>IF(足元帳!Z192="","",足元帳!Z192)</f>
        <v/>
      </c>
      <c r="AE249" s="565"/>
      <c r="AF249" s="566"/>
      <c r="AG249" s="587" t="str">
        <f ca="1">IF(ISERROR(MATCH("●",足元帳!AD192:AM192,0)),IF(足元帳!AM192="","",足元帳!$AM$1&amp;足元帳!AM192),INDIRECT("足元帳!R1C"&amp;MATCH("●",足元帳!AD192:AM192,0)+29,FALSE))</f>
        <v/>
      </c>
      <c r="AH249" s="565"/>
      <c r="AI249" s="565"/>
      <c r="AJ249" s="565"/>
      <c r="AK249" s="565" t="str">
        <f>IF(足元帳!AT192="","",足元帳!AT192)</f>
        <v/>
      </c>
      <c r="AL249" s="565"/>
      <c r="AM249" s="565"/>
      <c r="AN249" s="565"/>
      <c r="AO249" s="565"/>
      <c r="AP249" s="565"/>
      <c r="AQ249" s="588"/>
    </row>
    <row r="250" spans="1:43" ht="22.5" customHeight="1">
      <c r="A250" s="586">
        <f t="shared" si="10"/>
        <v>192</v>
      </c>
      <c r="B250" s="566"/>
      <c r="C250" s="73" t="str">
        <f>IF(足元帳!AY193=1,"N",IF(足元帳!AY193=2,"R",""))</f>
        <v/>
      </c>
      <c r="D250" s="74" t="str">
        <f>IF(足元帳!AZ193&gt;0,VLOOKUP(足元帳!AZ193,管理シート!$CF$32:$CG$34,2,FALSE),"")</f>
        <v/>
      </c>
      <c r="E250" s="572" t="str">
        <f>IF(足元帳!BB193&gt;0,VLOOKUP(足元帳!BB193,管理シート!#REF!,2,FALSE),"")</f>
        <v/>
      </c>
      <c r="F250" s="573"/>
      <c r="G250" s="574">
        <f>足元帳!J193</f>
        <v>0</v>
      </c>
      <c r="H250" s="575"/>
      <c r="I250" s="574">
        <f>足元帳!K193</f>
        <v>0</v>
      </c>
      <c r="J250" s="576"/>
      <c r="K250" s="575"/>
      <c r="L250" s="73" t="str">
        <f ca="1">IF(足元帳!AB193="●","無",IF(足元帳!AC193="●","半",IF(AG250="周年","半",IF(AG250="プレ6","半",IF(AG250="6割","半","")))))</f>
        <v/>
      </c>
      <c r="M250" s="115" t="str">
        <f>IF(足元帳!AM193="","","○")&amp;IF(足元帳!AL193="","","○")</f>
        <v/>
      </c>
      <c r="N250" s="115" t="str">
        <f>IF(足元帳!AN193="","","○")</f>
        <v/>
      </c>
      <c r="O250" s="587" t="str">
        <f>IF(足元帳!U193="","",足元帳!U193)</f>
        <v/>
      </c>
      <c r="P250" s="565"/>
      <c r="Q250" s="565"/>
      <c r="R250" s="565" t="str">
        <f>IF(足元帳!V193="","",足元帳!V193)</f>
        <v/>
      </c>
      <c r="S250" s="565"/>
      <c r="T250" s="565"/>
      <c r="U250" s="565" t="str">
        <f>IF(足元帳!W193="","",足元帳!W193)</f>
        <v/>
      </c>
      <c r="V250" s="565"/>
      <c r="W250" s="565"/>
      <c r="X250" s="565" t="str">
        <f>IF(足元帳!X193="","",足元帳!X193)</f>
        <v/>
      </c>
      <c r="Y250" s="565"/>
      <c r="Z250" s="565"/>
      <c r="AA250" s="565" t="str">
        <f>IF(足元帳!Y193="","",足元帳!Y193)</f>
        <v/>
      </c>
      <c r="AB250" s="565"/>
      <c r="AC250" s="565"/>
      <c r="AD250" s="565" t="str">
        <f>IF(足元帳!Z193="","",足元帳!Z193)</f>
        <v/>
      </c>
      <c r="AE250" s="565"/>
      <c r="AF250" s="566"/>
      <c r="AG250" s="587" t="str">
        <f ca="1">IF(ISERROR(MATCH("●",足元帳!AD193:AM193,0)),IF(足元帳!AM193="","",足元帳!$AM$1&amp;足元帳!AM193),INDIRECT("足元帳!R1C"&amp;MATCH("●",足元帳!AD193:AM193,0)+29,FALSE))</f>
        <v/>
      </c>
      <c r="AH250" s="565"/>
      <c r="AI250" s="565"/>
      <c r="AJ250" s="565"/>
      <c r="AK250" s="565" t="str">
        <f>IF(足元帳!AT193="","",足元帳!AT193)</f>
        <v/>
      </c>
      <c r="AL250" s="565"/>
      <c r="AM250" s="565"/>
      <c r="AN250" s="565"/>
      <c r="AO250" s="565"/>
      <c r="AP250" s="565"/>
      <c r="AQ250" s="588"/>
    </row>
    <row r="251" spans="1:43" ht="22.5" customHeight="1">
      <c r="A251" s="586">
        <f t="shared" si="10"/>
        <v>193</v>
      </c>
      <c r="B251" s="566"/>
      <c r="C251" s="73" t="str">
        <f>IF(足元帳!AY194=1,"N",IF(足元帳!AY194=2,"R",""))</f>
        <v/>
      </c>
      <c r="D251" s="74" t="str">
        <f>IF(足元帳!AZ194&gt;0,VLOOKUP(足元帳!AZ194,管理シート!$CF$32:$CG$34,2,FALSE),"")</f>
        <v/>
      </c>
      <c r="E251" s="572" t="str">
        <f>IF(足元帳!BB194&gt;0,VLOOKUP(足元帳!BB194,管理シート!#REF!,2,FALSE),"")</f>
        <v/>
      </c>
      <c r="F251" s="573"/>
      <c r="G251" s="574">
        <f>足元帳!J194</f>
        <v>0</v>
      </c>
      <c r="H251" s="575"/>
      <c r="I251" s="574">
        <f>足元帳!K194</f>
        <v>0</v>
      </c>
      <c r="J251" s="576"/>
      <c r="K251" s="575"/>
      <c r="L251" s="73" t="str">
        <f ca="1">IF(足元帳!AB194="●","無",IF(足元帳!AC194="●","半",IF(AG251="周年","半",IF(AG251="プレ6","半",IF(AG251="6割","半","")))))</f>
        <v/>
      </c>
      <c r="M251" s="115" t="str">
        <f>IF(足元帳!AM194="","","○")&amp;IF(足元帳!AL194="","","○")</f>
        <v/>
      </c>
      <c r="N251" s="115" t="str">
        <f>IF(足元帳!AN194="","","○")</f>
        <v/>
      </c>
      <c r="O251" s="587" t="str">
        <f>IF(足元帳!U194="","",足元帳!U194)</f>
        <v/>
      </c>
      <c r="P251" s="565"/>
      <c r="Q251" s="565"/>
      <c r="R251" s="565" t="str">
        <f>IF(足元帳!V194="","",足元帳!V194)</f>
        <v/>
      </c>
      <c r="S251" s="565"/>
      <c r="T251" s="565"/>
      <c r="U251" s="565" t="str">
        <f>IF(足元帳!W194="","",足元帳!W194)</f>
        <v/>
      </c>
      <c r="V251" s="565"/>
      <c r="W251" s="565"/>
      <c r="X251" s="565" t="str">
        <f>IF(足元帳!X194="","",足元帳!X194)</f>
        <v/>
      </c>
      <c r="Y251" s="565"/>
      <c r="Z251" s="565"/>
      <c r="AA251" s="565" t="str">
        <f>IF(足元帳!Y194="","",足元帳!Y194)</f>
        <v/>
      </c>
      <c r="AB251" s="565"/>
      <c r="AC251" s="565"/>
      <c r="AD251" s="565" t="str">
        <f>IF(足元帳!Z194="","",足元帳!Z194)</f>
        <v/>
      </c>
      <c r="AE251" s="565"/>
      <c r="AF251" s="566"/>
      <c r="AG251" s="587" t="str">
        <f ca="1">IF(ISERROR(MATCH("●",足元帳!AD194:AM194,0)),IF(足元帳!AM194="","",足元帳!$AM$1&amp;足元帳!AM194),INDIRECT("足元帳!R1C"&amp;MATCH("●",足元帳!AD194:AM194,0)+29,FALSE))</f>
        <v/>
      </c>
      <c r="AH251" s="565"/>
      <c r="AI251" s="565"/>
      <c r="AJ251" s="565"/>
      <c r="AK251" s="565" t="str">
        <f>IF(足元帳!AT194="","",足元帳!AT194)</f>
        <v/>
      </c>
      <c r="AL251" s="565"/>
      <c r="AM251" s="565"/>
      <c r="AN251" s="565"/>
      <c r="AO251" s="565"/>
      <c r="AP251" s="565"/>
      <c r="AQ251" s="588"/>
    </row>
    <row r="252" spans="1:43" ht="22.5" customHeight="1">
      <c r="A252" s="586">
        <f t="shared" si="10"/>
        <v>194</v>
      </c>
      <c r="B252" s="566"/>
      <c r="C252" s="73" t="str">
        <f>IF(足元帳!AY195=1,"N",IF(足元帳!AY195=2,"R",""))</f>
        <v/>
      </c>
      <c r="D252" s="74" t="str">
        <f>IF(足元帳!AZ195&gt;0,VLOOKUP(足元帳!AZ195,管理シート!$CF$32:$CG$34,2,FALSE),"")</f>
        <v/>
      </c>
      <c r="E252" s="572" t="str">
        <f>IF(足元帳!BB195&gt;0,VLOOKUP(足元帳!BB195,管理シート!#REF!,2,FALSE),"")</f>
        <v/>
      </c>
      <c r="F252" s="573"/>
      <c r="G252" s="574">
        <f>足元帳!J195</f>
        <v>0</v>
      </c>
      <c r="H252" s="575"/>
      <c r="I252" s="574">
        <f>足元帳!K195</f>
        <v>0</v>
      </c>
      <c r="J252" s="576"/>
      <c r="K252" s="575"/>
      <c r="L252" s="73" t="str">
        <f ca="1">IF(足元帳!AB195="●","無",IF(足元帳!AC195="●","半",IF(AG252="周年","半",IF(AG252="プレ6","半",IF(AG252="6割","半","")))))</f>
        <v/>
      </c>
      <c r="M252" s="115" t="str">
        <f>IF(足元帳!AM195="","","○")&amp;IF(足元帳!AL195="","","○")</f>
        <v/>
      </c>
      <c r="N252" s="115" t="str">
        <f>IF(足元帳!AN195="","","○")</f>
        <v/>
      </c>
      <c r="O252" s="587" t="str">
        <f>IF(足元帳!U195="","",足元帳!U195)</f>
        <v/>
      </c>
      <c r="P252" s="565"/>
      <c r="Q252" s="565"/>
      <c r="R252" s="565" t="str">
        <f>IF(足元帳!V195="","",足元帳!V195)</f>
        <v/>
      </c>
      <c r="S252" s="565"/>
      <c r="T252" s="565"/>
      <c r="U252" s="565" t="str">
        <f>IF(足元帳!W195="","",足元帳!W195)</f>
        <v/>
      </c>
      <c r="V252" s="565"/>
      <c r="W252" s="565"/>
      <c r="X252" s="565" t="str">
        <f>IF(足元帳!X195="","",足元帳!X195)</f>
        <v/>
      </c>
      <c r="Y252" s="565"/>
      <c r="Z252" s="565"/>
      <c r="AA252" s="565" t="str">
        <f>IF(足元帳!Y195="","",足元帳!Y195)</f>
        <v/>
      </c>
      <c r="AB252" s="565"/>
      <c r="AC252" s="565"/>
      <c r="AD252" s="565" t="str">
        <f>IF(足元帳!Z195="","",足元帳!Z195)</f>
        <v/>
      </c>
      <c r="AE252" s="565"/>
      <c r="AF252" s="566"/>
      <c r="AG252" s="587" t="str">
        <f ca="1">IF(ISERROR(MATCH("●",足元帳!AD195:AM195,0)),IF(足元帳!AM195="","",足元帳!$AM$1&amp;足元帳!AM195),INDIRECT("足元帳!R1C"&amp;MATCH("●",足元帳!AD195:AM195,0)+29,FALSE))</f>
        <v/>
      </c>
      <c r="AH252" s="565"/>
      <c r="AI252" s="565"/>
      <c r="AJ252" s="565"/>
      <c r="AK252" s="565" t="str">
        <f>IF(足元帳!AT195="","",足元帳!AT195)</f>
        <v/>
      </c>
      <c r="AL252" s="565"/>
      <c r="AM252" s="565"/>
      <c r="AN252" s="565"/>
      <c r="AO252" s="565"/>
      <c r="AP252" s="565"/>
      <c r="AQ252" s="588"/>
    </row>
    <row r="253" spans="1:43" ht="22.5" customHeight="1">
      <c r="A253" s="586">
        <f t="shared" si="10"/>
        <v>195</v>
      </c>
      <c r="B253" s="566"/>
      <c r="C253" s="73" t="str">
        <f>IF(足元帳!AY196=1,"N",IF(足元帳!AY196=2,"R",""))</f>
        <v/>
      </c>
      <c r="D253" s="74" t="str">
        <f>IF(足元帳!AZ196&gt;0,VLOOKUP(足元帳!AZ196,管理シート!$CF$32:$CG$34,2,FALSE),"")</f>
        <v/>
      </c>
      <c r="E253" s="572" t="str">
        <f>IF(足元帳!BB196&gt;0,VLOOKUP(足元帳!BB196,管理シート!#REF!,2,FALSE),"")</f>
        <v/>
      </c>
      <c r="F253" s="573"/>
      <c r="G253" s="574">
        <f>足元帳!J196</f>
        <v>0</v>
      </c>
      <c r="H253" s="575"/>
      <c r="I253" s="574">
        <f>足元帳!K196</f>
        <v>0</v>
      </c>
      <c r="J253" s="576"/>
      <c r="K253" s="575"/>
      <c r="L253" s="73" t="str">
        <f ca="1">IF(足元帳!AB196="●","無",IF(足元帳!AC196="●","半",IF(AG253="周年","半",IF(AG253="プレ6","半",IF(AG253="6割","半","")))))</f>
        <v/>
      </c>
      <c r="M253" s="115" t="str">
        <f>IF(足元帳!AM196="","","○")&amp;IF(足元帳!AL196="","","○")</f>
        <v/>
      </c>
      <c r="N253" s="115" t="str">
        <f>IF(足元帳!AN196="","","○")</f>
        <v/>
      </c>
      <c r="O253" s="587" t="str">
        <f>IF(足元帳!U196="","",足元帳!U196)</f>
        <v/>
      </c>
      <c r="P253" s="565"/>
      <c r="Q253" s="565"/>
      <c r="R253" s="565" t="str">
        <f>IF(足元帳!V196="","",足元帳!V196)</f>
        <v/>
      </c>
      <c r="S253" s="565"/>
      <c r="T253" s="565"/>
      <c r="U253" s="565" t="str">
        <f>IF(足元帳!W196="","",足元帳!W196)</f>
        <v/>
      </c>
      <c r="V253" s="565"/>
      <c r="W253" s="565"/>
      <c r="X253" s="565" t="str">
        <f>IF(足元帳!X196="","",足元帳!X196)</f>
        <v/>
      </c>
      <c r="Y253" s="565"/>
      <c r="Z253" s="565"/>
      <c r="AA253" s="565" t="str">
        <f>IF(足元帳!Y196="","",足元帳!Y196)</f>
        <v/>
      </c>
      <c r="AB253" s="565"/>
      <c r="AC253" s="565"/>
      <c r="AD253" s="565" t="str">
        <f>IF(足元帳!Z196="","",足元帳!Z196)</f>
        <v/>
      </c>
      <c r="AE253" s="565"/>
      <c r="AF253" s="566"/>
      <c r="AG253" s="587" t="str">
        <f ca="1">IF(ISERROR(MATCH("●",足元帳!AD196:AM196,0)),IF(足元帳!AM196="","",足元帳!$AM$1&amp;足元帳!AM196),INDIRECT("足元帳!R1C"&amp;MATCH("●",足元帳!AD196:AM196,0)+29,FALSE))</f>
        <v/>
      </c>
      <c r="AH253" s="565"/>
      <c r="AI253" s="565"/>
      <c r="AJ253" s="565"/>
      <c r="AK253" s="565" t="str">
        <f>IF(足元帳!AT196="","",足元帳!AT196)</f>
        <v/>
      </c>
      <c r="AL253" s="565"/>
      <c r="AM253" s="565"/>
      <c r="AN253" s="565"/>
      <c r="AO253" s="565"/>
      <c r="AP253" s="565"/>
      <c r="AQ253" s="588"/>
    </row>
    <row r="254" spans="1:43" ht="22.5" customHeight="1">
      <c r="A254" s="586">
        <f t="shared" si="10"/>
        <v>196</v>
      </c>
      <c r="B254" s="566"/>
      <c r="C254" s="73" t="str">
        <f>IF(足元帳!AY197=1,"N",IF(足元帳!AY197=2,"R",""))</f>
        <v/>
      </c>
      <c r="D254" s="74" t="str">
        <f>IF(足元帳!AZ197&gt;0,VLOOKUP(足元帳!AZ197,管理シート!$CF$32:$CG$34,2,FALSE),"")</f>
        <v/>
      </c>
      <c r="E254" s="572" t="str">
        <f>IF(足元帳!BB197&gt;0,VLOOKUP(足元帳!BB197,管理シート!#REF!,2,FALSE),"")</f>
        <v/>
      </c>
      <c r="F254" s="573"/>
      <c r="G254" s="574">
        <f>足元帳!J197</f>
        <v>0</v>
      </c>
      <c r="H254" s="575"/>
      <c r="I254" s="574">
        <f>足元帳!K197</f>
        <v>0</v>
      </c>
      <c r="J254" s="576"/>
      <c r="K254" s="575"/>
      <c r="L254" s="73" t="str">
        <f ca="1">IF(足元帳!AB197="●","無",IF(足元帳!AC197="●","半",IF(AG254="周年","半",IF(AG254="プレ6","半",IF(AG254="6割","半","")))))</f>
        <v/>
      </c>
      <c r="M254" s="115" t="str">
        <f>IF(足元帳!AM197="","","○")&amp;IF(足元帳!AL197="","","○")</f>
        <v/>
      </c>
      <c r="N254" s="115" t="str">
        <f>IF(足元帳!AN197="","","○")</f>
        <v/>
      </c>
      <c r="O254" s="587" t="str">
        <f>IF(足元帳!U197="","",足元帳!U197)</f>
        <v/>
      </c>
      <c r="P254" s="565"/>
      <c r="Q254" s="565"/>
      <c r="R254" s="565" t="str">
        <f>IF(足元帳!V197="","",足元帳!V197)</f>
        <v/>
      </c>
      <c r="S254" s="565"/>
      <c r="T254" s="565"/>
      <c r="U254" s="565" t="str">
        <f>IF(足元帳!W197="","",足元帳!W197)</f>
        <v/>
      </c>
      <c r="V254" s="565"/>
      <c r="W254" s="565"/>
      <c r="X254" s="565" t="str">
        <f>IF(足元帳!X197="","",足元帳!X197)</f>
        <v/>
      </c>
      <c r="Y254" s="565"/>
      <c r="Z254" s="565"/>
      <c r="AA254" s="565" t="str">
        <f>IF(足元帳!Y197="","",足元帳!Y197)</f>
        <v/>
      </c>
      <c r="AB254" s="565"/>
      <c r="AC254" s="565"/>
      <c r="AD254" s="565" t="str">
        <f>IF(足元帳!Z197="","",足元帳!Z197)</f>
        <v/>
      </c>
      <c r="AE254" s="565"/>
      <c r="AF254" s="566"/>
      <c r="AG254" s="587" t="str">
        <f ca="1">IF(ISERROR(MATCH("●",足元帳!AD197:AM197,0)),IF(足元帳!AM197="","",足元帳!$AM$1&amp;足元帳!AM197),INDIRECT("足元帳!R1C"&amp;MATCH("●",足元帳!AD197:AM197,0)+29,FALSE))</f>
        <v/>
      </c>
      <c r="AH254" s="565"/>
      <c r="AI254" s="565"/>
      <c r="AJ254" s="565"/>
      <c r="AK254" s="565" t="str">
        <f>IF(足元帳!AT197="","",足元帳!AT197)</f>
        <v/>
      </c>
      <c r="AL254" s="565"/>
      <c r="AM254" s="565"/>
      <c r="AN254" s="565"/>
      <c r="AO254" s="565"/>
      <c r="AP254" s="565"/>
      <c r="AQ254" s="588"/>
    </row>
    <row r="255" spans="1:43" ht="22.5" customHeight="1">
      <c r="A255" s="586">
        <f t="shared" si="10"/>
        <v>197</v>
      </c>
      <c r="B255" s="566"/>
      <c r="C255" s="73" t="str">
        <f>IF(足元帳!AY198=1,"N",IF(足元帳!AY198=2,"R",""))</f>
        <v/>
      </c>
      <c r="D255" s="74" t="str">
        <f>IF(足元帳!AZ198&gt;0,VLOOKUP(足元帳!AZ198,管理シート!$CF$32:$CG$34,2,FALSE),"")</f>
        <v/>
      </c>
      <c r="E255" s="572" t="str">
        <f>IF(足元帳!BB198&gt;0,VLOOKUP(足元帳!BB198,管理シート!#REF!,2,FALSE),"")</f>
        <v/>
      </c>
      <c r="F255" s="573"/>
      <c r="G255" s="574">
        <f>足元帳!J198</f>
        <v>0</v>
      </c>
      <c r="H255" s="575"/>
      <c r="I255" s="574">
        <f>足元帳!K198</f>
        <v>0</v>
      </c>
      <c r="J255" s="576"/>
      <c r="K255" s="575"/>
      <c r="L255" s="73" t="str">
        <f ca="1">IF(足元帳!AB198="●","無",IF(足元帳!AC198="●","半",IF(AG255="周年","半",IF(AG255="プレ6","半",IF(AG255="6割","半","")))))</f>
        <v/>
      </c>
      <c r="M255" s="115" t="str">
        <f>IF(足元帳!AM198="","","○")&amp;IF(足元帳!AL198="","","○")</f>
        <v/>
      </c>
      <c r="N255" s="115" t="str">
        <f>IF(足元帳!AN198="","","○")</f>
        <v/>
      </c>
      <c r="O255" s="587" t="str">
        <f>IF(足元帳!U198="","",足元帳!U198)</f>
        <v/>
      </c>
      <c r="P255" s="565"/>
      <c r="Q255" s="565"/>
      <c r="R255" s="565" t="str">
        <f>IF(足元帳!V198="","",足元帳!V198)</f>
        <v/>
      </c>
      <c r="S255" s="565"/>
      <c r="T255" s="565"/>
      <c r="U255" s="565" t="str">
        <f>IF(足元帳!W198="","",足元帳!W198)</f>
        <v/>
      </c>
      <c r="V255" s="565"/>
      <c r="W255" s="565"/>
      <c r="X255" s="565" t="str">
        <f>IF(足元帳!X198="","",足元帳!X198)</f>
        <v/>
      </c>
      <c r="Y255" s="565"/>
      <c r="Z255" s="565"/>
      <c r="AA255" s="565" t="str">
        <f>IF(足元帳!Y198="","",足元帳!Y198)</f>
        <v/>
      </c>
      <c r="AB255" s="565"/>
      <c r="AC255" s="565"/>
      <c r="AD255" s="565" t="str">
        <f>IF(足元帳!Z198="","",足元帳!Z198)</f>
        <v/>
      </c>
      <c r="AE255" s="565"/>
      <c r="AF255" s="566"/>
      <c r="AG255" s="587" t="str">
        <f ca="1">IF(ISERROR(MATCH("●",足元帳!AD198:AM198,0)),IF(足元帳!AM198="","",足元帳!$AM$1&amp;足元帳!AM198),INDIRECT("足元帳!R1C"&amp;MATCH("●",足元帳!AD198:AM198,0)+29,FALSE))</f>
        <v/>
      </c>
      <c r="AH255" s="565"/>
      <c r="AI255" s="565"/>
      <c r="AJ255" s="565"/>
      <c r="AK255" s="565" t="str">
        <f>IF(足元帳!AT198="","",足元帳!AT198)</f>
        <v/>
      </c>
      <c r="AL255" s="565"/>
      <c r="AM255" s="565"/>
      <c r="AN255" s="565"/>
      <c r="AO255" s="565"/>
      <c r="AP255" s="565"/>
      <c r="AQ255" s="588"/>
    </row>
    <row r="256" spans="1:43" ht="22.5" customHeight="1">
      <c r="A256" s="586">
        <f t="shared" si="10"/>
        <v>198</v>
      </c>
      <c r="B256" s="566"/>
      <c r="C256" s="73" t="str">
        <f>IF(足元帳!AY199=1,"N",IF(足元帳!AY199=2,"R",""))</f>
        <v/>
      </c>
      <c r="D256" s="74" t="str">
        <f>IF(足元帳!AZ199&gt;0,VLOOKUP(足元帳!AZ199,管理シート!$CF$32:$CG$34,2,FALSE),"")</f>
        <v/>
      </c>
      <c r="E256" s="572" t="str">
        <f>IF(足元帳!BB199&gt;0,VLOOKUP(足元帳!BB199,管理シート!#REF!,2,FALSE),"")</f>
        <v/>
      </c>
      <c r="F256" s="573"/>
      <c r="G256" s="574">
        <f>足元帳!J199</f>
        <v>0</v>
      </c>
      <c r="H256" s="575"/>
      <c r="I256" s="574">
        <f>足元帳!K199</f>
        <v>0</v>
      </c>
      <c r="J256" s="576"/>
      <c r="K256" s="575"/>
      <c r="L256" s="73" t="str">
        <f ca="1">IF(足元帳!AB199="●","無",IF(足元帳!AC199="●","半",IF(AG256="周年","半",IF(AG256="プレ6","半",IF(AG256="6割","半","")))))</f>
        <v/>
      </c>
      <c r="M256" s="115" t="str">
        <f>IF(足元帳!AM199="","","○")&amp;IF(足元帳!AL199="","","○")</f>
        <v/>
      </c>
      <c r="N256" s="115" t="str">
        <f>IF(足元帳!AN199="","","○")</f>
        <v/>
      </c>
      <c r="O256" s="587" t="str">
        <f>IF(足元帳!U199="","",足元帳!U199)</f>
        <v/>
      </c>
      <c r="P256" s="565"/>
      <c r="Q256" s="565"/>
      <c r="R256" s="565" t="str">
        <f>IF(足元帳!V199="","",足元帳!V199)</f>
        <v/>
      </c>
      <c r="S256" s="565"/>
      <c r="T256" s="565"/>
      <c r="U256" s="565" t="str">
        <f>IF(足元帳!W199="","",足元帳!W199)</f>
        <v/>
      </c>
      <c r="V256" s="565"/>
      <c r="W256" s="565"/>
      <c r="X256" s="565" t="str">
        <f>IF(足元帳!X199="","",足元帳!X199)</f>
        <v/>
      </c>
      <c r="Y256" s="565"/>
      <c r="Z256" s="565"/>
      <c r="AA256" s="565" t="str">
        <f>IF(足元帳!Y199="","",足元帳!Y199)</f>
        <v/>
      </c>
      <c r="AB256" s="565"/>
      <c r="AC256" s="565"/>
      <c r="AD256" s="565" t="str">
        <f>IF(足元帳!Z199="","",足元帳!Z199)</f>
        <v/>
      </c>
      <c r="AE256" s="565"/>
      <c r="AF256" s="566"/>
      <c r="AG256" s="587" t="str">
        <f ca="1">IF(ISERROR(MATCH("●",足元帳!AD199:AM199,0)),IF(足元帳!AM199="","",足元帳!$AM$1&amp;足元帳!AM199),INDIRECT("足元帳!R1C"&amp;MATCH("●",足元帳!AD199:AM199,0)+29,FALSE))</f>
        <v/>
      </c>
      <c r="AH256" s="565"/>
      <c r="AI256" s="565"/>
      <c r="AJ256" s="565"/>
      <c r="AK256" s="565" t="str">
        <f>IF(足元帳!AT199="","",足元帳!AT199)</f>
        <v/>
      </c>
      <c r="AL256" s="565"/>
      <c r="AM256" s="565"/>
      <c r="AN256" s="565"/>
      <c r="AO256" s="565"/>
      <c r="AP256" s="565"/>
      <c r="AQ256" s="588"/>
    </row>
    <row r="257" spans="1:43" ht="22.5" customHeight="1">
      <c r="A257" s="586">
        <f t="shared" si="10"/>
        <v>199</v>
      </c>
      <c r="B257" s="566"/>
      <c r="C257" s="73" t="str">
        <f>IF(足元帳!AY200=1,"N",IF(足元帳!AY200=2,"R",""))</f>
        <v/>
      </c>
      <c r="D257" s="74" t="str">
        <f>IF(足元帳!AZ200&gt;0,VLOOKUP(足元帳!AZ200,管理シート!$CF$32:$CG$34,2,FALSE),"")</f>
        <v/>
      </c>
      <c r="E257" s="572" t="str">
        <f>IF(足元帳!BB200&gt;0,VLOOKUP(足元帳!BB200,管理シート!#REF!,2,FALSE),"")</f>
        <v/>
      </c>
      <c r="F257" s="573"/>
      <c r="G257" s="574">
        <f>足元帳!J200</f>
        <v>0</v>
      </c>
      <c r="H257" s="575"/>
      <c r="I257" s="574">
        <f>足元帳!K200</f>
        <v>0</v>
      </c>
      <c r="J257" s="576"/>
      <c r="K257" s="575"/>
      <c r="L257" s="73" t="str">
        <f ca="1">IF(足元帳!AB200="●","無",IF(足元帳!AC200="●","半",IF(AG257="周年","半",IF(AG257="プレ6","半",IF(AG257="6割","半","")))))</f>
        <v/>
      </c>
      <c r="M257" s="115" t="str">
        <f>IF(足元帳!AM200="","","○")&amp;IF(足元帳!AL200="","","○")</f>
        <v/>
      </c>
      <c r="N257" s="115" t="str">
        <f>IF(足元帳!AN200="","","○")</f>
        <v/>
      </c>
      <c r="O257" s="587" t="str">
        <f>IF(足元帳!U200="","",足元帳!U200)</f>
        <v/>
      </c>
      <c r="P257" s="565"/>
      <c r="Q257" s="565"/>
      <c r="R257" s="565" t="str">
        <f>IF(足元帳!V200="","",足元帳!V200)</f>
        <v/>
      </c>
      <c r="S257" s="565"/>
      <c r="T257" s="565"/>
      <c r="U257" s="565" t="str">
        <f>IF(足元帳!W200="","",足元帳!W200)</f>
        <v/>
      </c>
      <c r="V257" s="565"/>
      <c r="W257" s="565"/>
      <c r="X257" s="565" t="str">
        <f>IF(足元帳!X200="","",足元帳!X200)</f>
        <v/>
      </c>
      <c r="Y257" s="565"/>
      <c r="Z257" s="565"/>
      <c r="AA257" s="565" t="str">
        <f>IF(足元帳!Y200="","",足元帳!Y200)</f>
        <v/>
      </c>
      <c r="AB257" s="565"/>
      <c r="AC257" s="565"/>
      <c r="AD257" s="565" t="str">
        <f>IF(足元帳!Z200="","",足元帳!Z200)</f>
        <v/>
      </c>
      <c r="AE257" s="565"/>
      <c r="AF257" s="566"/>
      <c r="AG257" s="587" t="str">
        <f ca="1">IF(ISERROR(MATCH("●",足元帳!AD200:AM200,0)),IF(足元帳!AM200="","",足元帳!$AM$1&amp;足元帳!AM200),INDIRECT("足元帳!R1C"&amp;MATCH("●",足元帳!AD200:AM200,0)+29,FALSE))</f>
        <v/>
      </c>
      <c r="AH257" s="565"/>
      <c r="AI257" s="565"/>
      <c r="AJ257" s="565"/>
      <c r="AK257" s="565" t="str">
        <f>IF(足元帳!AT200="","",足元帳!AT200)</f>
        <v/>
      </c>
      <c r="AL257" s="565"/>
      <c r="AM257" s="565"/>
      <c r="AN257" s="565"/>
      <c r="AO257" s="565"/>
      <c r="AP257" s="565"/>
      <c r="AQ257" s="588"/>
    </row>
    <row r="258" spans="1:43" ht="22.5" customHeight="1">
      <c r="A258" s="586">
        <f t="shared" si="10"/>
        <v>200</v>
      </c>
      <c r="B258" s="566"/>
      <c r="C258" s="73" t="str">
        <f>IF(足元帳!AY201=1,"N",IF(足元帳!AY201=2,"R",""))</f>
        <v/>
      </c>
      <c r="D258" s="74" t="str">
        <f>IF(足元帳!AZ201&gt;0,VLOOKUP(足元帳!AZ201,管理シート!$CF$32:$CG$34,2,FALSE),"")</f>
        <v/>
      </c>
      <c r="E258" s="572" t="str">
        <f>IF(足元帳!BB201&gt;0,VLOOKUP(足元帳!BB201,管理シート!#REF!,2,FALSE),"")</f>
        <v/>
      </c>
      <c r="F258" s="573"/>
      <c r="G258" s="574">
        <f>足元帳!J201</f>
        <v>0</v>
      </c>
      <c r="H258" s="575"/>
      <c r="I258" s="574">
        <f>足元帳!K201</f>
        <v>0</v>
      </c>
      <c r="J258" s="576"/>
      <c r="K258" s="575"/>
      <c r="L258" s="73" t="str">
        <f ca="1">IF(足元帳!AB201="●","無",IF(足元帳!AC201="●","半",IF(AG258="周年","半",IF(AG258="プレ6","半",IF(AG258="6割","半","")))))</f>
        <v/>
      </c>
      <c r="M258" s="115" t="str">
        <f>IF(足元帳!AM201="","","○")&amp;IF(足元帳!AL201="","","○")</f>
        <v/>
      </c>
      <c r="N258" s="115" t="str">
        <f>IF(足元帳!AN201="","","○")</f>
        <v/>
      </c>
      <c r="O258" s="587" t="str">
        <f>IF(足元帳!U201="","",足元帳!U201)</f>
        <v/>
      </c>
      <c r="P258" s="565"/>
      <c r="Q258" s="565"/>
      <c r="R258" s="565" t="str">
        <f>IF(足元帳!V201="","",足元帳!V201)</f>
        <v/>
      </c>
      <c r="S258" s="565"/>
      <c r="T258" s="565"/>
      <c r="U258" s="565" t="str">
        <f>IF(足元帳!W201="","",足元帳!W201)</f>
        <v/>
      </c>
      <c r="V258" s="565"/>
      <c r="W258" s="565"/>
      <c r="X258" s="565" t="str">
        <f>IF(足元帳!X201="","",足元帳!X201)</f>
        <v/>
      </c>
      <c r="Y258" s="565"/>
      <c r="Z258" s="565"/>
      <c r="AA258" s="565" t="str">
        <f>IF(足元帳!Y201="","",足元帳!Y201)</f>
        <v/>
      </c>
      <c r="AB258" s="565"/>
      <c r="AC258" s="565"/>
      <c r="AD258" s="565" t="str">
        <f>IF(足元帳!Z201="","",足元帳!Z201)</f>
        <v/>
      </c>
      <c r="AE258" s="565"/>
      <c r="AF258" s="566"/>
      <c r="AG258" s="587" t="str">
        <f ca="1">IF(ISERROR(MATCH("●",足元帳!AD201:AM201,0)),IF(足元帳!AM201="","",足元帳!$AM$1&amp;足元帳!AM201),INDIRECT("足元帳!R1C"&amp;MATCH("●",足元帳!AD201:AM201,0)+29,FALSE))</f>
        <v/>
      </c>
      <c r="AH258" s="565"/>
      <c r="AI258" s="565"/>
      <c r="AJ258" s="565"/>
      <c r="AK258" s="565" t="str">
        <f>IF(足元帳!AT201="","",足元帳!AT201)</f>
        <v/>
      </c>
      <c r="AL258" s="565"/>
      <c r="AM258" s="565"/>
      <c r="AN258" s="565"/>
      <c r="AO258" s="565"/>
      <c r="AP258" s="565"/>
      <c r="AQ258" s="588"/>
    </row>
    <row r="259" spans="1:43" ht="22.5" customHeight="1">
      <c r="A259" s="586">
        <f t="shared" si="10"/>
        <v>201</v>
      </c>
      <c r="B259" s="566"/>
      <c r="C259" s="73" t="str">
        <f>IF(足元帳!AY202=1,"N",IF(足元帳!AY202=2,"R",""))</f>
        <v/>
      </c>
      <c r="D259" s="74" t="str">
        <f>IF(足元帳!AZ202&gt;0,VLOOKUP(足元帳!AZ202,管理シート!$CF$32:$CG$34,2,FALSE),"")</f>
        <v/>
      </c>
      <c r="E259" s="572" t="str">
        <f>IF(足元帳!BB202&gt;0,VLOOKUP(足元帳!BB202,管理シート!#REF!,2,FALSE),"")</f>
        <v/>
      </c>
      <c r="F259" s="573"/>
      <c r="G259" s="574">
        <f>足元帳!J202</f>
        <v>0</v>
      </c>
      <c r="H259" s="575"/>
      <c r="I259" s="574">
        <f>足元帳!K202</f>
        <v>0</v>
      </c>
      <c r="J259" s="576"/>
      <c r="K259" s="575"/>
      <c r="L259" s="73" t="str">
        <f ca="1">IF(足元帳!AB202="●","無",IF(足元帳!AC202="●","半",IF(AG259="周年","半",IF(AG259="プレ6","半",IF(AG259="6割","半","")))))</f>
        <v/>
      </c>
      <c r="M259" s="116" t="str">
        <f>IF(足元帳!AM202="","","○")&amp;IF(足元帳!AL202="","","○")</f>
        <v/>
      </c>
      <c r="N259" s="116" t="str">
        <f>IF(足元帳!AN202="","","○")</f>
        <v/>
      </c>
      <c r="O259" s="587" t="str">
        <f>IF(足元帳!U202="","",足元帳!U202)</f>
        <v/>
      </c>
      <c r="P259" s="565"/>
      <c r="Q259" s="565"/>
      <c r="R259" s="565" t="str">
        <f>IF(足元帳!V202="","",足元帳!V202)</f>
        <v/>
      </c>
      <c r="S259" s="565"/>
      <c r="T259" s="565"/>
      <c r="U259" s="565" t="str">
        <f>IF(足元帳!W202="","",足元帳!W202)</f>
        <v/>
      </c>
      <c r="V259" s="565"/>
      <c r="W259" s="565"/>
      <c r="X259" s="565" t="str">
        <f>IF(足元帳!X202="","",足元帳!X202)</f>
        <v/>
      </c>
      <c r="Y259" s="565"/>
      <c r="Z259" s="565"/>
      <c r="AA259" s="565" t="str">
        <f>IF(足元帳!Y202="","",足元帳!Y202)</f>
        <v/>
      </c>
      <c r="AB259" s="565"/>
      <c r="AC259" s="565"/>
      <c r="AD259" s="565" t="str">
        <f>IF(足元帳!Z202="","",足元帳!Z202)</f>
        <v/>
      </c>
      <c r="AE259" s="565"/>
      <c r="AF259" s="566"/>
      <c r="AG259" s="587" t="str">
        <f ca="1">IF(ISERROR(MATCH("●",足元帳!AD202:AM202,0)),IF(足元帳!AM202="","",足元帳!$AM$1&amp;足元帳!AM202),INDIRECT("足元帳!R1C"&amp;MATCH("●",足元帳!AD202:AM202,0)+29,FALSE))</f>
        <v/>
      </c>
      <c r="AH259" s="565"/>
      <c r="AI259" s="565"/>
      <c r="AJ259" s="565"/>
      <c r="AK259" s="565" t="str">
        <f>IF(足元帳!AT202="","",足元帳!AT202)</f>
        <v/>
      </c>
      <c r="AL259" s="565"/>
      <c r="AM259" s="565"/>
      <c r="AN259" s="565"/>
      <c r="AO259" s="565"/>
      <c r="AP259" s="565"/>
      <c r="AQ259" s="588"/>
    </row>
    <row r="260" spans="1:43" ht="22.5" customHeight="1">
      <c r="A260" s="586">
        <f t="shared" si="10"/>
        <v>202</v>
      </c>
      <c r="B260" s="566"/>
      <c r="C260" s="73" t="str">
        <f>IF(足元帳!AY203=1,"N",IF(足元帳!AY203=2,"R",""))</f>
        <v/>
      </c>
      <c r="D260" s="74" t="str">
        <f>IF(足元帳!AZ203&gt;0,VLOOKUP(足元帳!AZ203,管理シート!$CF$32:$CG$34,2,FALSE),"")</f>
        <v/>
      </c>
      <c r="E260" s="572" t="str">
        <f>IF(足元帳!BB203&gt;0,VLOOKUP(足元帳!BB203,管理シート!#REF!,2,FALSE),"")</f>
        <v/>
      </c>
      <c r="F260" s="573"/>
      <c r="G260" s="574">
        <f>足元帳!J203</f>
        <v>0</v>
      </c>
      <c r="H260" s="575"/>
      <c r="I260" s="574">
        <f>足元帳!K203</f>
        <v>0</v>
      </c>
      <c r="J260" s="576"/>
      <c r="K260" s="575"/>
      <c r="L260" s="73" t="str">
        <f ca="1">IF(足元帳!AB203="●","無",IF(足元帳!AC203="●","半",IF(AG260="周年","半",IF(AG260="プレ6","半",IF(AG260="6割","半","")))))</f>
        <v/>
      </c>
      <c r="M260" s="115" t="str">
        <f>IF(足元帳!AM203="","","○")&amp;IF(足元帳!AL203="","","○")</f>
        <v/>
      </c>
      <c r="N260" s="115" t="str">
        <f>IF(足元帳!AN203="","","○")</f>
        <v/>
      </c>
      <c r="O260" s="587" t="str">
        <f>IF(足元帳!U203="","",足元帳!U203)</f>
        <v/>
      </c>
      <c r="P260" s="565"/>
      <c r="Q260" s="565"/>
      <c r="R260" s="565" t="str">
        <f>IF(足元帳!V203="","",足元帳!V203)</f>
        <v/>
      </c>
      <c r="S260" s="565"/>
      <c r="T260" s="565"/>
      <c r="U260" s="565" t="str">
        <f>IF(足元帳!W203="","",足元帳!W203)</f>
        <v/>
      </c>
      <c r="V260" s="565"/>
      <c r="W260" s="565"/>
      <c r="X260" s="565" t="str">
        <f>IF(足元帳!X203="","",足元帳!X203)</f>
        <v/>
      </c>
      <c r="Y260" s="565"/>
      <c r="Z260" s="565"/>
      <c r="AA260" s="565" t="str">
        <f>IF(足元帳!Y203="","",足元帳!Y203)</f>
        <v/>
      </c>
      <c r="AB260" s="565"/>
      <c r="AC260" s="565"/>
      <c r="AD260" s="565" t="str">
        <f>IF(足元帳!Z203="","",足元帳!Z203)</f>
        <v/>
      </c>
      <c r="AE260" s="565"/>
      <c r="AF260" s="566"/>
      <c r="AG260" s="587" t="str">
        <f ca="1">IF(ISERROR(MATCH("●",足元帳!AD203:AM203,0)),IF(足元帳!AM203="","",足元帳!$AM$1&amp;足元帳!AM203),INDIRECT("足元帳!R1C"&amp;MATCH("●",足元帳!AD203:AM203,0)+29,FALSE))</f>
        <v/>
      </c>
      <c r="AH260" s="565"/>
      <c r="AI260" s="565"/>
      <c r="AJ260" s="565"/>
      <c r="AK260" s="565" t="str">
        <f>IF(足元帳!AT203="","",足元帳!AT203)</f>
        <v/>
      </c>
      <c r="AL260" s="565"/>
      <c r="AM260" s="565"/>
      <c r="AN260" s="565"/>
      <c r="AO260" s="565"/>
      <c r="AP260" s="565"/>
      <c r="AQ260" s="588"/>
    </row>
    <row r="261" spans="1:43" ht="22.5" customHeight="1">
      <c r="A261" s="586">
        <f t="shared" si="10"/>
        <v>203</v>
      </c>
      <c r="B261" s="566"/>
      <c r="C261" s="73" t="str">
        <f>IF(足元帳!AY204=1,"N",IF(足元帳!AY204=2,"R",""))</f>
        <v/>
      </c>
      <c r="D261" s="74" t="str">
        <f>IF(足元帳!AZ204&gt;0,VLOOKUP(足元帳!AZ204,管理シート!$CF$32:$CG$34,2,FALSE),"")</f>
        <v/>
      </c>
      <c r="E261" s="572" t="str">
        <f>IF(足元帳!BB204&gt;0,VLOOKUP(足元帳!BB204,管理シート!#REF!,2,FALSE),"")</f>
        <v/>
      </c>
      <c r="F261" s="573"/>
      <c r="G261" s="574">
        <f>足元帳!J204</f>
        <v>0</v>
      </c>
      <c r="H261" s="575"/>
      <c r="I261" s="574">
        <f>足元帳!K204</f>
        <v>0</v>
      </c>
      <c r="J261" s="576"/>
      <c r="K261" s="575"/>
      <c r="L261" s="73" t="str">
        <f ca="1">IF(足元帳!AB204="●","無",IF(足元帳!AC204="●","半",IF(AG261="周年","半",IF(AG261="プレ6","半",IF(AG261="6割","半","")))))</f>
        <v/>
      </c>
      <c r="M261" s="115" t="str">
        <f>IF(足元帳!AM204="","","○")&amp;IF(足元帳!AL204="","","○")</f>
        <v/>
      </c>
      <c r="N261" s="115" t="str">
        <f>IF(足元帳!AN204="","","○")</f>
        <v/>
      </c>
      <c r="O261" s="587" t="str">
        <f>IF(足元帳!U204="","",足元帳!U204)</f>
        <v/>
      </c>
      <c r="P261" s="565"/>
      <c r="Q261" s="565"/>
      <c r="R261" s="565" t="str">
        <f>IF(足元帳!V204="","",足元帳!V204)</f>
        <v/>
      </c>
      <c r="S261" s="565"/>
      <c r="T261" s="565"/>
      <c r="U261" s="565" t="str">
        <f>IF(足元帳!W204="","",足元帳!W204)</f>
        <v/>
      </c>
      <c r="V261" s="565"/>
      <c r="W261" s="565"/>
      <c r="X261" s="565" t="str">
        <f>IF(足元帳!X204="","",足元帳!X204)</f>
        <v/>
      </c>
      <c r="Y261" s="565"/>
      <c r="Z261" s="565"/>
      <c r="AA261" s="565" t="str">
        <f>IF(足元帳!Y204="","",足元帳!Y204)</f>
        <v/>
      </c>
      <c r="AB261" s="565"/>
      <c r="AC261" s="565"/>
      <c r="AD261" s="565" t="str">
        <f>IF(足元帳!Z204="","",足元帳!Z204)</f>
        <v/>
      </c>
      <c r="AE261" s="565"/>
      <c r="AF261" s="566"/>
      <c r="AG261" s="587" t="str">
        <f ca="1">IF(ISERROR(MATCH("●",足元帳!AD204:AM204,0)),IF(足元帳!AM204="","",足元帳!$AM$1&amp;足元帳!AM204),INDIRECT("足元帳!R1C"&amp;MATCH("●",足元帳!AD204:AM204,0)+29,FALSE))</f>
        <v/>
      </c>
      <c r="AH261" s="565"/>
      <c r="AI261" s="565"/>
      <c r="AJ261" s="565"/>
      <c r="AK261" s="565" t="str">
        <f>IF(足元帳!AT204="","",足元帳!AT204)</f>
        <v/>
      </c>
      <c r="AL261" s="565"/>
      <c r="AM261" s="565"/>
      <c r="AN261" s="565"/>
      <c r="AO261" s="565"/>
      <c r="AP261" s="565"/>
      <c r="AQ261" s="588"/>
    </row>
    <row r="262" spans="1:43" ht="22.5" customHeight="1">
      <c r="A262" s="586">
        <f t="shared" si="10"/>
        <v>204</v>
      </c>
      <c r="B262" s="566"/>
      <c r="C262" s="73" t="str">
        <f>IF(足元帳!AY205=1,"N",IF(足元帳!AY205=2,"R",""))</f>
        <v/>
      </c>
      <c r="D262" s="74" t="str">
        <f>IF(足元帳!AZ205&gt;0,VLOOKUP(足元帳!AZ205,管理シート!$CF$32:$CG$34,2,FALSE),"")</f>
        <v/>
      </c>
      <c r="E262" s="572" t="str">
        <f>IF(足元帳!BB205&gt;0,VLOOKUP(足元帳!BB205,管理シート!#REF!,2,FALSE),"")</f>
        <v/>
      </c>
      <c r="F262" s="573"/>
      <c r="G262" s="574">
        <f>足元帳!J205</f>
        <v>0</v>
      </c>
      <c r="H262" s="575"/>
      <c r="I262" s="574">
        <f>足元帳!K205</f>
        <v>0</v>
      </c>
      <c r="J262" s="576"/>
      <c r="K262" s="575"/>
      <c r="L262" s="73" t="str">
        <f ca="1">IF(足元帳!AB205="●","無",IF(足元帳!AC205="●","半",IF(AG262="周年","半",IF(AG262="プレ6","半",IF(AG262="6割","半","")))))</f>
        <v/>
      </c>
      <c r="M262" s="115" t="str">
        <f>IF(足元帳!AM205="","","○")&amp;IF(足元帳!AL205="","","○")</f>
        <v/>
      </c>
      <c r="N262" s="115" t="str">
        <f>IF(足元帳!AN205="","","○")</f>
        <v/>
      </c>
      <c r="O262" s="587" t="str">
        <f>IF(足元帳!U205="","",足元帳!U205)</f>
        <v/>
      </c>
      <c r="P262" s="565"/>
      <c r="Q262" s="565"/>
      <c r="R262" s="565" t="str">
        <f>IF(足元帳!V205="","",足元帳!V205)</f>
        <v/>
      </c>
      <c r="S262" s="565"/>
      <c r="T262" s="565"/>
      <c r="U262" s="565" t="str">
        <f>IF(足元帳!W205="","",足元帳!W205)</f>
        <v/>
      </c>
      <c r="V262" s="565"/>
      <c r="W262" s="565"/>
      <c r="X262" s="565" t="str">
        <f>IF(足元帳!X205="","",足元帳!X205)</f>
        <v/>
      </c>
      <c r="Y262" s="565"/>
      <c r="Z262" s="565"/>
      <c r="AA262" s="565" t="str">
        <f>IF(足元帳!Y205="","",足元帳!Y205)</f>
        <v/>
      </c>
      <c r="AB262" s="565"/>
      <c r="AC262" s="565"/>
      <c r="AD262" s="565" t="str">
        <f>IF(足元帳!Z205="","",足元帳!Z205)</f>
        <v/>
      </c>
      <c r="AE262" s="565"/>
      <c r="AF262" s="566"/>
      <c r="AG262" s="587" t="str">
        <f ca="1">IF(ISERROR(MATCH("●",足元帳!AD205:AM205,0)),IF(足元帳!AM205="","",足元帳!$AM$1&amp;足元帳!AM205),INDIRECT("足元帳!R1C"&amp;MATCH("●",足元帳!AD205:AM205,0)+29,FALSE))</f>
        <v/>
      </c>
      <c r="AH262" s="565"/>
      <c r="AI262" s="565"/>
      <c r="AJ262" s="565"/>
      <c r="AK262" s="565" t="str">
        <f>IF(足元帳!AT205="","",足元帳!AT205)</f>
        <v/>
      </c>
      <c r="AL262" s="565"/>
      <c r="AM262" s="565"/>
      <c r="AN262" s="565"/>
      <c r="AO262" s="565"/>
      <c r="AP262" s="565"/>
      <c r="AQ262" s="588"/>
    </row>
    <row r="263" spans="1:43" ht="22.5" customHeight="1">
      <c r="A263" s="586">
        <f t="shared" si="10"/>
        <v>205</v>
      </c>
      <c r="B263" s="566"/>
      <c r="C263" s="73" t="str">
        <f>IF(足元帳!AY206=1,"N",IF(足元帳!AY206=2,"R",""))</f>
        <v/>
      </c>
      <c r="D263" s="74" t="str">
        <f>IF(足元帳!AZ206&gt;0,VLOOKUP(足元帳!AZ206,管理シート!$CF$32:$CG$34,2,FALSE),"")</f>
        <v/>
      </c>
      <c r="E263" s="572" t="str">
        <f>IF(足元帳!BB206&gt;0,VLOOKUP(足元帳!BB206,管理シート!#REF!,2,FALSE),"")</f>
        <v/>
      </c>
      <c r="F263" s="573"/>
      <c r="G263" s="574">
        <f>足元帳!J206</f>
        <v>0</v>
      </c>
      <c r="H263" s="575"/>
      <c r="I263" s="574">
        <f>足元帳!K206</f>
        <v>0</v>
      </c>
      <c r="J263" s="576"/>
      <c r="K263" s="575"/>
      <c r="L263" s="73" t="str">
        <f ca="1">IF(足元帳!AB206="●","無",IF(足元帳!AC206="●","半",IF(AG263="周年","半",IF(AG263="プレ6","半",IF(AG263="6割","半","")))))</f>
        <v/>
      </c>
      <c r="M263" s="115" t="str">
        <f>IF(足元帳!AM206="","","○")&amp;IF(足元帳!AL206="","","○")</f>
        <v/>
      </c>
      <c r="N263" s="115" t="str">
        <f>IF(足元帳!AN206="","","○")</f>
        <v/>
      </c>
      <c r="O263" s="587" t="str">
        <f>IF(足元帳!U206="","",足元帳!U206)</f>
        <v/>
      </c>
      <c r="P263" s="565"/>
      <c r="Q263" s="565"/>
      <c r="R263" s="565" t="str">
        <f>IF(足元帳!V206="","",足元帳!V206)</f>
        <v/>
      </c>
      <c r="S263" s="565"/>
      <c r="T263" s="565"/>
      <c r="U263" s="565" t="str">
        <f>IF(足元帳!W206="","",足元帳!W206)</f>
        <v/>
      </c>
      <c r="V263" s="565"/>
      <c r="W263" s="565"/>
      <c r="X263" s="565" t="str">
        <f>IF(足元帳!X206="","",足元帳!X206)</f>
        <v/>
      </c>
      <c r="Y263" s="565"/>
      <c r="Z263" s="565"/>
      <c r="AA263" s="565" t="str">
        <f>IF(足元帳!Y206="","",足元帳!Y206)</f>
        <v/>
      </c>
      <c r="AB263" s="565"/>
      <c r="AC263" s="565"/>
      <c r="AD263" s="565" t="str">
        <f>IF(足元帳!Z206="","",足元帳!Z206)</f>
        <v/>
      </c>
      <c r="AE263" s="565"/>
      <c r="AF263" s="566"/>
      <c r="AG263" s="587" t="str">
        <f ca="1">IF(ISERROR(MATCH("●",足元帳!AD206:AM206,0)),IF(足元帳!AM206="","",足元帳!$AM$1&amp;足元帳!AM206),INDIRECT("足元帳!R1C"&amp;MATCH("●",足元帳!AD206:AM206,0)+29,FALSE))</f>
        <v/>
      </c>
      <c r="AH263" s="565"/>
      <c r="AI263" s="565"/>
      <c r="AJ263" s="565"/>
      <c r="AK263" s="565" t="str">
        <f>IF(足元帳!AT206="","",足元帳!AT206)</f>
        <v/>
      </c>
      <c r="AL263" s="565"/>
      <c r="AM263" s="565"/>
      <c r="AN263" s="565"/>
      <c r="AO263" s="565"/>
      <c r="AP263" s="565"/>
      <c r="AQ263" s="588"/>
    </row>
    <row r="264" spans="1:43" ht="22.5" customHeight="1">
      <c r="A264" s="586">
        <f t="shared" si="10"/>
        <v>206</v>
      </c>
      <c r="B264" s="566"/>
      <c r="C264" s="73" t="str">
        <f>IF(足元帳!AY207=1,"N",IF(足元帳!AY207=2,"R",""))</f>
        <v/>
      </c>
      <c r="D264" s="74" t="str">
        <f>IF(足元帳!AZ207&gt;0,VLOOKUP(足元帳!AZ207,管理シート!$CF$32:$CG$34,2,FALSE),"")</f>
        <v/>
      </c>
      <c r="E264" s="572" t="str">
        <f>IF(足元帳!BB207&gt;0,VLOOKUP(足元帳!BB207,管理シート!#REF!,2,FALSE),"")</f>
        <v/>
      </c>
      <c r="F264" s="573"/>
      <c r="G264" s="574">
        <f>足元帳!J207</f>
        <v>0</v>
      </c>
      <c r="H264" s="575"/>
      <c r="I264" s="574">
        <f>足元帳!K207</f>
        <v>0</v>
      </c>
      <c r="J264" s="576"/>
      <c r="K264" s="575"/>
      <c r="L264" s="73" t="str">
        <f ca="1">IF(足元帳!AB207="●","無",IF(足元帳!AC207="●","半",IF(AG264="周年","半",IF(AG264="プレ6","半",IF(AG264="6割","半","")))))</f>
        <v/>
      </c>
      <c r="M264" s="115" t="str">
        <f>IF(足元帳!AM207="","","○")&amp;IF(足元帳!AL207="","","○")</f>
        <v/>
      </c>
      <c r="N264" s="115" t="str">
        <f>IF(足元帳!AN207="","","○")</f>
        <v/>
      </c>
      <c r="O264" s="587" t="str">
        <f>IF(足元帳!U207="","",足元帳!U207)</f>
        <v/>
      </c>
      <c r="P264" s="565"/>
      <c r="Q264" s="565"/>
      <c r="R264" s="565" t="str">
        <f>IF(足元帳!V207="","",足元帳!V207)</f>
        <v/>
      </c>
      <c r="S264" s="565"/>
      <c r="T264" s="565"/>
      <c r="U264" s="565" t="str">
        <f>IF(足元帳!W207="","",足元帳!W207)</f>
        <v/>
      </c>
      <c r="V264" s="565"/>
      <c r="W264" s="565"/>
      <c r="X264" s="565" t="str">
        <f>IF(足元帳!X207="","",足元帳!X207)</f>
        <v/>
      </c>
      <c r="Y264" s="565"/>
      <c r="Z264" s="565"/>
      <c r="AA264" s="565" t="str">
        <f>IF(足元帳!Y207="","",足元帳!Y207)</f>
        <v/>
      </c>
      <c r="AB264" s="565"/>
      <c r="AC264" s="565"/>
      <c r="AD264" s="565" t="str">
        <f>IF(足元帳!Z207="","",足元帳!Z207)</f>
        <v/>
      </c>
      <c r="AE264" s="565"/>
      <c r="AF264" s="566"/>
      <c r="AG264" s="587" t="str">
        <f ca="1">IF(ISERROR(MATCH("●",足元帳!AD207:AM207,0)),IF(足元帳!AM207="","",足元帳!$AM$1&amp;足元帳!AM207),INDIRECT("足元帳!R1C"&amp;MATCH("●",足元帳!AD207:AM207,0)+29,FALSE))</f>
        <v/>
      </c>
      <c r="AH264" s="565"/>
      <c r="AI264" s="565"/>
      <c r="AJ264" s="565"/>
      <c r="AK264" s="565" t="str">
        <f>IF(足元帳!AT207="","",足元帳!AT207)</f>
        <v/>
      </c>
      <c r="AL264" s="565"/>
      <c r="AM264" s="565"/>
      <c r="AN264" s="565"/>
      <c r="AO264" s="565"/>
      <c r="AP264" s="565"/>
      <c r="AQ264" s="588"/>
    </row>
    <row r="265" spans="1:43" ht="22.5" customHeight="1">
      <c r="A265" s="586">
        <f t="shared" si="10"/>
        <v>207</v>
      </c>
      <c r="B265" s="566"/>
      <c r="C265" s="73" t="str">
        <f>IF(足元帳!AY208=1,"N",IF(足元帳!AY208=2,"R",""))</f>
        <v/>
      </c>
      <c r="D265" s="74" t="str">
        <f>IF(足元帳!AZ208&gt;0,VLOOKUP(足元帳!AZ208,管理シート!$CF$32:$CG$34,2,FALSE),"")</f>
        <v/>
      </c>
      <c r="E265" s="572" t="str">
        <f>IF(足元帳!BB208&gt;0,VLOOKUP(足元帳!BB208,管理シート!#REF!,2,FALSE),"")</f>
        <v/>
      </c>
      <c r="F265" s="573"/>
      <c r="G265" s="574">
        <f>足元帳!J208</f>
        <v>0</v>
      </c>
      <c r="H265" s="575"/>
      <c r="I265" s="574">
        <f>足元帳!K208</f>
        <v>0</v>
      </c>
      <c r="J265" s="576"/>
      <c r="K265" s="575"/>
      <c r="L265" s="73" t="str">
        <f ca="1">IF(足元帳!AB208="●","無",IF(足元帳!AC208="●","半",IF(AG265="周年","半",IF(AG265="プレ6","半",IF(AG265="6割","半","")))))</f>
        <v/>
      </c>
      <c r="M265" s="115" t="str">
        <f>IF(足元帳!AM208="","","○")&amp;IF(足元帳!AL208="","","○")</f>
        <v/>
      </c>
      <c r="N265" s="115" t="str">
        <f>IF(足元帳!AN208="","","○")</f>
        <v/>
      </c>
      <c r="O265" s="587" t="str">
        <f>IF(足元帳!U208="","",足元帳!U208)</f>
        <v/>
      </c>
      <c r="P265" s="565"/>
      <c r="Q265" s="565"/>
      <c r="R265" s="565" t="str">
        <f>IF(足元帳!V208="","",足元帳!V208)</f>
        <v/>
      </c>
      <c r="S265" s="565"/>
      <c r="T265" s="565"/>
      <c r="U265" s="565" t="str">
        <f>IF(足元帳!W208="","",足元帳!W208)</f>
        <v/>
      </c>
      <c r="V265" s="565"/>
      <c r="W265" s="565"/>
      <c r="X265" s="565" t="str">
        <f>IF(足元帳!X208="","",足元帳!X208)</f>
        <v/>
      </c>
      <c r="Y265" s="565"/>
      <c r="Z265" s="565"/>
      <c r="AA265" s="565" t="str">
        <f>IF(足元帳!Y208="","",足元帳!Y208)</f>
        <v/>
      </c>
      <c r="AB265" s="565"/>
      <c r="AC265" s="565"/>
      <c r="AD265" s="565" t="str">
        <f>IF(足元帳!Z208="","",足元帳!Z208)</f>
        <v/>
      </c>
      <c r="AE265" s="565"/>
      <c r="AF265" s="566"/>
      <c r="AG265" s="587" t="str">
        <f ca="1">IF(ISERROR(MATCH("●",足元帳!AD208:AM208,0)),IF(足元帳!AM208="","",足元帳!$AM$1&amp;足元帳!AM208),INDIRECT("足元帳!R1C"&amp;MATCH("●",足元帳!AD208:AM208,0)+29,FALSE))</f>
        <v/>
      </c>
      <c r="AH265" s="565"/>
      <c r="AI265" s="565"/>
      <c r="AJ265" s="565"/>
      <c r="AK265" s="565" t="str">
        <f>IF(足元帳!AT208="","",足元帳!AT208)</f>
        <v/>
      </c>
      <c r="AL265" s="565"/>
      <c r="AM265" s="565"/>
      <c r="AN265" s="565"/>
      <c r="AO265" s="565"/>
      <c r="AP265" s="565"/>
      <c r="AQ265" s="588"/>
    </row>
    <row r="266" spans="1:43" ht="22.5" customHeight="1">
      <c r="A266" s="586">
        <f t="shared" si="10"/>
        <v>208</v>
      </c>
      <c r="B266" s="566"/>
      <c r="C266" s="73" t="str">
        <f>IF(足元帳!AY209=1,"N",IF(足元帳!AY209=2,"R",""))</f>
        <v/>
      </c>
      <c r="D266" s="74" t="str">
        <f>IF(足元帳!AZ209&gt;0,VLOOKUP(足元帳!AZ209,管理シート!$CF$32:$CG$34,2,FALSE),"")</f>
        <v/>
      </c>
      <c r="E266" s="572" t="str">
        <f>IF(足元帳!BB209&gt;0,VLOOKUP(足元帳!BB209,管理シート!#REF!,2,FALSE),"")</f>
        <v/>
      </c>
      <c r="F266" s="573"/>
      <c r="G266" s="574">
        <f>足元帳!J209</f>
        <v>0</v>
      </c>
      <c r="H266" s="575"/>
      <c r="I266" s="574">
        <f>足元帳!K209</f>
        <v>0</v>
      </c>
      <c r="J266" s="576"/>
      <c r="K266" s="575"/>
      <c r="L266" s="73" t="str">
        <f ca="1">IF(足元帳!AB209="●","無",IF(足元帳!AC209="●","半",IF(AG266="周年","半",IF(AG266="プレ6","半",IF(AG266="6割","半","")))))</f>
        <v/>
      </c>
      <c r="M266" s="115" t="str">
        <f>IF(足元帳!AM209="","","○")&amp;IF(足元帳!AL209="","","○")</f>
        <v/>
      </c>
      <c r="N266" s="115" t="str">
        <f>IF(足元帳!AN209="","","○")</f>
        <v/>
      </c>
      <c r="O266" s="587" t="str">
        <f>IF(足元帳!U209="","",足元帳!U209)</f>
        <v/>
      </c>
      <c r="P266" s="565"/>
      <c r="Q266" s="565"/>
      <c r="R266" s="565" t="str">
        <f>IF(足元帳!V209="","",足元帳!V209)</f>
        <v/>
      </c>
      <c r="S266" s="565"/>
      <c r="T266" s="565"/>
      <c r="U266" s="565" t="str">
        <f>IF(足元帳!W209="","",足元帳!W209)</f>
        <v/>
      </c>
      <c r="V266" s="565"/>
      <c r="W266" s="565"/>
      <c r="X266" s="565" t="str">
        <f>IF(足元帳!X209="","",足元帳!X209)</f>
        <v/>
      </c>
      <c r="Y266" s="565"/>
      <c r="Z266" s="565"/>
      <c r="AA266" s="565" t="str">
        <f>IF(足元帳!Y209="","",足元帳!Y209)</f>
        <v/>
      </c>
      <c r="AB266" s="565"/>
      <c r="AC266" s="565"/>
      <c r="AD266" s="565" t="str">
        <f>IF(足元帳!Z209="","",足元帳!Z209)</f>
        <v/>
      </c>
      <c r="AE266" s="565"/>
      <c r="AF266" s="566"/>
      <c r="AG266" s="587" t="str">
        <f ca="1">IF(ISERROR(MATCH("●",足元帳!AD209:AM209,0)),IF(足元帳!AM209="","",足元帳!$AM$1&amp;足元帳!AM209),INDIRECT("足元帳!R1C"&amp;MATCH("●",足元帳!AD209:AM209,0)+29,FALSE))</f>
        <v/>
      </c>
      <c r="AH266" s="565"/>
      <c r="AI266" s="565"/>
      <c r="AJ266" s="565"/>
      <c r="AK266" s="565" t="str">
        <f>IF(足元帳!AT209="","",足元帳!AT209)</f>
        <v/>
      </c>
      <c r="AL266" s="565"/>
      <c r="AM266" s="565"/>
      <c r="AN266" s="565"/>
      <c r="AO266" s="565"/>
      <c r="AP266" s="565"/>
      <c r="AQ266" s="588"/>
    </row>
    <row r="267" spans="1:43" ht="22.5" customHeight="1">
      <c r="A267" s="586">
        <f t="shared" si="10"/>
        <v>209</v>
      </c>
      <c r="B267" s="566"/>
      <c r="C267" s="73" t="str">
        <f>IF(足元帳!AY210=1,"N",IF(足元帳!AY210=2,"R",""))</f>
        <v/>
      </c>
      <c r="D267" s="74" t="str">
        <f>IF(足元帳!AZ210&gt;0,VLOOKUP(足元帳!AZ210,管理シート!$CF$32:$CG$34,2,FALSE),"")</f>
        <v/>
      </c>
      <c r="E267" s="572" t="str">
        <f>IF(足元帳!BB210&gt;0,VLOOKUP(足元帳!BB210,管理シート!#REF!,2,FALSE),"")</f>
        <v/>
      </c>
      <c r="F267" s="573"/>
      <c r="G267" s="574">
        <f>足元帳!J210</f>
        <v>0</v>
      </c>
      <c r="H267" s="575"/>
      <c r="I267" s="574">
        <f>足元帳!K210</f>
        <v>0</v>
      </c>
      <c r="J267" s="576"/>
      <c r="K267" s="575"/>
      <c r="L267" s="73" t="str">
        <f ca="1">IF(足元帳!AB210="●","無",IF(足元帳!AC210="●","半",IF(AG267="周年","半",IF(AG267="プレ6","半",IF(AG267="6割","半","")))))</f>
        <v/>
      </c>
      <c r="M267" s="115" t="str">
        <f>IF(足元帳!AM210="","","○")&amp;IF(足元帳!AL210="","","○")</f>
        <v/>
      </c>
      <c r="N267" s="115" t="str">
        <f>IF(足元帳!AN210="","","○")</f>
        <v/>
      </c>
      <c r="O267" s="587" t="str">
        <f>IF(足元帳!U210="","",足元帳!U210)</f>
        <v/>
      </c>
      <c r="P267" s="565"/>
      <c r="Q267" s="565"/>
      <c r="R267" s="565" t="str">
        <f>IF(足元帳!V210="","",足元帳!V210)</f>
        <v/>
      </c>
      <c r="S267" s="565"/>
      <c r="T267" s="565"/>
      <c r="U267" s="565" t="str">
        <f>IF(足元帳!W210="","",足元帳!W210)</f>
        <v/>
      </c>
      <c r="V267" s="565"/>
      <c r="W267" s="565"/>
      <c r="X267" s="565" t="str">
        <f>IF(足元帳!X210="","",足元帳!X210)</f>
        <v/>
      </c>
      <c r="Y267" s="565"/>
      <c r="Z267" s="565"/>
      <c r="AA267" s="565" t="str">
        <f>IF(足元帳!Y210="","",足元帳!Y210)</f>
        <v/>
      </c>
      <c r="AB267" s="565"/>
      <c r="AC267" s="565"/>
      <c r="AD267" s="565" t="str">
        <f>IF(足元帳!Z210="","",足元帳!Z210)</f>
        <v/>
      </c>
      <c r="AE267" s="565"/>
      <c r="AF267" s="566"/>
      <c r="AG267" s="587" t="str">
        <f ca="1">IF(ISERROR(MATCH("●",足元帳!AD210:AM210,0)),IF(足元帳!AM210="","",足元帳!$AM$1&amp;足元帳!AM210),INDIRECT("足元帳!R1C"&amp;MATCH("●",足元帳!AD210:AM210,0)+29,FALSE))</f>
        <v/>
      </c>
      <c r="AH267" s="565"/>
      <c r="AI267" s="565"/>
      <c r="AJ267" s="565"/>
      <c r="AK267" s="565" t="str">
        <f>IF(足元帳!AT210="","",足元帳!AT210)</f>
        <v/>
      </c>
      <c r="AL267" s="565"/>
      <c r="AM267" s="565"/>
      <c r="AN267" s="565"/>
      <c r="AO267" s="565"/>
      <c r="AP267" s="565"/>
      <c r="AQ267" s="588"/>
    </row>
    <row r="268" spans="1:43" ht="22.5" customHeight="1" thickBot="1">
      <c r="A268" s="598">
        <f t="shared" si="10"/>
        <v>210</v>
      </c>
      <c r="B268" s="596"/>
      <c r="C268" s="76" t="str">
        <f>IF(足元帳!AY211=1,"N",IF(足元帳!AY211=2,"R",""))</f>
        <v/>
      </c>
      <c r="D268" s="77" t="str">
        <f>IF(足元帳!AZ211&gt;0,VLOOKUP(足元帳!AZ211,管理シート!$CF$32:$CG$34,2,FALSE),"")</f>
        <v/>
      </c>
      <c r="E268" s="599" t="str">
        <f>IF(足元帳!BB211&gt;0,VLOOKUP(足元帳!BB211,管理シート!#REF!,2,FALSE),"")</f>
        <v/>
      </c>
      <c r="F268" s="600"/>
      <c r="G268" s="601">
        <f>足元帳!J211</f>
        <v>0</v>
      </c>
      <c r="H268" s="602"/>
      <c r="I268" s="601">
        <f>足元帳!K211</f>
        <v>0</v>
      </c>
      <c r="J268" s="603"/>
      <c r="K268" s="602"/>
      <c r="L268" s="76" t="str">
        <f ca="1">IF(足元帳!AB211="●","無",IF(足元帳!AC211="●","半",IF(AG268="周年","半",IF(AG268="プレ6","半",IF(AG268="6割","半","")))))</f>
        <v/>
      </c>
      <c r="M268" s="118" t="str">
        <f>IF(足元帳!AM211="","","○")&amp;IF(足元帳!AL211="","","○")</f>
        <v/>
      </c>
      <c r="N268" s="118" t="str">
        <f>IF(足元帳!AN211="","","○")</f>
        <v/>
      </c>
      <c r="O268" s="597" t="str">
        <f>IF(足元帳!U211="","",足元帳!U211)</f>
        <v/>
      </c>
      <c r="P268" s="589"/>
      <c r="Q268" s="589"/>
      <c r="R268" s="589" t="str">
        <f>IF(足元帳!V211="","",足元帳!V211)</f>
        <v/>
      </c>
      <c r="S268" s="589"/>
      <c r="T268" s="589"/>
      <c r="U268" s="589" t="str">
        <f>IF(足元帳!W211="","",足元帳!W211)</f>
        <v/>
      </c>
      <c r="V268" s="589"/>
      <c r="W268" s="589"/>
      <c r="X268" s="589" t="str">
        <f>IF(足元帳!X211="","",足元帳!X211)</f>
        <v/>
      </c>
      <c r="Y268" s="589"/>
      <c r="Z268" s="589"/>
      <c r="AA268" s="589" t="str">
        <f>IF(足元帳!Y211="","",足元帳!Y211)</f>
        <v/>
      </c>
      <c r="AB268" s="589"/>
      <c r="AC268" s="589"/>
      <c r="AD268" s="589" t="str">
        <f>IF(足元帳!Z211="","",足元帳!Z211)</f>
        <v/>
      </c>
      <c r="AE268" s="589"/>
      <c r="AF268" s="596"/>
      <c r="AG268" s="597" t="str">
        <f ca="1">IF(ISERROR(MATCH("●",足元帳!AD211:AM211,0)),IF(足元帳!AM211="","",足元帳!$AM$1&amp;足元帳!AM211),INDIRECT("足元帳!R1C"&amp;MATCH("●",足元帳!AD211:AM211,0)+29,FALSE))</f>
        <v/>
      </c>
      <c r="AH268" s="589"/>
      <c r="AI268" s="589"/>
      <c r="AJ268" s="589"/>
      <c r="AK268" s="589" t="str">
        <f>IF(足元帳!AT211="","",足元帳!AT211)</f>
        <v/>
      </c>
      <c r="AL268" s="589"/>
      <c r="AM268" s="589"/>
      <c r="AN268" s="589"/>
      <c r="AO268" s="589"/>
      <c r="AP268" s="589"/>
      <c r="AQ268" s="590"/>
    </row>
    <row r="269" spans="1:43" ht="22.5" customHeight="1">
      <c r="A269" s="591"/>
      <c r="B269" s="592"/>
      <c r="C269" s="592" t="s">
        <v>11</v>
      </c>
      <c r="D269" s="592"/>
      <c r="E269" s="592"/>
      <c r="F269" s="592"/>
      <c r="G269" s="592" t="s">
        <v>153</v>
      </c>
      <c r="H269" s="592"/>
      <c r="I269" s="592"/>
      <c r="J269" s="592"/>
      <c r="K269" s="592"/>
      <c r="L269" s="592"/>
      <c r="M269" s="592"/>
      <c r="N269" s="592"/>
      <c r="O269" s="592" t="s">
        <v>154</v>
      </c>
      <c r="P269" s="592"/>
      <c r="Q269" s="592"/>
      <c r="R269" s="592"/>
      <c r="S269" s="592"/>
      <c r="T269" s="592"/>
      <c r="U269" s="592"/>
      <c r="V269" s="592"/>
      <c r="W269" s="592"/>
      <c r="X269" s="592"/>
      <c r="Y269" s="592" t="s">
        <v>155</v>
      </c>
      <c r="Z269" s="592"/>
      <c r="AA269" s="592"/>
      <c r="AB269" s="592"/>
      <c r="AC269" s="592"/>
      <c r="AD269" s="592"/>
      <c r="AE269" s="592"/>
      <c r="AF269" s="592"/>
      <c r="AG269" s="592" t="s">
        <v>156</v>
      </c>
      <c r="AH269" s="592"/>
      <c r="AI269" s="592" t="s">
        <v>157</v>
      </c>
      <c r="AJ269" s="592"/>
      <c r="AK269" s="592"/>
      <c r="AL269" s="592" t="s">
        <v>2</v>
      </c>
      <c r="AM269" s="592"/>
      <c r="AN269" s="592"/>
      <c r="AO269" s="592"/>
      <c r="AP269" s="592"/>
      <c r="AQ269" s="595"/>
    </row>
    <row r="270" spans="1:43" ht="22.5" customHeight="1">
      <c r="A270" s="593"/>
      <c r="B270" s="594"/>
      <c r="C270" s="594" t="s">
        <v>4</v>
      </c>
      <c r="D270" s="594"/>
      <c r="E270" s="594" t="s">
        <v>3</v>
      </c>
      <c r="F270" s="594"/>
      <c r="G270" s="594" t="s">
        <v>14</v>
      </c>
      <c r="H270" s="594"/>
      <c r="I270" s="594" t="s">
        <v>5</v>
      </c>
      <c r="J270" s="594"/>
      <c r="K270" s="594" t="s">
        <v>152</v>
      </c>
      <c r="L270" s="594"/>
      <c r="M270" s="594" t="s">
        <v>0</v>
      </c>
      <c r="N270" s="594"/>
      <c r="O270" s="594">
        <v>45</v>
      </c>
      <c r="P270" s="594"/>
      <c r="Q270" s="594">
        <v>60</v>
      </c>
      <c r="R270" s="594"/>
      <c r="S270" s="594">
        <v>70</v>
      </c>
      <c r="T270" s="594"/>
      <c r="U270" s="594">
        <v>90</v>
      </c>
      <c r="V270" s="594"/>
      <c r="W270" s="594">
        <v>110</v>
      </c>
      <c r="X270" s="594"/>
      <c r="Y270" s="594">
        <v>30</v>
      </c>
      <c r="Z270" s="594"/>
      <c r="AA270" s="594">
        <v>20</v>
      </c>
      <c r="AB270" s="594"/>
      <c r="AC270" s="594">
        <v>15</v>
      </c>
      <c r="AD270" s="594"/>
      <c r="AE270" s="594">
        <v>10</v>
      </c>
      <c r="AF270" s="594"/>
      <c r="AG270" s="594"/>
      <c r="AH270" s="594"/>
      <c r="AI270" s="594"/>
      <c r="AJ270" s="594"/>
      <c r="AK270" s="594"/>
      <c r="AL270" s="604"/>
      <c r="AM270" s="604"/>
      <c r="AN270" s="604"/>
      <c r="AO270" s="604"/>
      <c r="AP270" s="604"/>
      <c r="AQ270" s="605"/>
    </row>
    <row r="271" spans="1:43" ht="22.5" customHeight="1">
      <c r="A271" s="593" t="s">
        <v>158</v>
      </c>
      <c r="B271" s="594"/>
      <c r="C271" s="587">
        <f>SUM(C272:F272)</f>
        <v>0</v>
      </c>
      <c r="D271" s="565"/>
      <c r="E271" s="565"/>
      <c r="F271" s="566"/>
      <c r="G271" s="604">
        <f>SUM(G272:N272)</f>
        <v>0</v>
      </c>
      <c r="H271" s="604"/>
      <c r="I271" s="604"/>
      <c r="J271" s="604"/>
      <c r="K271" s="604"/>
      <c r="L271" s="604"/>
      <c r="M271" s="604"/>
      <c r="N271" s="604"/>
      <c r="O271" s="604">
        <f>SUM(O272:X272)</f>
        <v>0</v>
      </c>
      <c r="P271" s="604"/>
      <c r="Q271" s="604"/>
      <c r="R271" s="604"/>
      <c r="S271" s="604"/>
      <c r="T271" s="604"/>
      <c r="U271" s="604"/>
      <c r="V271" s="604"/>
      <c r="W271" s="604"/>
      <c r="X271" s="604"/>
      <c r="Y271" s="604"/>
      <c r="Z271" s="604"/>
      <c r="AA271" s="604"/>
      <c r="AB271" s="604"/>
      <c r="AC271" s="604"/>
      <c r="AD271" s="604"/>
      <c r="AE271" s="604"/>
      <c r="AF271" s="604"/>
      <c r="AG271" s="604"/>
      <c r="AH271" s="604"/>
      <c r="AI271" s="604"/>
      <c r="AJ271" s="604"/>
      <c r="AK271" s="604"/>
      <c r="AL271" s="604"/>
      <c r="AM271" s="604"/>
      <c r="AN271" s="604"/>
      <c r="AO271" s="604"/>
      <c r="AP271" s="604"/>
      <c r="AQ271" s="605"/>
    </row>
    <row r="272" spans="1:43" ht="22.5" customHeight="1">
      <c r="A272" s="593"/>
      <c r="B272" s="594"/>
      <c r="C272" s="604">
        <f>COUNTIF(C234:C268,"N")</f>
        <v>0</v>
      </c>
      <c r="D272" s="604"/>
      <c r="E272" s="604">
        <f>COUNTIF(C234:C268,"R")</f>
        <v>0</v>
      </c>
      <c r="F272" s="604"/>
      <c r="G272" s="604">
        <f>COUNTIF(D234:D268,"姫")</f>
        <v>0</v>
      </c>
      <c r="H272" s="604"/>
      <c r="I272" s="604">
        <f>COUNTIF(D234:D268,"本")</f>
        <v>0</v>
      </c>
      <c r="J272" s="604"/>
      <c r="K272" s="604">
        <f>COUNTIF(D234:D268,"ネ")</f>
        <v>0</v>
      </c>
      <c r="L272" s="604"/>
      <c r="M272" s="604">
        <f>COUNTIF(D234:D268,"写")</f>
        <v>0</v>
      </c>
      <c r="N272" s="604"/>
      <c r="O272" s="604">
        <f>COUNTIF(E234:F268,45)</f>
        <v>0</v>
      </c>
      <c r="P272" s="604"/>
      <c r="Q272" s="604">
        <f>COUNTIF(E234:F268,60)</f>
        <v>0</v>
      </c>
      <c r="R272" s="604"/>
      <c r="S272" s="604">
        <f>COUNTIF(E234:F268,70)</f>
        <v>0</v>
      </c>
      <c r="T272" s="604"/>
      <c r="U272" s="604">
        <f>COUNTIF(E234:F268,90)</f>
        <v>0</v>
      </c>
      <c r="V272" s="604"/>
      <c r="W272" s="604">
        <f>COUNTIF(E234:F268,110)</f>
        <v>0</v>
      </c>
      <c r="X272" s="604"/>
      <c r="Y272" s="604"/>
      <c r="Z272" s="604"/>
      <c r="AA272" s="604"/>
      <c r="AB272" s="604"/>
      <c r="AC272" s="604"/>
      <c r="AD272" s="604"/>
      <c r="AE272" s="604"/>
      <c r="AF272" s="604"/>
      <c r="AG272" s="604"/>
      <c r="AH272" s="604"/>
      <c r="AI272" s="604"/>
      <c r="AJ272" s="604"/>
      <c r="AK272" s="604"/>
      <c r="AL272" s="604"/>
      <c r="AM272" s="604"/>
      <c r="AN272" s="604"/>
      <c r="AO272" s="604"/>
      <c r="AP272" s="604"/>
      <c r="AQ272" s="605"/>
    </row>
    <row r="273" spans="1:43" ht="22.5" customHeight="1">
      <c r="A273" s="593" t="s">
        <v>159</v>
      </c>
      <c r="B273" s="594"/>
      <c r="C273" s="604"/>
      <c r="D273" s="604"/>
      <c r="E273" s="604"/>
      <c r="F273" s="604"/>
      <c r="G273" s="604"/>
      <c r="H273" s="604"/>
      <c r="I273" s="604"/>
      <c r="J273" s="604"/>
      <c r="K273" s="604"/>
      <c r="L273" s="604"/>
      <c r="M273" s="604"/>
      <c r="N273" s="604"/>
      <c r="O273" s="604"/>
      <c r="P273" s="604"/>
      <c r="Q273" s="604"/>
      <c r="R273" s="604"/>
      <c r="S273" s="604"/>
      <c r="T273" s="604"/>
      <c r="U273" s="604"/>
      <c r="V273" s="604"/>
      <c r="W273" s="604"/>
      <c r="X273" s="604"/>
      <c r="Y273" s="604"/>
      <c r="Z273" s="604"/>
      <c r="AA273" s="604"/>
      <c r="AB273" s="604"/>
      <c r="AC273" s="604"/>
      <c r="AD273" s="604"/>
      <c r="AE273" s="604"/>
      <c r="AF273" s="604"/>
      <c r="AG273" s="604"/>
      <c r="AH273" s="604"/>
      <c r="AI273" s="604"/>
      <c r="AJ273" s="604"/>
      <c r="AK273" s="604"/>
      <c r="AL273" s="604"/>
      <c r="AM273" s="604"/>
      <c r="AN273" s="604"/>
      <c r="AO273" s="604"/>
      <c r="AP273" s="604"/>
      <c r="AQ273" s="605"/>
    </row>
    <row r="274" spans="1:43" ht="22.5" customHeight="1" thickBot="1">
      <c r="A274" s="606"/>
      <c r="B274" s="607"/>
      <c r="C274" s="608"/>
      <c r="D274" s="608"/>
      <c r="E274" s="608"/>
      <c r="F274" s="608"/>
      <c r="G274" s="608"/>
      <c r="H274" s="608"/>
      <c r="I274" s="608"/>
      <c r="J274" s="608"/>
      <c r="K274" s="608"/>
      <c r="L274" s="608"/>
      <c r="M274" s="608"/>
      <c r="N274" s="608"/>
      <c r="O274" s="608"/>
      <c r="P274" s="608"/>
      <c r="Q274" s="608"/>
      <c r="R274" s="608"/>
      <c r="S274" s="608"/>
      <c r="T274" s="608"/>
      <c r="U274" s="608"/>
      <c r="V274" s="608"/>
      <c r="W274" s="608"/>
      <c r="X274" s="608"/>
      <c r="Y274" s="608"/>
      <c r="Z274" s="608"/>
      <c r="AA274" s="608"/>
      <c r="AB274" s="608"/>
      <c r="AC274" s="608"/>
      <c r="AD274" s="608"/>
      <c r="AE274" s="608"/>
      <c r="AF274" s="608"/>
      <c r="AG274" s="608"/>
      <c r="AH274" s="608"/>
      <c r="AI274" s="608"/>
      <c r="AJ274" s="608"/>
      <c r="AK274" s="608"/>
      <c r="AL274" s="608"/>
      <c r="AM274" s="608"/>
      <c r="AN274" s="608"/>
      <c r="AO274" s="608"/>
      <c r="AP274" s="608"/>
      <c r="AQ274" s="611"/>
    </row>
    <row r="275" spans="1:43" ht="22.5" customHeight="1">
      <c r="A275" s="609" t="s">
        <v>160</v>
      </c>
      <c r="B275" s="610"/>
      <c r="C275" s="610"/>
      <c r="D275" s="610"/>
      <c r="E275" s="610"/>
      <c r="F275" s="610"/>
      <c r="G275" s="610" t="s">
        <v>161</v>
      </c>
      <c r="H275" s="610"/>
      <c r="I275" s="610" t="s">
        <v>162</v>
      </c>
      <c r="J275" s="610"/>
      <c r="K275" s="610"/>
      <c r="L275" s="610"/>
      <c r="M275" s="610"/>
      <c r="N275" s="610"/>
      <c r="O275" s="610" t="s">
        <v>161</v>
      </c>
      <c r="P275" s="610"/>
      <c r="Q275" s="610" t="s">
        <v>163</v>
      </c>
      <c r="R275" s="610"/>
      <c r="S275" s="610"/>
      <c r="T275" s="610"/>
      <c r="U275" s="610"/>
      <c r="V275" s="610"/>
      <c r="W275" s="610" t="s">
        <v>164</v>
      </c>
      <c r="X275" s="610"/>
      <c r="Y275" s="610" t="s">
        <v>165</v>
      </c>
      <c r="Z275" s="610"/>
      <c r="AA275" s="610"/>
      <c r="AB275" s="610"/>
      <c r="AC275" s="610"/>
      <c r="AD275" s="610"/>
      <c r="AE275" s="610" t="s">
        <v>166</v>
      </c>
      <c r="AF275" s="610"/>
      <c r="AG275" s="610" t="s">
        <v>167</v>
      </c>
      <c r="AH275" s="610"/>
      <c r="AI275" s="610"/>
      <c r="AJ275" s="610"/>
      <c r="AK275" s="610"/>
      <c r="AL275" s="610"/>
      <c r="AM275" s="610"/>
      <c r="AN275" s="610"/>
      <c r="AO275" s="610"/>
      <c r="AP275" s="610"/>
      <c r="AQ275" s="614"/>
    </row>
    <row r="276" spans="1:43" ht="22.5" customHeight="1" thickBot="1">
      <c r="A276" s="615">
        <f>IF(C317&gt;0,"",精算表!$BD$46)</f>
        <v>0</v>
      </c>
      <c r="B276" s="616"/>
      <c r="C276" s="616"/>
      <c r="D276" s="616"/>
      <c r="E276" s="616"/>
      <c r="F276" s="616"/>
      <c r="G276" s="607" t="s">
        <v>161</v>
      </c>
      <c r="H276" s="607"/>
      <c r="I276" s="616">
        <f>IF(C317&gt;0,"",精算表!$BD$49)</f>
        <v>0</v>
      </c>
      <c r="J276" s="616"/>
      <c r="K276" s="616"/>
      <c r="L276" s="616"/>
      <c r="M276" s="616"/>
      <c r="N276" s="616"/>
      <c r="O276" s="607" t="s">
        <v>161</v>
      </c>
      <c r="P276" s="607"/>
      <c r="Q276" s="616">
        <f>IF(C317&gt;0,"",精算表!$BD$50)</f>
        <v>0</v>
      </c>
      <c r="R276" s="616"/>
      <c r="S276" s="616"/>
      <c r="T276" s="616"/>
      <c r="U276" s="616"/>
      <c r="V276" s="616"/>
      <c r="W276" s="607" t="s">
        <v>164</v>
      </c>
      <c r="X276" s="607"/>
      <c r="Y276" s="616">
        <f>IF(C317&gt;0,"",精算表!$BD$56)</f>
        <v>0</v>
      </c>
      <c r="Z276" s="616"/>
      <c r="AA276" s="616"/>
      <c r="AB276" s="616"/>
      <c r="AC276" s="616"/>
      <c r="AD276" s="616"/>
      <c r="AE276" s="607" t="s">
        <v>166</v>
      </c>
      <c r="AF276" s="607"/>
      <c r="AG276" s="613">
        <f>IF(C317&gt;0,"",A276-I276-Q276+Y276)</f>
        <v>0</v>
      </c>
      <c r="AH276" s="608"/>
      <c r="AI276" s="608"/>
      <c r="AJ276" s="608"/>
      <c r="AK276" s="608"/>
      <c r="AL276" s="608"/>
      <c r="AM276" s="608"/>
      <c r="AN276" s="608"/>
      <c r="AO276" s="608"/>
      <c r="AP276" s="608"/>
      <c r="AQ276" s="611"/>
    </row>
    <row r="277" spans="1:43" ht="22.5" customHeight="1">
      <c r="AD277" s="113" t="s">
        <v>142</v>
      </c>
      <c r="AF277" s="617" t="str">
        <f>AF231</f>
        <v>31</v>
      </c>
      <c r="AG277" s="617"/>
      <c r="AH277" s="113" t="s">
        <v>143</v>
      </c>
      <c r="AI277" s="617">
        <f>AI231</f>
        <v>10</v>
      </c>
      <c r="AJ277" s="617"/>
      <c r="AK277" s="617"/>
      <c r="AL277" s="578" t="s">
        <v>144</v>
      </c>
      <c r="AM277" s="578"/>
      <c r="AN277" s="617">
        <f>AN231</f>
        <v>17</v>
      </c>
      <c r="AO277" s="617"/>
      <c r="AP277" s="578" t="s">
        <v>145</v>
      </c>
      <c r="AQ277" s="578"/>
    </row>
    <row r="278" spans="1:43" ht="22.5" customHeight="1" thickBot="1">
      <c r="A278" s="579">
        <f>A232+1</f>
        <v>7</v>
      </c>
      <c r="B278" s="612"/>
      <c r="C278" s="612"/>
      <c r="D278" s="612"/>
      <c r="E278" s="612"/>
      <c r="F278" s="612"/>
      <c r="G278" s="612"/>
      <c r="H278" s="612"/>
      <c r="I278" s="612"/>
      <c r="J278" s="612"/>
      <c r="K278" s="612"/>
      <c r="L278" s="612"/>
      <c r="M278" s="612"/>
      <c r="N278" s="612"/>
      <c r="O278" s="612"/>
      <c r="P278" s="612"/>
      <c r="Q278" s="612"/>
      <c r="R278" s="612"/>
      <c r="S278" s="612"/>
      <c r="T278" s="612"/>
      <c r="U278" s="612"/>
      <c r="V278" s="612"/>
      <c r="W278" s="612"/>
      <c r="X278" s="612"/>
      <c r="Y278" s="612"/>
      <c r="Z278" s="612"/>
      <c r="AA278" s="612"/>
      <c r="AB278" s="612"/>
      <c r="AC278" s="612"/>
      <c r="AD278" s="612"/>
      <c r="AE278" s="612"/>
      <c r="AF278" s="612"/>
      <c r="AG278" s="612"/>
      <c r="AH278" s="612"/>
      <c r="AI278" s="612"/>
      <c r="AJ278" s="612"/>
      <c r="AK278" s="612"/>
      <c r="AL278" s="612"/>
      <c r="AM278" s="612"/>
      <c r="AN278" s="612"/>
      <c r="AO278" s="612"/>
      <c r="AP278" s="612"/>
      <c r="AQ278" s="612"/>
    </row>
    <row r="279" spans="1:43" ht="22.5" customHeight="1" thickBot="1">
      <c r="A279" s="580" t="s">
        <v>146</v>
      </c>
      <c r="B279" s="581"/>
      <c r="C279" s="582" t="s">
        <v>147</v>
      </c>
      <c r="D279" s="581"/>
      <c r="E279" s="582" t="s">
        <v>154</v>
      </c>
      <c r="F279" s="583"/>
      <c r="G279" s="583" t="s">
        <v>6</v>
      </c>
      <c r="H279" s="581"/>
      <c r="I279" s="583" t="s">
        <v>148</v>
      </c>
      <c r="J279" s="583"/>
      <c r="K279" s="581"/>
      <c r="L279" s="72" t="s">
        <v>2</v>
      </c>
      <c r="M279" s="72" t="s">
        <v>149</v>
      </c>
      <c r="N279" s="75" t="s">
        <v>150</v>
      </c>
      <c r="O279" s="582" t="s">
        <v>168</v>
      </c>
      <c r="P279" s="583"/>
      <c r="Q279" s="583"/>
      <c r="R279" s="583"/>
      <c r="S279" s="583"/>
      <c r="T279" s="583"/>
      <c r="U279" s="583"/>
      <c r="V279" s="583"/>
      <c r="W279" s="583"/>
      <c r="X279" s="583"/>
      <c r="Y279" s="583"/>
      <c r="Z279" s="583"/>
      <c r="AA279" s="583"/>
      <c r="AB279" s="583"/>
      <c r="AC279" s="583"/>
      <c r="AD279" s="583"/>
      <c r="AE279" s="583"/>
      <c r="AF279" s="581"/>
      <c r="AG279" s="583" t="s">
        <v>151</v>
      </c>
      <c r="AH279" s="583"/>
      <c r="AI279" s="583"/>
      <c r="AJ279" s="583"/>
      <c r="AK279" s="583"/>
      <c r="AL279" s="583"/>
      <c r="AM279" s="583"/>
      <c r="AN279" s="583"/>
      <c r="AO279" s="583"/>
      <c r="AP279" s="583"/>
      <c r="AQ279" s="584"/>
    </row>
    <row r="280" spans="1:43" ht="22.5" customHeight="1">
      <c r="A280" s="570">
        <f>A268+1</f>
        <v>211</v>
      </c>
      <c r="B280" s="571"/>
      <c r="C280" s="73" t="str">
        <f>IF(足元帳!AY212=1,"N",IF(足元帳!AY212=2,"R",""))</f>
        <v/>
      </c>
      <c r="D280" s="74" t="str">
        <f>IF(足元帳!AZ212&gt;0,VLOOKUP(足元帳!AZ212,管理シート!$CF$32:$CG$34,2,FALSE),"")</f>
        <v/>
      </c>
      <c r="E280" s="572" t="str">
        <f>IF(足元帳!BB212&gt;0,VLOOKUP(足元帳!BB212,管理シート!#REF!,2,FALSE),"")</f>
        <v/>
      </c>
      <c r="F280" s="573"/>
      <c r="G280" s="574">
        <f>足元帳!J212</f>
        <v>0</v>
      </c>
      <c r="H280" s="575"/>
      <c r="I280" s="574">
        <f>足元帳!K212</f>
        <v>0</v>
      </c>
      <c r="J280" s="576"/>
      <c r="K280" s="575"/>
      <c r="L280" s="73" t="str">
        <f ca="1">IF(足元帳!AB212="●","無",IF(足元帳!AC212="●","半",IF(AG280="周年","半",IF(AG280="プレ6","半",IF(AG280="6割","半","")))))</f>
        <v/>
      </c>
      <c r="M280" s="115" t="str">
        <f>IF(足元帳!AM212="","","○")&amp;IF(足元帳!AL212="","","○")</f>
        <v/>
      </c>
      <c r="N280" s="115" t="str">
        <f>IF(足元帳!AN212="","","○")</f>
        <v/>
      </c>
      <c r="O280" s="587" t="str">
        <f>IF(足元帳!U212="","",足元帳!U212)</f>
        <v/>
      </c>
      <c r="P280" s="565"/>
      <c r="Q280" s="565"/>
      <c r="R280" s="565" t="str">
        <f>IF(足元帳!V212="","",足元帳!V212)</f>
        <v/>
      </c>
      <c r="S280" s="565"/>
      <c r="T280" s="565"/>
      <c r="U280" s="565" t="str">
        <f>IF(足元帳!W212="","",足元帳!W212)</f>
        <v/>
      </c>
      <c r="V280" s="565"/>
      <c r="W280" s="565"/>
      <c r="X280" s="565" t="str">
        <f>IF(足元帳!X212="","",足元帳!X212)</f>
        <v/>
      </c>
      <c r="Y280" s="565"/>
      <c r="Z280" s="565"/>
      <c r="AA280" s="565" t="str">
        <f>IF(足元帳!Y212="","",足元帳!Y212)</f>
        <v/>
      </c>
      <c r="AB280" s="565"/>
      <c r="AC280" s="565"/>
      <c r="AD280" s="565" t="str">
        <f>IF(足元帳!Z212="","",足元帳!Z212)</f>
        <v/>
      </c>
      <c r="AE280" s="565"/>
      <c r="AF280" s="566"/>
      <c r="AG280" s="587" t="str">
        <f ca="1">IF(ISERROR(MATCH("●",足元帳!AD212:AM212,0)),IF(足元帳!AM212="","",足元帳!$AM$1&amp;足元帳!AM212),INDIRECT("足元帳!R1C"&amp;MATCH("●",足元帳!AD212:AM212,0)+29,FALSE))</f>
        <v/>
      </c>
      <c r="AH280" s="565"/>
      <c r="AI280" s="565"/>
      <c r="AJ280" s="565"/>
      <c r="AK280" s="565" t="str">
        <f>IF(足元帳!AT212="","",足元帳!AT212)</f>
        <v/>
      </c>
      <c r="AL280" s="565"/>
      <c r="AM280" s="565"/>
      <c r="AN280" s="565"/>
      <c r="AO280" s="565"/>
      <c r="AP280" s="565"/>
      <c r="AQ280" s="588"/>
    </row>
    <row r="281" spans="1:43" ht="22.5" customHeight="1">
      <c r="A281" s="586">
        <f>A280+1</f>
        <v>212</v>
      </c>
      <c r="B281" s="566"/>
      <c r="C281" s="73" t="str">
        <f>IF(足元帳!AY213=1,"N",IF(足元帳!AY213=2,"R",""))</f>
        <v/>
      </c>
      <c r="D281" s="74" t="str">
        <f>IF(足元帳!AZ213&gt;0,VLOOKUP(足元帳!AZ213,管理シート!$CF$32:$CG$34,2,FALSE),"")</f>
        <v/>
      </c>
      <c r="E281" s="572" t="str">
        <f>IF(足元帳!BB213&gt;0,VLOOKUP(足元帳!BB213,管理シート!#REF!,2,FALSE),"")</f>
        <v/>
      </c>
      <c r="F281" s="573"/>
      <c r="G281" s="574">
        <f>足元帳!J213</f>
        <v>0</v>
      </c>
      <c r="H281" s="575"/>
      <c r="I281" s="574">
        <f>足元帳!K213</f>
        <v>0</v>
      </c>
      <c r="J281" s="576"/>
      <c r="K281" s="575"/>
      <c r="L281" s="73" t="str">
        <f ca="1">IF(足元帳!AB213="●","無",IF(足元帳!AC213="●","半",IF(AG281="周年","半",IF(AG281="プレ6","半",IF(AG281="6割","半","")))))</f>
        <v/>
      </c>
      <c r="M281" s="115" t="str">
        <f>IF(足元帳!AM213="","","○")&amp;IF(足元帳!AL213="","","○")</f>
        <v/>
      </c>
      <c r="N281" s="115" t="str">
        <f>IF(足元帳!AN213="","","○")</f>
        <v/>
      </c>
      <c r="O281" s="587" t="str">
        <f>IF(足元帳!U213="","",足元帳!U213)</f>
        <v/>
      </c>
      <c r="P281" s="565"/>
      <c r="Q281" s="565"/>
      <c r="R281" s="565" t="str">
        <f>IF(足元帳!V213="","",足元帳!V213)</f>
        <v/>
      </c>
      <c r="S281" s="565"/>
      <c r="T281" s="565"/>
      <c r="U281" s="565" t="str">
        <f>IF(足元帳!W213="","",足元帳!W213)</f>
        <v/>
      </c>
      <c r="V281" s="565"/>
      <c r="W281" s="565"/>
      <c r="X281" s="565" t="str">
        <f>IF(足元帳!X213="","",足元帳!X213)</f>
        <v/>
      </c>
      <c r="Y281" s="565"/>
      <c r="Z281" s="565"/>
      <c r="AA281" s="565" t="str">
        <f>IF(足元帳!Y213="","",足元帳!Y213)</f>
        <v/>
      </c>
      <c r="AB281" s="565"/>
      <c r="AC281" s="565"/>
      <c r="AD281" s="565" t="str">
        <f>IF(足元帳!Z213="","",足元帳!Z213)</f>
        <v/>
      </c>
      <c r="AE281" s="565"/>
      <c r="AF281" s="566"/>
      <c r="AG281" s="587" t="str">
        <f ca="1">IF(ISERROR(MATCH("●",足元帳!AD213:AM213,0)),IF(足元帳!AM213="","",足元帳!$AM$1&amp;足元帳!AM213),INDIRECT("足元帳!R1C"&amp;MATCH("●",足元帳!AD213:AM213,0)+29,FALSE))</f>
        <v/>
      </c>
      <c r="AH281" s="565"/>
      <c r="AI281" s="565"/>
      <c r="AJ281" s="565"/>
      <c r="AK281" s="565" t="str">
        <f>IF(足元帳!AT213="","",足元帳!AT213)</f>
        <v/>
      </c>
      <c r="AL281" s="565"/>
      <c r="AM281" s="565"/>
      <c r="AN281" s="565"/>
      <c r="AO281" s="565"/>
      <c r="AP281" s="565"/>
      <c r="AQ281" s="588"/>
    </row>
    <row r="282" spans="1:43" ht="22.5" customHeight="1">
      <c r="A282" s="586">
        <f t="shared" ref="A282:A314" si="11">A281+1</f>
        <v>213</v>
      </c>
      <c r="B282" s="566"/>
      <c r="C282" s="73" t="str">
        <f>IF(足元帳!AY214=1,"N",IF(足元帳!AY214=2,"R",""))</f>
        <v/>
      </c>
      <c r="D282" s="74" t="str">
        <f>IF(足元帳!AZ214&gt;0,VLOOKUP(足元帳!AZ214,管理シート!$CF$32:$CG$34,2,FALSE),"")</f>
        <v/>
      </c>
      <c r="E282" s="572" t="str">
        <f>IF(足元帳!BB214&gt;0,VLOOKUP(足元帳!BB214,管理シート!#REF!,2,FALSE),"")</f>
        <v/>
      </c>
      <c r="F282" s="573"/>
      <c r="G282" s="574">
        <f>足元帳!J214</f>
        <v>0</v>
      </c>
      <c r="H282" s="575"/>
      <c r="I282" s="574">
        <f>足元帳!K214</f>
        <v>0</v>
      </c>
      <c r="J282" s="576"/>
      <c r="K282" s="575"/>
      <c r="L282" s="73" t="str">
        <f ca="1">IF(足元帳!AB214="●","無",IF(足元帳!AC214="●","半",IF(AG282="周年","半",IF(AG282="プレ6","半",IF(AG282="6割","半","")))))</f>
        <v/>
      </c>
      <c r="M282" s="115" t="str">
        <f>IF(足元帳!AM214="","","○")&amp;IF(足元帳!AL214="","","○")</f>
        <v/>
      </c>
      <c r="N282" s="115" t="str">
        <f>IF(足元帳!AN214="","","○")</f>
        <v/>
      </c>
      <c r="O282" s="587" t="str">
        <f>IF(足元帳!U214="","",足元帳!U214)</f>
        <v/>
      </c>
      <c r="P282" s="565"/>
      <c r="Q282" s="565"/>
      <c r="R282" s="565" t="str">
        <f>IF(足元帳!V214="","",足元帳!V214)</f>
        <v/>
      </c>
      <c r="S282" s="565"/>
      <c r="T282" s="565"/>
      <c r="U282" s="565" t="str">
        <f>IF(足元帳!W214="","",足元帳!W214)</f>
        <v/>
      </c>
      <c r="V282" s="565"/>
      <c r="W282" s="565"/>
      <c r="X282" s="565" t="str">
        <f>IF(足元帳!X214="","",足元帳!X214)</f>
        <v/>
      </c>
      <c r="Y282" s="565"/>
      <c r="Z282" s="565"/>
      <c r="AA282" s="565" t="str">
        <f>IF(足元帳!Y214="","",足元帳!Y214)</f>
        <v/>
      </c>
      <c r="AB282" s="565"/>
      <c r="AC282" s="565"/>
      <c r="AD282" s="565" t="str">
        <f>IF(足元帳!Z214="","",足元帳!Z214)</f>
        <v/>
      </c>
      <c r="AE282" s="565"/>
      <c r="AF282" s="566"/>
      <c r="AG282" s="587" t="str">
        <f ca="1">IF(ISERROR(MATCH("●",足元帳!AD214:AM214,0)),IF(足元帳!AM214="","",足元帳!$AM$1&amp;足元帳!AM214),INDIRECT("足元帳!R1C"&amp;MATCH("●",足元帳!AD214:AM214,0)+29,FALSE))</f>
        <v/>
      </c>
      <c r="AH282" s="565"/>
      <c r="AI282" s="565"/>
      <c r="AJ282" s="565"/>
      <c r="AK282" s="565" t="str">
        <f>IF(足元帳!AT214="","",足元帳!AT214)</f>
        <v/>
      </c>
      <c r="AL282" s="565"/>
      <c r="AM282" s="565"/>
      <c r="AN282" s="565"/>
      <c r="AO282" s="565"/>
      <c r="AP282" s="565"/>
      <c r="AQ282" s="588"/>
    </row>
    <row r="283" spans="1:43" ht="22.5" customHeight="1">
      <c r="A283" s="586">
        <f t="shared" si="11"/>
        <v>214</v>
      </c>
      <c r="B283" s="566"/>
      <c r="C283" s="73" t="str">
        <f>IF(足元帳!AY215=1,"N",IF(足元帳!AY215=2,"R",""))</f>
        <v/>
      </c>
      <c r="D283" s="74" t="str">
        <f>IF(足元帳!AZ215&gt;0,VLOOKUP(足元帳!AZ215,管理シート!$CF$32:$CG$34,2,FALSE),"")</f>
        <v/>
      </c>
      <c r="E283" s="572" t="str">
        <f>IF(足元帳!BB215&gt;0,VLOOKUP(足元帳!BB215,管理シート!#REF!,2,FALSE),"")</f>
        <v/>
      </c>
      <c r="F283" s="573"/>
      <c r="G283" s="574">
        <f>足元帳!J215</f>
        <v>0</v>
      </c>
      <c r="H283" s="575"/>
      <c r="I283" s="574">
        <f>足元帳!K215</f>
        <v>0</v>
      </c>
      <c r="J283" s="576"/>
      <c r="K283" s="575"/>
      <c r="L283" s="73" t="str">
        <f ca="1">IF(足元帳!AB215="●","無",IF(足元帳!AC215="●","半",IF(AG283="周年","半",IF(AG283="プレ6","半",IF(AG283="6割","半","")))))</f>
        <v/>
      </c>
      <c r="M283" s="115" t="str">
        <f>IF(足元帳!AM215="","","○")&amp;IF(足元帳!AL215="","","○")</f>
        <v/>
      </c>
      <c r="N283" s="115" t="str">
        <f>IF(足元帳!AN215="","","○")</f>
        <v/>
      </c>
      <c r="O283" s="587" t="str">
        <f>IF(足元帳!U215="","",足元帳!U215)</f>
        <v/>
      </c>
      <c r="P283" s="565"/>
      <c r="Q283" s="565"/>
      <c r="R283" s="565" t="str">
        <f>IF(足元帳!V215="","",足元帳!V215)</f>
        <v/>
      </c>
      <c r="S283" s="565"/>
      <c r="T283" s="565"/>
      <c r="U283" s="565" t="str">
        <f>IF(足元帳!W215="","",足元帳!W215)</f>
        <v/>
      </c>
      <c r="V283" s="565"/>
      <c r="W283" s="565"/>
      <c r="X283" s="565" t="str">
        <f>IF(足元帳!X215="","",足元帳!X215)</f>
        <v/>
      </c>
      <c r="Y283" s="565"/>
      <c r="Z283" s="565"/>
      <c r="AA283" s="565" t="str">
        <f>IF(足元帳!Y215="","",足元帳!Y215)</f>
        <v/>
      </c>
      <c r="AB283" s="565"/>
      <c r="AC283" s="565"/>
      <c r="AD283" s="565" t="str">
        <f>IF(足元帳!Z215="","",足元帳!Z215)</f>
        <v/>
      </c>
      <c r="AE283" s="565"/>
      <c r="AF283" s="566"/>
      <c r="AG283" s="587" t="str">
        <f ca="1">IF(ISERROR(MATCH("●",足元帳!AD215:AM215,0)),IF(足元帳!AM215="","",足元帳!$AM$1&amp;足元帳!AM215),INDIRECT("足元帳!R1C"&amp;MATCH("●",足元帳!AD215:AM215,0)+29,FALSE))</f>
        <v/>
      </c>
      <c r="AH283" s="565"/>
      <c r="AI283" s="565"/>
      <c r="AJ283" s="565"/>
      <c r="AK283" s="565" t="str">
        <f>IF(足元帳!AT215="","",足元帳!AT215)</f>
        <v/>
      </c>
      <c r="AL283" s="565"/>
      <c r="AM283" s="565"/>
      <c r="AN283" s="565"/>
      <c r="AO283" s="565"/>
      <c r="AP283" s="565"/>
      <c r="AQ283" s="588"/>
    </row>
    <row r="284" spans="1:43" ht="22.5" customHeight="1">
      <c r="A284" s="586">
        <f t="shared" si="11"/>
        <v>215</v>
      </c>
      <c r="B284" s="566"/>
      <c r="C284" s="73" t="str">
        <f>IF(足元帳!AY216=1,"N",IF(足元帳!AY216=2,"R",""))</f>
        <v/>
      </c>
      <c r="D284" s="74" t="str">
        <f>IF(足元帳!AZ216&gt;0,VLOOKUP(足元帳!AZ216,管理シート!$CF$32:$CG$34,2,FALSE),"")</f>
        <v/>
      </c>
      <c r="E284" s="572" t="str">
        <f>IF(足元帳!BB216&gt;0,VLOOKUP(足元帳!BB216,管理シート!#REF!,2,FALSE),"")</f>
        <v/>
      </c>
      <c r="F284" s="573"/>
      <c r="G284" s="574">
        <f>足元帳!J216</f>
        <v>0</v>
      </c>
      <c r="H284" s="575"/>
      <c r="I284" s="574">
        <f>足元帳!K216</f>
        <v>0</v>
      </c>
      <c r="J284" s="576"/>
      <c r="K284" s="575"/>
      <c r="L284" s="73" t="str">
        <f ca="1">IF(足元帳!AB216="●","無",IF(足元帳!AC216="●","半",IF(AG284="周年","半",IF(AG284="プレ6","半",IF(AG284="6割","半","")))))</f>
        <v/>
      </c>
      <c r="M284" s="115" t="str">
        <f>IF(足元帳!AM216="","","○")&amp;IF(足元帳!AL216="","","○")</f>
        <v/>
      </c>
      <c r="N284" s="115" t="str">
        <f>IF(足元帳!AN216="","","○")</f>
        <v/>
      </c>
      <c r="O284" s="587" t="str">
        <f>IF(足元帳!U216="","",足元帳!U216)</f>
        <v/>
      </c>
      <c r="P284" s="565"/>
      <c r="Q284" s="565"/>
      <c r="R284" s="565" t="str">
        <f>IF(足元帳!V216="","",足元帳!V216)</f>
        <v/>
      </c>
      <c r="S284" s="565"/>
      <c r="T284" s="565"/>
      <c r="U284" s="565" t="str">
        <f>IF(足元帳!W216="","",足元帳!W216)</f>
        <v/>
      </c>
      <c r="V284" s="565"/>
      <c r="W284" s="565"/>
      <c r="X284" s="565" t="str">
        <f>IF(足元帳!X216="","",足元帳!X216)</f>
        <v/>
      </c>
      <c r="Y284" s="565"/>
      <c r="Z284" s="565"/>
      <c r="AA284" s="565" t="str">
        <f>IF(足元帳!Y216="","",足元帳!Y216)</f>
        <v/>
      </c>
      <c r="AB284" s="565"/>
      <c r="AC284" s="565"/>
      <c r="AD284" s="565" t="str">
        <f>IF(足元帳!Z216="","",足元帳!Z216)</f>
        <v/>
      </c>
      <c r="AE284" s="565"/>
      <c r="AF284" s="566"/>
      <c r="AG284" s="587" t="str">
        <f ca="1">IF(ISERROR(MATCH("●",足元帳!AD216:AM216,0)),IF(足元帳!AM216="","",足元帳!$AM$1&amp;足元帳!AM216),INDIRECT("足元帳!R1C"&amp;MATCH("●",足元帳!AD216:AM216,0)+29,FALSE))</f>
        <v/>
      </c>
      <c r="AH284" s="565"/>
      <c r="AI284" s="565"/>
      <c r="AJ284" s="565"/>
      <c r="AK284" s="565" t="str">
        <f>IF(足元帳!AT216="","",足元帳!AT216)</f>
        <v/>
      </c>
      <c r="AL284" s="565"/>
      <c r="AM284" s="565"/>
      <c r="AN284" s="565"/>
      <c r="AO284" s="565"/>
      <c r="AP284" s="565"/>
      <c r="AQ284" s="588"/>
    </row>
    <row r="285" spans="1:43" ht="22.5" customHeight="1">
      <c r="A285" s="586">
        <f t="shared" si="11"/>
        <v>216</v>
      </c>
      <c r="B285" s="566"/>
      <c r="C285" s="73" t="str">
        <f>IF(足元帳!AY217=1,"N",IF(足元帳!AY217=2,"R",""))</f>
        <v/>
      </c>
      <c r="D285" s="74" t="str">
        <f>IF(足元帳!AZ217&gt;0,VLOOKUP(足元帳!AZ217,管理シート!$CF$32:$CG$34,2,FALSE),"")</f>
        <v/>
      </c>
      <c r="E285" s="572" t="str">
        <f>IF(足元帳!BB217&gt;0,VLOOKUP(足元帳!BB217,管理シート!#REF!,2,FALSE),"")</f>
        <v/>
      </c>
      <c r="F285" s="573"/>
      <c r="G285" s="574">
        <f>足元帳!J217</f>
        <v>0</v>
      </c>
      <c r="H285" s="575"/>
      <c r="I285" s="574">
        <f>足元帳!K217</f>
        <v>0</v>
      </c>
      <c r="J285" s="576"/>
      <c r="K285" s="575"/>
      <c r="L285" s="73" t="str">
        <f ca="1">IF(足元帳!AB217="●","無",IF(足元帳!AC217="●","半",IF(AG285="周年","半",IF(AG285="プレ6","半",IF(AG285="6割","半","")))))</f>
        <v/>
      </c>
      <c r="M285" s="115" t="str">
        <f>IF(足元帳!AM217="","","○")&amp;IF(足元帳!AL217="","","○")</f>
        <v/>
      </c>
      <c r="N285" s="115" t="str">
        <f>IF(足元帳!AN217="","","○")</f>
        <v/>
      </c>
      <c r="O285" s="587" t="str">
        <f>IF(足元帳!U217="","",足元帳!U217)</f>
        <v/>
      </c>
      <c r="P285" s="565"/>
      <c r="Q285" s="565"/>
      <c r="R285" s="565" t="str">
        <f>IF(足元帳!V217="","",足元帳!V217)</f>
        <v/>
      </c>
      <c r="S285" s="565"/>
      <c r="T285" s="565"/>
      <c r="U285" s="565" t="str">
        <f>IF(足元帳!W217="","",足元帳!W217)</f>
        <v/>
      </c>
      <c r="V285" s="565"/>
      <c r="W285" s="565"/>
      <c r="X285" s="565" t="str">
        <f>IF(足元帳!X217="","",足元帳!X217)</f>
        <v/>
      </c>
      <c r="Y285" s="565"/>
      <c r="Z285" s="565"/>
      <c r="AA285" s="565" t="str">
        <f>IF(足元帳!Y217="","",足元帳!Y217)</f>
        <v/>
      </c>
      <c r="AB285" s="565"/>
      <c r="AC285" s="565"/>
      <c r="AD285" s="565" t="str">
        <f>IF(足元帳!Z217="","",足元帳!Z217)</f>
        <v/>
      </c>
      <c r="AE285" s="565"/>
      <c r="AF285" s="566"/>
      <c r="AG285" s="587" t="str">
        <f ca="1">IF(ISERROR(MATCH("●",足元帳!AD217:AM217,0)),IF(足元帳!AM217="","",足元帳!$AM$1&amp;足元帳!AM217),INDIRECT("足元帳!R1C"&amp;MATCH("●",足元帳!AD217:AM217,0)+29,FALSE))</f>
        <v/>
      </c>
      <c r="AH285" s="565"/>
      <c r="AI285" s="565"/>
      <c r="AJ285" s="565"/>
      <c r="AK285" s="565" t="str">
        <f>IF(足元帳!AT217="","",足元帳!AT217)</f>
        <v/>
      </c>
      <c r="AL285" s="565"/>
      <c r="AM285" s="565"/>
      <c r="AN285" s="565"/>
      <c r="AO285" s="565"/>
      <c r="AP285" s="565"/>
      <c r="AQ285" s="588"/>
    </row>
    <row r="286" spans="1:43" ht="22.5" customHeight="1">
      <c r="A286" s="586">
        <f t="shared" si="11"/>
        <v>217</v>
      </c>
      <c r="B286" s="566"/>
      <c r="C286" s="73" t="str">
        <f>IF(足元帳!AY218=1,"N",IF(足元帳!AY218=2,"R",""))</f>
        <v/>
      </c>
      <c r="D286" s="74" t="str">
        <f>IF(足元帳!AZ218&gt;0,VLOOKUP(足元帳!AZ218,管理シート!$CF$32:$CG$34,2,FALSE),"")</f>
        <v/>
      </c>
      <c r="E286" s="572" t="str">
        <f>IF(足元帳!BB218&gt;0,VLOOKUP(足元帳!BB218,管理シート!#REF!,2,FALSE),"")</f>
        <v/>
      </c>
      <c r="F286" s="573"/>
      <c r="G286" s="574">
        <f>足元帳!J218</f>
        <v>0</v>
      </c>
      <c r="H286" s="575"/>
      <c r="I286" s="574">
        <f>足元帳!K218</f>
        <v>0</v>
      </c>
      <c r="J286" s="576"/>
      <c r="K286" s="575"/>
      <c r="L286" s="73" t="str">
        <f ca="1">IF(足元帳!AB218="●","無",IF(足元帳!AC218="●","半",IF(AG286="周年","半",IF(AG286="プレ6","半",IF(AG286="6割","半","")))))</f>
        <v/>
      </c>
      <c r="M286" s="115" t="str">
        <f>IF(足元帳!AM218="","","○")&amp;IF(足元帳!AL218="","","○")</f>
        <v/>
      </c>
      <c r="N286" s="115" t="str">
        <f>IF(足元帳!AN218="","","○")</f>
        <v/>
      </c>
      <c r="O286" s="587" t="str">
        <f>IF(足元帳!U218="","",足元帳!U218)</f>
        <v/>
      </c>
      <c r="P286" s="565"/>
      <c r="Q286" s="565"/>
      <c r="R286" s="565" t="str">
        <f>IF(足元帳!V218="","",足元帳!V218)</f>
        <v/>
      </c>
      <c r="S286" s="565"/>
      <c r="T286" s="565"/>
      <c r="U286" s="565" t="str">
        <f>IF(足元帳!W218="","",足元帳!W218)</f>
        <v/>
      </c>
      <c r="V286" s="565"/>
      <c r="W286" s="565"/>
      <c r="X286" s="565" t="str">
        <f>IF(足元帳!X218="","",足元帳!X218)</f>
        <v/>
      </c>
      <c r="Y286" s="565"/>
      <c r="Z286" s="565"/>
      <c r="AA286" s="565" t="str">
        <f>IF(足元帳!Y218="","",足元帳!Y218)</f>
        <v/>
      </c>
      <c r="AB286" s="565"/>
      <c r="AC286" s="565"/>
      <c r="AD286" s="565" t="str">
        <f>IF(足元帳!Z218="","",足元帳!Z218)</f>
        <v/>
      </c>
      <c r="AE286" s="565"/>
      <c r="AF286" s="566"/>
      <c r="AG286" s="587" t="str">
        <f ca="1">IF(ISERROR(MATCH("●",足元帳!AD218:AM218,0)),IF(足元帳!AM218="","",足元帳!$AM$1&amp;足元帳!AM218),INDIRECT("足元帳!R1C"&amp;MATCH("●",足元帳!AD218:AM218,0)+29,FALSE))</f>
        <v/>
      </c>
      <c r="AH286" s="565"/>
      <c r="AI286" s="565"/>
      <c r="AJ286" s="565"/>
      <c r="AK286" s="565" t="str">
        <f>IF(足元帳!AT218="","",足元帳!AT218)</f>
        <v/>
      </c>
      <c r="AL286" s="565"/>
      <c r="AM286" s="565"/>
      <c r="AN286" s="565"/>
      <c r="AO286" s="565"/>
      <c r="AP286" s="565"/>
      <c r="AQ286" s="588"/>
    </row>
    <row r="287" spans="1:43" ht="22.5" customHeight="1">
      <c r="A287" s="586">
        <f t="shared" si="11"/>
        <v>218</v>
      </c>
      <c r="B287" s="566"/>
      <c r="C287" s="73" t="str">
        <f>IF(足元帳!AY219=1,"N",IF(足元帳!AY219=2,"R",""))</f>
        <v/>
      </c>
      <c r="D287" s="74" t="str">
        <f>IF(足元帳!AZ219&gt;0,VLOOKUP(足元帳!AZ219,管理シート!$CF$32:$CG$34,2,FALSE),"")</f>
        <v/>
      </c>
      <c r="E287" s="572" t="str">
        <f>IF(足元帳!BB219&gt;0,VLOOKUP(足元帳!BB219,管理シート!#REF!,2,FALSE),"")</f>
        <v/>
      </c>
      <c r="F287" s="573"/>
      <c r="G287" s="574">
        <f>足元帳!J219</f>
        <v>0</v>
      </c>
      <c r="H287" s="575"/>
      <c r="I287" s="574">
        <f>足元帳!K219</f>
        <v>0</v>
      </c>
      <c r="J287" s="576"/>
      <c r="K287" s="575"/>
      <c r="L287" s="73" t="str">
        <f ca="1">IF(足元帳!AB219="●","無",IF(足元帳!AC219="●","半",IF(AG287="周年","半",IF(AG287="プレ6","半",IF(AG287="6割","半","")))))</f>
        <v/>
      </c>
      <c r="M287" s="115" t="str">
        <f>IF(足元帳!AM219="","","○")&amp;IF(足元帳!AL219="","","○")</f>
        <v/>
      </c>
      <c r="N287" s="115" t="str">
        <f>IF(足元帳!AN219="","","○")</f>
        <v/>
      </c>
      <c r="O287" s="587" t="str">
        <f>IF(足元帳!U219="","",足元帳!U219)</f>
        <v/>
      </c>
      <c r="P287" s="565"/>
      <c r="Q287" s="565"/>
      <c r="R287" s="565" t="str">
        <f>IF(足元帳!V219="","",足元帳!V219)</f>
        <v/>
      </c>
      <c r="S287" s="565"/>
      <c r="T287" s="565"/>
      <c r="U287" s="565" t="str">
        <f>IF(足元帳!W219="","",足元帳!W219)</f>
        <v/>
      </c>
      <c r="V287" s="565"/>
      <c r="W287" s="565"/>
      <c r="X287" s="565" t="str">
        <f>IF(足元帳!X219="","",足元帳!X219)</f>
        <v/>
      </c>
      <c r="Y287" s="565"/>
      <c r="Z287" s="565"/>
      <c r="AA287" s="565" t="str">
        <f>IF(足元帳!Y219="","",足元帳!Y219)</f>
        <v/>
      </c>
      <c r="AB287" s="565"/>
      <c r="AC287" s="565"/>
      <c r="AD287" s="565" t="str">
        <f>IF(足元帳!Z219="","",足元帳!Z219)</f>
        <v/>
      </c>
      <c r="AE287" s="565"/>
      <c r="AF287" s="566"/>
      <c r="AG287" s="587" t="str">
        <f ca="1">IF(ISERROR(MATCH("●",足元帳!AD219:AM219,0)),IF(足元帳!AM219="","",足元帳!$AM$1&amp;足元帳!AM219),INDIRECT("足元帳!R1C"&amp;MATCH("●",足元帳!AD219:AM219,0)+29,FALSE))</f>
        <v/>
      </c>
      <c r="AH287" s="565"/>
      <c r="AI287" s="565"/>
      <c r="AJ287" s="565"/>
      <c r="AK287" s="565" t="str">
        <f>IF(足元帳!AT219="","",足元帳!AT219)</f>
        <v/>
      </c>
      <c r="AL287" s="565"/>
      <c r="AM287" s="565"/>
      <c r="AN287" s="565"/>
      <c r="AO287" s="565"/>
      <c r="AP287" s="565"/>
      <c r="AQ287" s="588"/>
    </row>
    <row r="288" spans="1:43" ht="22.5" customHeight="1">
      <c r="A288" s="586">
        <f t="shared" si="11"/>
        <v>219</v>
      </c>
      <c r="B288" s="566"/>
      <c r="C288" s="73" t="str">
        <f>IF(足元帳!AY220=1,"N",IF(足元帳!AY220=2,"R",""))</f>
        <v/>
      </c>
      <c r="D288" s="74" t="str">
        <f>IF(足元帳!AZ220&gt;0,VLOOKUP(足元帳!AZ220,管理シート!$CF$32:$CG$34,2,FALSE),"")</f>
        <v/>
      </c>
      <c r="E288" s="572" t="str">
        <f>IF(足元帳!BB220&gt;0,VLOOKUP(足元帳!BB220,管理シート!#REF!,2,FALSE),"")</f>
        <v/>
      </c>
      <c r="F288" s="573"/>
      <c r="G288" s="574">
        <f>足元帳!J220</f>
        <v>0</v>
      </c>
      <c r="H288" s="575"/>
      <c r="I288" s="574">
        <f>足元帳!K220</f>
        <v>0</v>
      </c>
      <c r="J288" s="576"/>
      <c r="K288" s="575"/>
      <c r="L288" s="73" t="str">
        <f ca="1">IF(足元帳!AB220="●","無",IF(足元帳!AC220="●","半",IF(AG288="周年","半",IF(AG288="プレ6","半",IF(AG288="6割","半","")))))</f>
        <v/>
      </c>
      <c r="M288" s="115" t="str">
        <f>IF(足元帳!AM220="","","○")&amp;IF(足元帳!AL220="","","○")</f>
        <v/>
      </c>
      <c r="N288" s="115" t="str">
        <f>IF(足元帳!AN220="","","○")</f>
        <v/>
      </c>
      <c r="O288" s="587" t="str">
        <f>IF(足元帳!U220="","",足元帳!U220)</f>
        <v/>
      </c>
      <c r="P288" s="565"/>
      <c r="Q288" s="565"/>
      <c r="R288" s="565" t="str">
        <f>IF(足元帳!V220="","",足元帳!V220)</f>
        <v/>
      </c>
      <c r="S288" s="565"/>
      <c r="T288" s="565"/>
      <c r="U288" s="565" t="str">
        <f>IF(足元帳!W220="","",足元帳!W220)</f>
        <v/>
      </c>
      <c r="V288" s="565"/>
      <c r="W288" s="565"/>
      <c r="X288" s="565" t="str">
        <f>IF(足元帳!X220="","",足元帳!X220)</f>
        <v/>
      </c>
      <c r="Y288" s="565"/>
      <c r="Z288" s="565"/>
      <c r="AA288" s="565" t="str">
        <f>IF(足元帳!Y220="","",足元帳!Y220)</f>
        <v/>
      </c>
      <c r="AB288" s="565"/>
      <c r="AC288" s="565"/>
      <c r="AD288" s="565" t="str">
        <f>IF(足元帳!Z220="","",足元帳!Z220)</f>
        <v/>
      </c>
      <c r="AE288" s="565"/>
      <c r="AF288" s="566"/>
      <c r="AG288" s="587" t="str">
        <f ca="1">IF(ISERROR(MATCH("●",足元帳!AD220:AM220,0)),IF(足元帳!AM220="","",足元帳!$AM$1&amp;足元帳!AM220),INDIRECT("足元帳!R1C"&amp;MATCH("●",足元帳!AD220:AM220,0)+29,FALSE))</f>
        <v/>
      </c>
      <c r="AH288" s="565"/>
      <c r="AI288" s="565"/>
      <c r="AJ288" s="565"/>
      <c r="AK288" s="565" t="str">
        <f>IF(足元帳!AT220="","",足元帳!AT220)</f>
        <v/>
      </c>
      <c r="AL288" s="565"/>
      <c r="AM288" s="565"/>
      <c r="AN288" s="565"/>
      <c r="AO288" s="565"/>
      <c r="AP288" s="565"/>
      <c r="AQ288" s="588"/>
    </row>
    <row r="289" spans="1:43" ht="22.5" customHeight="1">
      <c r="A289" s="586">
        <f t="shared" si="11"/>
        <v>220</v>
      </c>
      <c r="B289" s="566"/>
      <c r="C289" s="73" t="str">
        <f>IF(足元帳!AY221=1,"N",IF(足元帳!AY221=2,"R",""))</f>
        <v/>
      </c>
      <c r="D289" s="74" t="str">
        <f>IF(足元帳!AZ221&gt;0,VLOOKUP(足元帳!AZ221,管理シート!$CF$32:$CG$34,2,FALSE),"")</f>
        <v/>
      </c>
      <c r="E289" s="572" t="str">
        <f>IF(足元帳!BB221&gt;0,VLOOKUP(足元帳!BB221,管理シート!#REF!,2,FALSE),"")</f>
        <v/>
      </c>
      <c r="F289" s="573"/>
      <c r="G289" s="574">
        <f>足元帳!J221</f>
        <v>0</v>
      </c>
      <c r="H289" s="575"/>
      <c r="I289" s="574">
        <f>足元帳!K221</f>
        <v>0</v>
      </c>
      <c r="J289" s="576"/>
      <c r="K289" s="575"/>
      <c r="L289" s="73" t="str">
        <f ca="1">IF(足元帳!AB221="●","無",IF(足元帳!AC221="●","半",IF(AG289="周年","半",IF(AG289="プレ6","半",IF(AG289="6割","半","")))))</f>
        <v/>
      </c>
      <c r="M289" s="115" t="str">
        <f>IF(足元帳!AM221="","","○")&amp;IF(足元帳!AL221="","","○")</f>
        <v/>
      </c>
      <c r="N289" s="115" t="str">
        <f>IF(足元帳!AN221="","","○")</f>
        <v/>
      </c>
      <c r="O289" s="587" t="str">
        <f>IF(足元帳!U221="","",足元帳!U221)</f>
        <v/>
      </c>
      <c r="P289" s="565"/>
      <c r="Q289" s="565"/>
      <c r="R289" s="565" t="str">
        <f>IF(足元帳!V221="","",足元帳!V221)</f>
        <v/>
      </c>
      <c r="S289" s="565"/>
      <c r="T289" s="565"/>
      <c r="U289" s="565" t="str">
        <f>IF(足元帳!W221="","",足元帳!W221)</f>
        <v/>
      </c>
      <c r="V289" s="565"/>
      <c r="W289" s="565"/>
      <c r="X289" s="565" t="str">
        <f>IF(足元帳!X221="","",足元帳!X221)</f>
        <v/>
      </c>
      <c r="Y289" s="565"/>
      <c r="Z289" s="565"/>
      <c r="AA289" s="565" t="str">
        <f>IF(足元帳!Y221="","",足元帳!Y221)</f>
        <v/>
      </c>
      <c r="AB289" s="565"/>
      <c r="AC289" s="565"/>
      <c r="AD289" s="565" t="str">
        <f>IF(足元帳!Z221="","",足元帳!Z221)</f>
        <v/>
      </c>
      <c r="AE289" s="565"/>
      <c r="AF289" s="566"/>
      <c r="AG289" s="587" t="str">
        <f ca="1">IF(ISERROR(MATCH("●",足元帳!AD221:AM221,0)),IF(足元帳!AM221="","",足元帳!$AM$1&amp;足元帳!AM221),INDIRECT("足元帳!R1C"&amp;MATCH("●",足元帳!AD221:AM221,0)+29,FALSE))</f>
        <v/>
      </c>
      <c r="AH289" s="565"/>
      <c r="AI289" s="565"/>
      <c r="AJ289" s="565"/>
      <c r="AK289" s="565" t="str">
        <f>IF(足元帳!AT221="","",足元帳!AT221)</f>
        <v/>
      </c>
      <c r="AL289" s="565"/>
      <c r="AM289" s="565"/>
      <c r="AN289" s="565"/>
      <c r="AO289" s="565"/>
      <c r="AP289" s="565"/>
      <c r="AQ289" s="588"/>
    </row>
    <row r="290" spans="1:43" ht="22.5" customHeight="1">
      <c r="A290" s="586">
        <f t="shared" si="11"/>
        <v>221</v>
      </c>
      <c r="B290" s="566"/>
      <c r="C290" s="73" t="str">
        <f>IF(足元帳!AY222=1,"N",IF(足元帳!AY222=2,"R",""))</f>
        <v/>
      </c>
      <c r="D290" s="74" t="str">
        <f>IF(足元帳!AZ222&gt;0,VLOOKUP(足元帳!AZ222,管理シート!$CF$32:$CG$34,2,FALSE),"")</f>
        <v/>
      </c>
      <c r="E290" s="572" t="str">
        <f>IF(足元帳!BB222&gt;0,VLOOKUP(足元帳!BB222,管理シート!#REF!,2,FALSE),"")</f>
        <v/>
      </c>
      <c r="F290" s="573"/>
      <c r="G290" s="574">
        <f>足元帳!J222</f>
        <v>0</v>
      </c>
      <c r="H290" s="575"/>
      <c r="I290" s="574">
        <f>足元帳!K222</f>
        <v>0</v>
      </c>
      <c r="J290" s="576"/>
      <c r="K290" s="575"/>
      <c r="L290" s="73" t="str">
        <f ca="1">IF(足元帳!AB222="●","無",IF(足元帳!AC222="●","半",IF(AG290="周年","半",IF(AG290="プレ6","半",IF(AG290="6割","半","")))))</f>
        <v/>
      </c>
      <c r="M290" s="115" t="str">
        <f>IF(足元帳!AM222="","","○")&amp;IF(足元帳!AL222="","","○")</f>
        <v/>
      </c>
      <c r="N290" s="115" t="str">
        <f>IF(足元帳!AN222="","","○")</f>
        <v/>
      </c>
      <c r="O290" s="587" t="str">
        <f>IF(足元帳!U222="","",足元帳!U222)</f>
        <v/>
      </c>
      <c r="P290" s="565"/>
      <c r="Q290" s="565"/>
      <c r="R290" s="565" t="str">
        <f>IF(足元帳!V222="","",足元帳!V222)</f>
        <v/>
      </c>
      <c r="S290" s="565"/>
      <c r="T290" s="565"/>
      <c r="U290" s="565" t="str">
        <f>IF(足元帳!W222="","",足元帳!W222)</f>
        <v/>
      </c>
      <c r="V290" s="565"/>
      <c r="W290" s="565"/>
      <c r="X290" s="565" t="str">
        <f>IF(足元帳!X222="","",足元帳!X222)</f>
        <v/>
      </c>
      <c r="Y290" s="565"/>
      <c r="Z290" s="565"/>
      <c r="AA290" s="565" t="str">
        <f>IF(足元帳!Y222="","",足元帳!Y222)</f>
        <v/>
      </c>
      <c r="AB290" s="565"/>
      <c r="AC290" s="565"/>
      <c r="AD290" s="565" t="str">
        <f>IF(足元帳!Z222="","",足元帳!Z222)</f>
        <v/>
      </c>
      <c r="AE290" s="565"/>
      <c r="AF290" s="566"/>
      <c r="AG290" s="587" t="str">
        <f ca="1">IF(ISERROR(MATCH("●",足元帳!AD222:AM222,0)),IF(足元帳!AM222="","",足元帳!$AM$1&amp;足元帳!AM222),INDIRECT("足元帳!R1C"&amp;MATCH("●",足元帳!AD222:AM222,0)+29,FALSE))</f>
        <v/>
      </c>
      <c r="AH290" s="565"/>
      <c r="AI290" s="565"/>
      <c r="AJ290" s="565"/>
      <c r="AK290" s="565" t="str">
        <f>IF(足元帳!AT222="","",足元帳!AT222)</f>
        <v/>
      </c>
      <c r="AL290" s="565"/>
      <c r="AM290" s="565"/>
      <c r="AN290" s="565"/>
      <c r="AO290" s="565"/>
      <c r="AP290" s="565"/>
      <c r="AQ290" s="588"/>
    </row>
    <row r="291" spans="1:43" ht="22.5" customHeight="1">
      <c r="A291" s="586">
        <f t="shared" si="11"/>
        <v>222</v>
      </c>
      <c r="B291" s="566"/>
      <c r="C291" s="73" t="str">
        <f>IF(足元帳!AY223=1,"N",IF(足元帳!AY223=2,"R",""))</f>
        <v/>
      </c>
      <c r="D291" s="74" t="str">
        <f>IF(足元帳!AZ223&gt;0,VLOOKUP(足元帳!AZ223,管理シート!$CF$32:$CG$34,2,FALSE),"")</f>
        <v/>
      </c>
      <c r="E291" s="572" t="str">
        <f>IF(足元帳!BB223&gt;0,VLOOKUP(足元帳!BB223,管理シート!#REF!,2,FALSE),"")</f>
        <v/>
      </c>
      <c r="F291" s="573"/>
      <c r="G291" s="574">
        <f>足元帳!J223</f>
        <v>0</v>
      </c>
      <c r="H291" s="575"/>
      <c r="I291" s="574">
        <f>足元帳!K223</f>
        <v>0</v>
      </c>
      <c r="J291" s="576"/>
      <c r="K291" s="575"/>
      <c r="L291" s="73" t="str">
        <f ca="1">IF(足元帳!AB223="●","無",IF(足元帳!AC223="●","半",IF(AG291="周年","半",IF(AG291="プレ6","半",IF(AG291="6割","半","")))))</f>
        <v/>
      </c>
      <c r="M291" s="115" t="str">
        <f>IF(足元帳!AM223="","","○")&amp;IF(足元帳!AL223="","","○")</f>
        <v/>
      </c>
      <c r="N291" s="115" t="str">
        <f>IF(足元帳!AN223="","","○")</f>
        <v/>
      </c>
      <c r="O291" s="587" t="str">
        <f>IF(足元帳!U223="","",足元帳!U223)</f>
        <v/>
      </c>
      <c r="P291" s="565"/>
      <c r="Q291" s="565"/>
      <c r="R291" s="565" t="str">
        <f>IF(足元帳!V223="","",足元帳!V223)</f>
        <v/>
      </c>
      <c r="S291" s="565"/>
      <c r="T291" s="565"/>
      <c r="U291" s="565" t="str">
        <f>IF(足元帳!W223="","",足元帳!W223)</f>
        <v/>
      </c>
      <c r="V291" s="565"/>
      <c r="W291" s="565"/>
      <c r="X291" s="565" t="str">
        <f>IF(足元帳!X223="","",足元帳!X223)</f>
        <v/>
      </c>
      <c r="Y291" s="565"/>
      <c r="Z291" s="565"/>
      <c r="AA291" s="565" t="str">
        <f>IF(足元帳!Y223="","",足元帳!Y223)</f>
        <v/>
      </c>
      <c r="AB291" s="565"/>
      <c r="AC291" s="565"/>
      <c r="AD291" s="565" t="str">
        <f>IF(足元帳!Z223="","",足元帳!Z223)</f>
        <v/>
      </c>
      <c r="AE291" s="565"/>
      <c r="AF291" s="566"/>
      <c r="AG291" s="587" t="str">
        <f ca="1">IF(ISERROR(MATCH("●",足元帳!AD223:AM223,0)),IF(足元帳!AM223="","",足元帳!$AM$1&amp;足元帳!AM223),INDIRECT("足元帳!R1C"&amp;MATCH("●",足元帳!AD223:AM223,0)+29,FALSE))</f>
        <v/>
      </c>
      <c r="AH291" s="565"/>
      <c r="AI291" s="565"/>
      <c r="AJ291" s="565"/>
      <c r="AK291" s="565" t="str">
        <f>IF(足元帳!AT223="","",足元帳!AT223)</f>
        <v/>
      </c>
      <c r="AL291" s="565"/>
      <c r="AM291" s="565"/>
      <c r="AN291" s="565"/>
      <c r="AO291" s="565"/>
      <c r="AP291" s="565"/>
      <c r="AQ291" s="588"/>
    </row>
    <row r="292" spans="1:43" ht="22.5" customHeight="1">
      <c r="A292" s="586">
        <f t="shared" si="11"/>
        <v>223</v>
      </c>
      <c r="B292" s="566"/>
      <c r="C292" s="73" t="str">
        <f>IF(足元帳!AY224=1,"N",IF(足元帳!AY224=2,"R",""))</f>
        <v/>
      </c>
      <c r="D292" s="74" t="str">
        <f>IF(足元帳!AZ224&gt;0,VLOOKUP(足元帳!AZ224,管理シート!$CF$32:$CG$34,2,FALSE),"")</f>
        <v/>
      </c>
      <c r="E292" s="572" t="str">
        <f>IF(足元帳!BB224&gt;0,VLOOKUP(足元帳!BB224,管理シート!#REF!,2,FALSE),"")</f>
        <v/>
      </c>
      <c r="F292" s="573"/>
      <c r="G292" s="574">
        <f>足元帳!J224</f>
        <v>0</v>
      </c>
      <c r="H292" s="575"/>
      <c r="I292" s="574">
        <f>足元帳!K224</f>
        <v>0</v>
      </c>
      <c r="J292" s="576"/>
      <c r="K292" s="575"/>
      <c r="L292" s="73" t="str">
        <f ca="1">IF(足元帳!AB224="●","無",IF(足元帳!AC224="●","半",IF(AG292="周年","半",IF(AG292="プレ6","半",IF(AG292="6割","半","")))))</f>
        <v/>
      </c>
      <c r="M292" s="115" t="str">
        <f>IF(足元帳!AM224="","","○")&amp;IF(足元帳!AL224="","","○")</f>
        <v/>
      </c>
      <c r="N292" s="115" t="str">
        <f>IF(足元帳!AN224="","","○")</f>
        <v/>
      </c>
      <c r="O292" s="587" t="str">
        <f>IF(足元帳!U224="","",足元帳!U224)</f>
        <v/>
      </c>
      <c r="P292" s="565"/>
      <c r="Q292" s="565"/>
      <c r="R292" s="565" t="str">
        <f>IF(足元帳!V224="","",足元帳!V224)</f>
        <v/>
      </c>
      <c r="S292" s="565"/>
      <c r="T292" s="565"/>
      <c r="U292" s="565" t="str">
        <f>IF(足元帳!W224="","",足元帳!W224)</f>
        <v/>
      </c>
      <c r="V292" s="565"/>
      <c r="W292" s="565"/>
      <c r="X292" s="565" t="str">
        <f>IF(足元帳!X224="","",足元帳!X224)</f>
        <v/>
      </c>
      <c r="Y292" s="565"/>
      <c r="Z292" s="565"/>
      <c r="AA292" s="565" t="str">
        <f>IF(足元帳!Y224="","",足元帳!Y224)</f>
        <v/>
      </c>
      <c r="AB292" s="565"/>
      <c r="AC292" s="565"/>
      <c r="AD292" s="565" t="str">
        <f>IF(足元帳!Z224="","",足元帳!Z224)</f>
        <v/>
      </c>
      <c r="AE292" s="565"/>
      <c r="AF292" s="566"/>
      <c r="AG292" s="587" t="str">
        <f ca="1">IF(ISERROR(MATCH("●",足元帳!AD224:AM224,0)),IF(足元帳!AM224="","",足元帳!$AM$1&amp;足元帳!AM224),INDIRECT("足元帳!R1C"&amp;MATCH("●",足元帳!AD224:AM224,0)+29,FALSE))</f>
        <v/>
      </c>
      <c r="AH292" s="565"/>
      <c r="AI292" s="565"/>
      <c r="AJ292" s="565"/>
      <c r="AK292" s="565" t="str">
        <f>IF(足元帳!AT224="","",足元帳!AT224)</f>
        <v/>
      </c>
      <c r="AL292" s="565"/>
      <c r="AM292" s="565"/>
      <c r="AN292" s="565"/>
      <c r="AO292" s="565"/>
      <c r="AP292" s="565"/>
      <c r="AQ292" s="588"/>
    </row>
    <row r="293" spans="1:43" ht="22.5" customHeight="1">
      <c r="A293" s="586">
        <f t="shared" si="11"/>
        <v>224</v>
      </c>
      <c r="B293" s="566"/>
      <c r="C293" s="73" t="str">
        <f>IF(足元帳!AY225=1,"N",IF(足元帳!AY225=2,"R",""))</f>
        <v/>
      </c>
      <c r="D293" s="74" t="str">
        <f>IF(足元帳!AZ225&gt;0,VLOOKUP(足元帳!AZ225,管理シート!$CF$32:$CG$34,2,FALSE),"")</f>
        <v/>
      </c>
      <c r="E293" s="572" t="str">
        <f>IF(足元帳!BB225&gt;0,VLOOKUP(足元帳!BB225,管理シート!#REF!,2,FALSE),"")</f>
        <v/>
      </c>
      <c r="F293" s="573"/>
      <c r="G293" s="574">
        <f>足元帳!J225</f>
        <v>0</v>
      </c>
      <c r="H293" s="575"/>
      <c r="I293" s="574">
        <f>足元帳!K225</f>
        <v>0</v>
      </c>
      <c r="J293" s="576"/>
      <c r="K293" s="575"/>
      <c r="L293" s="73" t="str">
        <f ca="1">IF(足元帳!AB225="●","無",IF(足元帳!AC225="●","半",IF(AG293="周年","半",IF(AG293="プレ6","半",IF(AG293="6割","半","")))))</f>
        <v/>
      </c>
      <c r="M293" s="115" t="str">
        <f>IF(足元帳!AM225="","","○")&amp;IF(足元帳!AL225="","","○")</f>
        <v/>
      </c>
      <c r="N293" s="115" t="str">
        <f>IF(足元帳!AN225="","","○")</f>
        <v/>
      </c>
      <c r="O293" s="587" t="str">
        <f>IF(足元帳!U225="","",足元帳!U225)</f>
        <v/>
      </c>
      <c r="P293" s="565"/>
      <c r="Q293" s="565"/>
      <c r="R293" s="565" t="str">
        <f>IF(足元帳!V225="","",足元帳!V225)</f>
        <v/>
      </c>
      <c r="S293" s="565"/>
      <c r="T293" s="565"/>
      <c r="U293" s="565" t="str">
        <f>IF(足元帳!W225="","",足元帳!W225)</f>
        <v/>
      </c>
      <c r="V293" s="565"/>
      <c r="W293" s="565"/>
      <c r="X293" s="565" t="str">
        <f>IF(足元帳!X225="","",足元帳!X225)</f>
        <v/>
      </c>
      <c r="Y293" s="565"/>
      <c r="Z293" s="565"/>
      <c r="AA293" s="565" t="str">
        <f>IF(足元帳!Y225="","",足元帳!Y225)</f>
        <v/>
      </c>
      <c r="AB293" s="565"/>
      <c r="AC293" s="565"/>
      <c r="AD293" s="565" t="str">
        <f>IF(足元帳!Z225="","",足元帳!Z225)</f>
        <v/>
      </c>
      <c r="AE293" s="565"/>
      <c r="AF293" s="566"/>
      <c r="AG293" s="587" t="str">
        <f ca="1">IF(ISERROR(MATCH("●",足元帳!AD225:AM225,0)),IF(足元帳!AM225="","",足元帳!$AM$1&amp;足元帳!AM225),INDIRECT("足元帳!R1C"&amp;MATCH("●",足元帳!AD225:AM225,0)+29,FALSE))</f>
        <v/>
      </c>
      <c r="AH293" s="565"/>
      <c r="AI293" s="565"/>
      <c r="AJ293" s="565"/>
      <c r="AK293" s="565" t="str">
        <f>IF(足元帳!AT225="","",足元帳!AT225)</f>
        <v/>
      </c>
      <c r="AL293" s="565"/>
      <c r="AM293" s="565"/>
      <c r="AN293" s="565"/>
      <c r="AO293" s="565"/>
      <c r="AP293" s="565"/>
      <c r="AQ293" s="588"/>
    </row>
    <row r="294" spans="1:43" ht="22.5" customHeight="1">
      <c r="A294" s="586">
        <f t="shared" si="11"/>
        <v>225</v>
      </c>
      <c r="B294" s="566"/>
      <c r="C294" s="73" t="str">
        <f>IF(足元帳!AY226=1,"N",IF(足元帳!AY226=2,"R",""))</f>
        <v/>
      </c>
      <c r="D294" s="74" t="str">
        <f>IF(足元帳!AZ226&gt;0,VLOOKUP(足元帳!AZ226,管理シート!$CF$32:$CG$34,2,FALSE),"")</f>
        <v/>
      </c>
      <c r="E294" s="572" t="str">
        <f>IF(足元帳!BB226&gt;0,VLOOKUP(足元帳!BB226,管理シート!#REF!,2,FALSE),"")</f>
        <v/>
      </c>
      <c r="F294" s="573"/>
      <c r="G294" s="574">
        <f>足元帳!J226</f>
        <v>0</v>
      </c>
      <c r="H294" s="575"/>
      <c r="I294" s="574">
        <f>足元帳!K226</f>
        <v>0</v>
      </c>
      <c r="J294" s="576"/>
      <c r="K294" s="575"/>
      <c r="L294" s="73" t="str">
        <f ca="1">IF(足元帳!AB226="●","無",IF(足元帳!AC226="●","半",IF(AG294="周年","半",IF(AG294="プレ6","半",IF(AG294="6割","半","")))))</f>
        <v/>
      </c>
      <c r="M294" s="115" t="str">
        <f>IF(足元帳!AM226="","","○")&amp;IF(足元帳!AL226="","","○")</f>
        <v/>
      </c>
      <c r="N294" s="115" t="str">
        <f>IF(足元帳!AN226="","","○")</f>
        <v/>
      </c>
      <c r="O294" s="587" t="str">
        <f>IF(足元帳!U226="","",足元帳!U226)</f>
        <v/>
      </c>
      <c r="P294" s="565"/>
      <c r="Q294" s="565"/>
      <c r="R294" s="565" t="str">
        <f>IF(足元帳!V226="","",足元帳!V226)</f>
        <v/>
      </c>
      <c r="S294" s="565"/>
      <c r="T294" s="565"/>
      <c r="U294" s="565" t="str">
        <f>IF(足元帳!W226="","",足元帳!W226)</f>
        <v/>
      </c>
      <c r="V294" s="565"/>
      <c r="W294" s="565"/>
      <c r="X294" s="565" t="str">
        <f>IF(足元帳!X226="","",足元帳!X226)</f>
        <v/>
      </c>
      <c r="Y294" s="565"/>
      <c r="Z294" s="565"/>
      <c r="AA294" s="565" t="str">
        <f>IF(足元帳!Y226="","",足元帳!Y226)</f>
        <v/>
      </c>
      <c r="AB294" s="565"/>
      <c r="AC294" s="565"/>
      <c r="AD294" s="565" t="str">
        <f>IF(足元帳!Z226="","",足元帳!Z226)</f>
        <v/>
      </c>
      <c r="AE294" s="565"/>
      <c r="AF294" s="566"/>
      <c r="AG294" s="587" t="str">
        <f ca="1">IF(ISERROR(MATCH("●",足元帳!AD226:AM226,0)),IF(足元帳!AM226="","",足元帳!$AM$1&amp;足元帳!AM226),INDIRECT("足元帳!R1C"&amp;MATCH("●",足元帳!AD226:AM226,0)+29,FALSE))</f>
        <v/>
      </c>
      <c r="AH294" s="565"/>
      <c r="AI294" s="565"/>
      <c r="AJ294" s="565"/>
      <c r="AK294" s="565" t="str">
        <f>IF(足元帳!AT226="","",足元帳!AT226)</f>
        <v/>
      </c>
      <c r="AL294" s="565"/>
      <c r="AM294" s="565"/>
      <c r="AN294" s="565"/>
      <c r="AO294" s="565"/>
      <c r="AP294" s="565"/>
      <c r="AQ294" s="588"/>
    </row>
    <row r="295" spans="1:43" ht="22.5" customHeight="1">
      <c r="A295" s="586">
        <f t="shared" si="11"/>
        <v>226</v>
      </c>
      <c r="B295" s="566"/>
      <c r="C295" s="73" t="str">
        <f>IF(足元帳!AY227=1,"N",IF(足元帳!AY227=2,"R",""))</f>
        <v/>
      </c>
      <c r="D295" s="74" t="str">
        <f>IF(足元帳!AZ227&gt;0,VLOOKUP(足元帳!AZ227,管理シート!$CF$32:$CG$34,2,FALSE),"")</f>
        <v/>
      </c>
      <c r="E295" s="572" t="str">
        <f>IF(足元帳!BB227&gt;0,VLOOKUP(足元帳!BB227,管理シート!#REF!,2,FALSE),"")</f>
        <v/>
      </c>
      <c r="F295" s="573"/>
      <c r="G295" s="574">
        <f>足元帳!J227</f>
        <v>0</v>
      </c>
      <c r="H295" s="575"/>
      <c r="I295" s="574">
        <f>足元帳!K227</f>
        <v>0</v>
      </c>
      <c r="J295" s="576"/>
      <c r="K295" s="575"/>
      <c r="L295" s="73" t="str">
        <f ca="1">IF(足元帳!AB227="●","無",IF(足元帳!AC227="●","半",IF(AG295="周年","半",IF(AG295="プレ6","半",IF(AG295="6割","半","")))))</f>
        <v/>
      </c>
      <c r="M295" s="115" t="str">
        <f>IF(足元帳!AM227="","","○")&amp;IF(足元帳!AL227="","","○")</f>
        <v/>
      </c>
      <c r="N295" s="115" t="str">
        <f>IF(足元帳!AN227="","","○")</f>
        <v/>
      </c>
      <c r="O295" s="587" t="str">
        <f>IF(足元帳!U227="","",足元帳!U227)</f>
        <v/>
      </c>
      <c r="P295" s="565"/>
      <c r="Q295" s="565"/>
      <c r="R295" s="565" t="str">
        <f>IF(足元帳!V227="","",足元帳!V227)</f>
        <v/>
      </c>
      <c r="S295" s="565"/>
      <c r="T295" s="565"/>
      <c r="U295" s="565" t="str">
        <f>IF(足元帳!W227="","",足元帳!W227)</f>
        <v/>
      </c>
      <c r="V295" s="565"/>
      <c r="W295" s="565"/>
      <c r="X295" s="565" t="str">
        <f>IF(足元帳!X227="","",足元帳!X227)</f>
        <v/>
      </c>
      <c r="Y295" s="565"/>
      <c r="Z295" s="565"/>
      <c r="AA295" s="565" t="str">
        <f>IF(足元帳!Y227="","",足元帳!Y227)</f>
        <v/>
      </c>
      <c r="AB295" s="565"/>
      <c r="AC295" s="565"/>
      <c r="AD295" s="565" t="str">
        <f>IF(足元帳!Z227="","",足元帳!Z227)</f>
        <v/>
      </c>
      <c r="AE295" s="565"/>
      <c r="AF295" s="566"/>
      <c r="AG295" s="587" t="str">
        <f ca="1">IF(ISERROR(MATCH("●",足元帳!AD227:AM227,0)),IF(足元帳!AM227="","",足元帳!$AM$1&amp;足元帳!AM227),INDIRECT("足元帳!R1C"&amp;MATCH("●",足元帳!AD227:AM227,0)+29,FALSE))</f>
        <v/>
      </c>
      <c r="AH295" s="565"/>
      <c r="AI295" s="565"/>
      <c r="AJ295" s="565"/>
      <c r="AK295" s="565" t="str">
        <f>IF(足元帳!AT227="","",足元帳!AT227)</f>
        <v/>
      </c>
      <c r="AL295" s="565"/>
      <c r="AM295" s="565"/>
      <c r="AN295" s="565"/>
      <c r="AO295" s="565"/>
      <c r="AP295" s="565"/>
      <c r="AQ295" s="588"/>
    </row>
    <row r="296" spans="1:43" ht="22.5" customHeight="1">
      <c r="A296" s="586">
        <f t="shared" si="11"/>
        <v>227</v>
      </c>
      <c r="B296" s="566"/>
      <c r="C296" s="73" t="str">
        <f>IF(足元帳!AY228=1,"N",IF(足元帳!AY228=2,"R",""))</f>
        <v/>
      </c>
      <c r="D296" s="74" t="str">
        <f>IF(足元帳!AZ228&gt;0,VLOOKUP(足元帳!AZ228,管理シート!$CF$32:$CG$34,2,FALSE),"")</f>
        <v/>
      </c>
      <c r="E296" s="572" t="str">
        <f>IF(足元帳!BB228&gt;0,VLOOKUP(足元帳!BB228,管理シート!#REF!,2,FALSE),"")</f>
        <v/>
      </c>
      <c r="F296" s="573"/>
      <c r="G296" s="574">
        <f>足元帳!J228</f>
        <v>0</v>
      </c>
      <c r="H296" s="575"/>
      <c r="I296" s="574">
        <f>足元帳!K228</f>
        <v>0</v>
      </c>
      <c r="J296" s="576"/>
      <c r="K296" s="575"/>
      <c r="L296" s="73" t="str">
        <f ca="1">IF(足元帳!AB228="●","無",IF(足元帳!AC228="●","半",IF(AG296="周年","半",IF(AG296="プレ6","半",IF(AG296="6割","半","")))))</f>
        <v/>
      </c>
      <c r="M296" s="115" t="str">
        <f>IF(足元帳!AM228="","","○")&amp;IF(足元帳!AL228="","","○")</f>
        <v/>
      </c>
      <c r="N296" s="115" t="str">
        <f>IF(足元帳!AN228="","","○")</f>
        <v/>
      </c>
      <c r="O296" s="587" t="str">
        <f>IF(足元帳!U228="","",足元帳!U228)</f>
        <v/>
      </c>
      <c r="P296" s="565"/>
      <c r="Q296" s="565"/>
      <c r="R296" s="565" t="str">
        <f>IF(足元帳!V228="","",足元帳!V228)</f>
        <v/>
      </c>
      <c r="S296" s="565"/>
      <c r="T296" s="565"/>
      <c r="U296" s="565" t="str">
        <f>IF(足元帳!W228="","",足元帳!W228)</f>
        <v/>
      </c>
      <c r="V296" s="565"/>
      <c r="W296" s="565"/>
      <c r="X296" s="565" t="str">
        <f>IF(足元帳!X228="","",足元帳!X228)</f>
        <v/>
      </c>
      <c r="Y296" s="565"/>
      <c r="Z296" s="565"/>
      <c r="AA296" s="565" t="str">
        <f>IF(足元帳!Y228="","",足元帳!Y228)</f>
        <v/>
      </c>
      <c r="AB296" s="565"/>
      <c r="AC296" s="565"/>
      <c r="AD296" s="565" t="str">
        <f>IF(足元帳!Z228="","",足元帳!Z228)</f>
        <v/>
      </c>
      <c r="AE296" s="565"/>
      <c r="AF296" s="566"/>
      <c r="AG296" s="587" t="str">
        <f ca="1">IF(ISERROR(MATCH("●",足元帳!AD228:AM228,0)),IF(足元帳!AM228="","",足元帳!$AM$1&amp;足元帳!AM228),INDIRECT("足元帳!R1C"&amp;MATCH("●",足元帳!AD228:AM228,0)+29,FALSE))</f>
        <v/>
      </c>
      <c r="AH296" s="565"/>
      <c r="AI296" s="565"/>
      <c r="AJ296" s="565"/>
      <c r="AK296" s="565" t="str">
        <f>IF(足元帳!AT228="","",足元帳!AT228)</f>
        <v/>
      </c>
      <c r="AL296" s="565"/>
      <c r="AM296" s="565"/>
      <c r="AN296" s="565"/>
      <c r="AO296" s="565"/>
      <c r="AP296" s="565"/>
      <c r="AQ296" s="588"/>
    </row>
    <row r="297" spans="1:43" ht="22.5" customHeight="1">
      <c r="A297" s="586">
        <f t="shared" si="11"/>
        <v>228</v>
      </c>
      <c r="B297" s="566"/>
      <c r="C297" s="73" t="str">
        <f>IF(足元帳!AY229=1,"N",IF(足元帳!AY229=2,"R",""))</f>
        <v/>
      </c>
      <c r="D297" s="74" t="str">
        <f>IF(足元帳!AZ229&gt;0,VLOOKUP(足元帳!AZ229,管理シート!$CF$32:$CG$34,2,FALSE),"")</f>
        <v/>
      </c>
      <c r="E297" s="572" t="str">
        <f>IF(足元帳!BB229&gt;0,VLOOKUP(足元帳!BB229,管理シート!#REF!,2,FALSE),"")</f>
        <v/>
      </c>
      <c r="F297" s="573"/>
      <c r="G297" s="574">
        <f>足元帳!J229</f>
        <v>0</v>
      </c>
      <c r="H297" s="575"/>
      <c r="I297" s="574">
        <f>足元帳!K229</f>
        <v>0</v>
      </c>
      <c r="J297" s="576"/>
      <c r="K297" s="575"/>
      <c r="L297" s="73" t="str">
        <f ca="1">IF(足元帳!AB229="●","無",IF(足元帳!AC229="●","半",IF(AG297="周年","半",IF(AG297="プレ6","半",IF(AG297="6割","半","")))))</f>
        <v/>
      </c>
      <c r="M297" s="115" t="str">
        <f>IF(足元帳!AM229="","","○")&amp;IF(足元帳!AL229="","","○")</f>
        <v/>
      </c>
      <c r="N297" s="115" t="str">
        <f>IF(足元帳!AN229="","","○")</f>
        <v/>
      </c>
      <c r="O297" s="587" t="str">
        <f>IF(足元帳!U229="","",足元帳!U229)</f>
        <v/>
      </c>
      <c r="P297" s="565"/>
      <c r="Q297" s="565"/>
      <c r="R297" s="565" t="str">
        <f>IF(足元帳!V229="","",足元帳!V229)</f>
        <v/>
      </c>
      <c r="S297" s="565"/>
      <c r="T297" s="565"/>
      <c r="U297" s="565" t="str">
        <f>IF(足元帳!W229="","",足元帳!W229)</f>
        <v/>
      </c>
      <c r="V297" s="565"/>
      <c r="W297" s="565"/>
      <c r="X297" s="565" t="str">
        <f>IF(足元帳!X229="","",足元帳!X229)</f>
        <v/>
      </c>
      <c r="Y297" s="565"/>
      <c r="Z297" s="565"/>
      <c r="AA297" s="565" t="str">
        <f>IF(足元帳!Y229="","",足元帳!Y229)</f>
        <v/>
      </c>
      <c r="AB297" s="565"/>
      <c r="AC297" s="565"/>
      <c r="AD297" s="565" t="str">
        <f>IF(足元帳!Z229="","",足元帳!Z229)</f>
        <v/>
      </c>
      <c r="AE297" s="565"/>
      <c r="AF297" s="566"/>
      <c r="AG297" s="587" t="str">
        <f ca="1">IF(ISERROR(MATCH("●",足元帳!AD229:AM229,0)),IF(足元帳!AM229="","",足元帳!$AM$1&amp;足元帳!AM229),INDIRECT("足元帳!R1C"&amp;MATCH("●",足元帳!AD229:AM229,0)+29,FALSE))</f>
        <v/>
      </c>
      <c r="AH297" s="565"/>
      <c r="AI297" s="565"/>
      <c r="AJ297" s="565"/>
      <c r="AK297" s="565" t="str">
        <f>IF(足元帳!AT229="","",足元帳!AT229)</f>
        <v/>
      </c>
      <c r="AL297" s="565"/>
      <c r="AM297" s="565"/>
      <c r="AN297" s="565"/>
      <c r="AO297" s="565"/>
      <c r="AP297" s="565"/>
      <c r="AQ297" s="588"/>
    </row>
    <row r="298" spans="1:43" ht="22.5" customHeight="1">
      <c r="A298" s="586">
        <f t="shared" si="11"/>
        <v>229</v>
      </c>
      <c r="B298" s="566"/>
      <c r="C298" s="73" t="str">
        <f>IF(足元帳!AY230=1,"N",IF(足元帳!AY230=2,"R",""))</f>
        <v/>
      </c>
      <c r="D298" s="74" t="str">
        <f>IF(足元帳!AZ230&gt;0,VLOOKUP(足元帳!AZ230,管理シート!$CF$32:$CG$34,2,FALSE),"")</f>
        <v/>
      </c>
      <c r="E298" s="572" t="str">
        <f>IF(足元帳!BB230&gt;0,VLOOKUP(足元帳!BB230,管理シート!#REF!,2,FALSE),"")</f>
        <v/>
      </c>
      <c r="F298" s="573"/>
      <c r="G298" s="574">
        <f>足元帳!J230</f>
        <v>0</v>
      </c>
      <c r="H298" s="575"/>
      <c r="I298" s="574">
        <f>足元帳!K230</f>
        <v>0</v>
      </c>
      <c r="J298" s="576"/>
      <c r="K298" s="575"/>
      <c r="L298" s="73" t="str">
        <f ca="1">IF(足元帳!AB230="●","無",IF(足元帳!AC230="●","半",IF(AG298="周年","半",IF(AG298="プレ6","半",IF(AG298="6割","半","")))))</f>
        <v/>
      </c>
      <c r="M298" s="115" t="str">
        <f>IF(足元帳!AM230="","","○")&amp;IF(足元帳!AL230="","","○")</f>
        <v/>
      </c>
      <c r="N298" s="115" t="str">
        <f>IF(足元帳!AN230="","","○")</f>
        <v/>
      </c>
      <c r="O298" s="587" t="str">
        <f>IF(足元帳!U230="","",足元帳!U230)</f>
        <v/>
      </c>
      <c r="P298" s="565"/>
      <c r="Q298" s="565"/>
      <c r="R298" s="565" t="str">
        <f>IF(足元帳!V230="","",足元帳!V230)</f>
        <v/>
      </c>
      <c r="S298" s="565"/>
      <c r="T298" s="565"/>
      <c r="U298" s="565" t="str">
        <f>IF(足元帳!W230="","",足元帳!W230)</f>
        <v/>
      </c>
      <c r="V298" s="565"/>
      <c r="W298" s="565"/>
      <c r="X298" s="565" t="str">
        <f>IF(足元帳!X230="","",足元帳!X230)</f>
        <v/>
      </c>
      <c r="Y298" s="565"/>
      <c r="Z298" s="565"/>
      <c r="AA298" s="565" t="str">
        <f>IF(足元帳!Y230="","",足元帳!Y230)</f>
        <v/>
      </c>
      <c r="AB298" s="565"/>
      <c r="AC298" s="565"/>
      <c r="AD298" s="565" t="str">
        <f>IF(足元帳!Z230="","",足元帳!Z230)</f>
        <v/>
      </c>
      <c r="AE298" s="565"/>
      <c r="AF298" s="566"/>
      <c r="AG298" s="587" t="str">
        <f ca="1">IF(ISERROR(MATCH("●",足元帳!AD230:AM230,0)),IF(足元帳!AM230="","",足元帳!$AM$1&amp;足元帳!AM230),INDIRECT("足元帳!R1C"&amp;MATCH("●",足元帳!AD230:AM230,0)+29,FALSE))</f>
        <v/>
      </c>
      <c r="AH298" s="565"/>
      <c r="AI298" s="565"/>
      <c r="AJ298" s="565"/>
      <c r="AK298" s="565" t="str">
        <f>IF(足元帳!AT230="","",足元帳!AT230)</f>
        <v/>
      </c>
      <c r="AL298" s="565"/>
      <c r="AM298" s="565"/>
      <c r="AN298" s="565"/>
      <c r="AO298" s="565"/>
      <c r="AP298" s="565"/>
      <c r="AQ298" s="588"/>
    </row>
    <row r="299" spans="1:43" ht="22.5" customHeight="1">
      <c r="A299" s="586">
        <f t="shared" si="11"/>
        <v>230</v>
      </c>
      <c r="B299" s="566"/>
      <c r="C299" s="73" t="str">
        <f>IF(足元帳!AY231=1,"N",IF(足元帳!AY231=2,"R",""))</f>
        <v/>
      </c>
      <c r="D299" s="74" t="str">
        <f>IF(足元帳!AZ231&gt;0,VLOOKUP(足元帳!AZ231,管理シート!$CF$32:$CG$34,2,FALSE),"")</f>
        <v/>
      </c>
      <c r="E299" s="572" t="str">
        <f>IF(足元帳!BB231&gt;0,VLOOKUP(足元帳!BB231,管理シート!#REF!,2,FALSE),"")</f>
        <v/>
      </c>
      <c r="F299" s="573"/>
      <c r="G299" s="574">
        <f>足元帳!J231</f>
        <v>0</v>
      </c>
      <c r="H299" s="575"/>
      <c r="I299" s="574">
        <f>足元帳!K231</f>
        <v>0</v>
      </c>
      <c r="J299" s="576"/>
      <c r="K299" s="575"/>
      <c r="L299" s="73" t="str">
        <f ca="1">IF(足元帳!AB231="●","無",IF(足元帳!AC231="●","半",IF(AG299="周年","半",IF(AG299="プレ6","半",IF(AG299="6割","半","")))))</f>
        <v/>
      </c>
      <c r="M299" s="115" t="str">
        <f>IF(足元帳!AM231="","","○")&amp;IF(足元帳!AL231="","","○")</f>
        <v/>
      </c>
      <c r="N299" s="115" t="str">
        <f>IF(足元帳!AN231="","","○")</f>
        <v/>
      </c>
      <c r="O299" s="587" t="str">
        <f>IF(足元帳!U231="","",足元帳!U231)</f>
        <v/>
      </c>
      <c r="P299" s="565"/>
      <c r="Q299" s="565"/>
      <c r="R299" s="565" t="str">
        <f>IF(足元帳!V231="","",足元帳!V231)</f>
        <v/>
      </c>
      <c r="S299" s="565"/>
      <c r="T299" s="565"/>
      <c r="U299" s="565" t="str">
        <f>IF(足元帳!W231="","",足元帳!W231)</f>
        <v/>
      </c>
      <c r="V299" s="565"/>
      <c r="W299" s="565"/>
      <c r="X299" s="565" t="str">
        <f>IF(足元帳!X231="","",足元帳!X231)</f>
        <v/>
      </c>
      <c r="Y299" s="565"/>
      <c r="Z299" s="565"/>
      <c r="AA299" s="565" t="str">
        <f>IF(足元帳!Y231="","",足元帳!Y231)</f>
        <v/>
      </c>
      <c r="AB299" s="565"/>
      <c r="AC299" s="565"/>
      <c r="AD299" s="565" t="str">
        <f>IF(足元帳!Z231="","",足元帳!Z231)</f>
        <v/>
      </c>
      <c r="AE299" s="565"/>
      <c r="AF299" s="566"/>
      <c r="AG299" s="587" t="str">
        <f ca="1">IF(ISERROR(MATCH("●",足元帳!AD231:AM231,0)),IF(足元帳!AM231="","",足元帳!$AM$1&amp;足元帳!AM231),INDIRECT("足元帳!R1C"&amp;MATCH("●",足元帳!AD231:AM231,0)+29,FALSE))</f>
        <v/>
      </c>
      <c r="AH299" s="565"/>
      <c r="AI299" s="565"/>
      <c r="AJ299" s="565"/>
      <c r="AK299" s="565" t="str">
        <f>IF(足元帳!AT231="","",足元帳!AT231)</f>
        <v/>
      </c>
      <c r="AL299" s="565"/>
      <c r="AM299" s="565"/>
      <c r="AN299" s="565"/>
      <c r="AO299" s="565"/>
      <c r="AP299" s="565"/>
      <c r="AQ299" s="588"/>
    </row>
    <row r="300" spans="1:43" ht="22.5" customHeight="1">
      <c r="A300" s="586">
        <f t="shared" si="11"/>
        <v>231</v>
      </c>
      <c r="B300" s="566"/>
      <c r="C300" s="73" t="str">
        <f>IF(足元帳!AY232=1,"N",IF(足元帳!AY232=2,"R",""))</f>
        <v/>
      </c>
      <c r="D300" s="74" t="str">
        <f>IF(足元帳!AZ232&gt;0,VLOOKUP(足元帳!AZ232,管理シート!$CF$32:$CG$34,2,FALSE),"")</f>
        <v/>
      </c>
      <c r="E300" s="572" t="str">
        <f>IF(足元帳!BB232&gt;0,VLOOKUP(足元帳!BB232,管理シート!#REF!,2,FALSE),"")</f>
        <v/>
      </c>
      <c r="F300" s="573"/>
      <c r="G300" s="574">
        <f>足元帳!J232</f>
        <v>0</v>
      </c>
      <c r="H300" s="575"/>
      <c r="I300" s="574">
        <f>足元帳!K232</f>
        <v>0</v>
      </c>
      <c r="J300" s="576"/>
      <c r="K300" s="575"/>
      <c r="L300" s="73" t="str">
        <f ca="1">IF(足元帳!AB232="●","無",IF(足元帳!AC232="●","半",IF(AG300="周年","半",IF(AG300="プレ6","半",IF(AG300="6割","半","")))))</f>
        <v/>
      </c>
      <c r="M300" s="115" t="str">
        <f>IF(足元帳!AM232="","","○")&amp;IF(足元帳!AL232="","","○")</f>
        <v/>
      </c>
      <c r="N300" s="115" t="str">
        <f>IF(足元帳!AN232="","","○")</f>
        <v/>
      </c>
      <c r="O300" s="587" t="str">
        <f>IF(足元帳!U232="","",足元帳!U232)</f>
        <v/>
      </c>
      <c r="P300" s="565"/>
      <c r="Q300" s="565"/>
      <c r="R300" s="565" t="str">
        <f>IF(足元帳!V232="","",足元帳!V232)</f>
        <v/>
      </c>
      <c r="S300" s="565"/>
      <c r="T300" s="565"/>
      <c r="U300" s="565" t="str">
        <f>IF(足元帳!W232="","",足元帳!W232)</f>
        <v/>
      </c>
      <c r="V300" s="565"/>
      <c r="W300" s="565"/>
      <c r="X300" s="565" t="str">
        <f>IF(足元帳!X232="","",足元帳!X232)</f>
        <v/>
      </c>
      <c r="Y300" s="565"/>
      <c r="Z300" s="565"/>
      <c r="AA300" s="565" t="str">
        <f>IF(足元帳!Y232="","",足元帳!Y232)</f>
        <v/>
      </c>
      <c r="AB300" s="565"/>
      <c r="AC300" s="565"/>
      <c r="AD300" s="565" t="str">
        <f>IF(足元帳!Z232="","",足元帳!Z232)</f>
        <v/>
      </c>
      <c r="AE300" s="565"/>
      <c r="AF300" s="566"/>
      <c r="AG300" s="587" t="str">
        <f ca="1">IF(ISERROR(MATCH("●",足元帳!AD232:AM232,0)),IF(足元帳!AM232="","",足元帳!$AM$1&amp;足元帳!AM232),INDIRECT("足元帳!R1C"&amp;MATCH("●",足元帳!AD232:AM232,0)+29,FALSE))</f>
        <v/>
      </c>
      <c r="AH300" s="565"/>
      <c r="AI300" s="565"/>
      <c r="AJ300" s="565"/>
      <c r="AK300" s="565" t="str">
        <f>IF(足元帳!AT232="","",足元帳!AT232)</f>
        <v/>
      </c>
      <c r="AL300" s="565"/>
      <c r="AM300" s="565"/>
      <c r="AN300" s="565"/>
      <c r="AO300" s="565"/>
      <c r="AP300" s="565"/>
      <c r="AQ300" s="588"/>
    </row>
    <row r="301" spans="1:43" ht="22.5" customHeight="1">
      <c r="A301" s="586">
        <f t="shared" si="11"/>
        <v>232</v>
      </c>
      <c r="B301" s="566"/>
      <c r="C301" s="73" t="str">
        <f>IF(足元帳!AY233=1,"N",IF(足元帳!AY233=2,"R",""))</f>
        <v/>
      </c>
      <c r="D301" s="74" t="str">
        <f>IF(足元帳!AZ233&gt;0,VLOOKUP(足元帳!AZ233,管理シート!$CF$32:$CG$34,2,FALSE),"")</f>
        <v/>
      </c>
      <c r="E301" s="572" t="str">
        <f>IF(足元帳!BB233&gt;0,VLOOKUP(足元帳!BB233,管理シート!#REF!,2,FALSE),"")</f>
        <v/>
      </c>
      <c r="F301" s="573"/>
      <c r="G301" s="574">
        <f>足元帳!J233</f>
        <v>0</v>
      </c>
      <c r="H301" s="575"/>
      <c r="I301" s="574">
        <f>足元帳!K233</f>
        <v>0</v>
      </c>
      <c r="J301" s="576"/>
      <c r="K301" s="575"/>
      <c r="L301" s="73" t="str">
        <f ca="1">IF(足元帳!AB233="●","無",IF(足元帳!AC233="●","半",IF(AG301="周年","半",IF(AG301="プレ6","半",IF(AG301="6割","半","")))))</f>
        <v/>
      </c>
      <c r="M301" s="115" t="str">
        <f>IF(足元帳!AM233="","","○")&amp;IF(足元帳!AL233="","","○")</f>
        <v/>
      </c>
      <c r="N301" s="115" t="str">
        <f>IF(足元帳!AN233="","","○")</f>
        <v/>
      </c>
      <c r="O301" s="587" t="str">
        <f>IF(足元帳!U233="","",足元帳!U233)</f>
        <v/>
      </c>
      <c r="P301" s="565"/>
      <c r="Q301" s="565"/>
      <c r="R301" s="565" t="str">
        <f>IF(足元帳!V233="","",足元帳!V233)</f>
        <v/>
      </c>
      <c r="S301" s="565"/>
      <c r="T301" s="565"/>
      <c r="U301" s="565" t="str">
        <f>IF(足元帳!W233="","",足元帳!W233)</f>
        <v/>
      </c>
      <c r="V301" s="565"/>
      <c r="W301" s="565"/>
      <c r="X301" s="565" t="str">
        <f>IF(足元帳!X233="","",足元帳!X233)</f>
        <v/>
      </c>
      <c r="Y301" s="565"/>
      <c r="Z301" s="565"/>
      <c r="AA301" s="565" t="str">
        <f>IF(足元帳!Y233="","",足元帳!Y233)</f>
        <v/>
      </c>
      <c r="AB301" s="565"/>
      <c r="AC301" s="565"/>
      <c r="AD301" s="565" t="str">
        <f>IF(足元帳!Z233="","",足元帳!Z233)</f>
        <v/>
      </c>
      <c r="AE301" s="565"/>
      <c r="AF301" s="566"/>
      <c r="AG301" s="587" t="str">
        <f ca="1">IF(ISERROR(MATCH("●",足元帳!AD233:AM233,0)),IF(足元帳!AM233="","",足元帳!$AM$1&amp;足元帳!AM233),INDIRECT("足元帳!R1C"&amp;MATCH("●",足元帳!AD233:AM233,0)+29,FALSE))</f>
        <v/>
      </c>
      <c r="AH301" s="565"/>
      <c r="AI301" s="565"/>
      <c r="AJ301" s="565"/>
      <c r="AK301" s="565" t="str">
        <f>IF(足元帳!AT233="","",足元帳!AT233)</f>
        <v/>
      </c>
      <c r="AL301" s="565"/>
      <c r="AM301" s="565"/>
      <c r="AN301" s="565"/>
      <c r="AO301" s="565"/>
      <c r="AP301" s="565"/>
      <c r="AQ301" s="588"/>
    </row>
    <row r="302" spans="1:43" ht="22.5" customHeight="1">
      <c r="A302" s="586">
        <f t="shared" si="11"/>
        <v>233</v>
      </c>
      <c r="B302" s="566"/>
      <c r="C302" s="73" t="str">
        <f>IF(足元帳!AY234=1,"N",IF(足元帳!AY234=2,"R",""))</f>
        <v/>
      </c>
      <c r="D302" s="74" t="str">
        <f>IF(足元帳!AZ234&gt;0,VLOOKUP(足元帳!AZ234,管理シート!$CF$32:$CG$34,2,FALSE),"")</f>
        <v/>
      </c>
      <c r="E302" s="572" t="str">
        <f>IF(足元帳!BB234&gt;0,VLOOKUP(足元帳!BB234,管理シート!#REF!,2,FALSE),"")</f>
        <v/>
      </c>
      <c r="F302" s="573"/>
      <c r="G302" s="574">
        <f>足元帳!J234</f>
        <v>0</v>
      </c>
      <c r="H302" s="575"/>
      <c r="I302" s="574">
        <f>足元帳!K234</f>
        <v>0</v>
      </c>
      <c r="J302" s="576"/>
      <c r="K302" s="575"/>
      <c r="L302" s="73" t="str">
        <f ca="1">IF(足元帳!AB234="●","無",IF(足元帳!AC234="●","半",IF(AG302="周年","半",IF(AG302="プレ6","半",IF(AG302="6割","半","")))))</f>
        <v/>
      </c>
      <c r="M302" s="115" t="str">
        <f>IF(足元帳!AM234="","","○")&amp;IF(足元帳!AL234="","","○")</f>
        <v/>
      </c>
      <c r="N302" s="115" t="str">
        <f>IF(足元帳!AN234="","","○")</f>
        <v/>
      </c>
      <c r="O302" s="587" t="str">
        <f>IF(足元帳!U234="","",足元帳!U234)</f>
        <v/>
      </c>
      <c r="P302" s="565"/>
      <c r="Q302" s="565"/>
      <c r="R302" s="565" t="str">
        <f>IF(足元帳!V234="","",足元帳!V234)</f>
        <v/>
      </c>
      <c r="S302" s="565"/>
      <c r="T302" s="565"/>
      <c r="U302" s="565" t="str">
        <f>IF(足元帳!W234="","",足元帳!W234)</f>
        <v/>
      </c>
      <c r="V302" s="565"/>
      <c r="W302" s="565"/>
      <c r="X302" s="565" t="str">
        <f>IF(足元帳!X234="","",足元帳!X234)</f>
        <v/>
      </c>
      <c r="Y302" s="565"/>
      <c r="Z302" s="565"/>
      <c r="AA302" s="565" t="str">
        <f>IF(足元帳!Y234="","",足元帳!Y234)</f>
        <v/>
      </c>
      <c r="AB302" s="565"/>
      <c r="AC302" s="565"/>
      <c r="AD302" s="565" t="str">
        <f>IF(足元帳!Z234="","",足元帳!Z234)</f>
        <v/>
      </c>
      <c r="AE302" s="565"/>
      <c r="AF302" s="566"/>
      <c r="AG302" s="587" t="str">
        <f ca="1">IF(ISERROR(MATCH("●",足元帳!AD234:AM234,0)),IF(足元帳!AM234="","",足元帳!$AM$1&amp;足元帳!AM234),INDIRECT("足元帳!R1C"&amp;MATCH("●",足元帳!AD234:AM234,0)+29,FALSE))</f>
        <v/>
      </c>
      <c r="AH302" s="565"/>
      <c r="AI302" s="565"/>
      <c r="AJ302" s="565"/>
      <c r="AK302" s="565" t="str">
        <f>IF(足元帳!AT234="","",足元帳!AT234)</f>
        <v/>
      </c>
      <c r="AL302" s="565"/>
      <c r="AM302" s="565"/>
      <c r="AN302" s="565"/>
      <c r="AO302" s="565"/>
      <c r="AP302" s="565"/>
      <c r="AQ302" s="588"/>
    </row>
    <row r="303" spans="1:43" ht="22.5" customHeight="1">
      <c r="A303" s="586">
        <f t="shared" si="11"/>
        <v>234</v>
      </c>
      <c r="B303" s="566"/>
      <c r="C303" s="73" t="str">
        <f>IF(足元帳!AY235=1,"N",IF(足元帳!AY235=2,"R",""))</f>
        <v/>
      </c>
      <c r="D303" s="74" t="str">
        <f>IF(足元帳!AZ235&gt;0,VLOOKUP(足元帳!AZ235,管理シート!$CF$32:$CG$34,2,FALSE),"")</f>
        <v/>
      </c>
      <c r="E303" s="572" t="str">
        <f>IF(足元帳!BB235&gt;0,VLOOKUP(足元帳!BB235,管理シート!#REF!,2,FALSE),"")</f>
        <v/>
      </c>
      <c r="F303" s="573"/>
      <c r="G303" s="574">
        <f>足元帳!J235</f>
        <v>0</v>
      </c>
      <c r="H303" s="575"/>
      <c r="I303" s="574">
        <f>足元帳!K235</f>
        <v>0</v>
      </c>
      <c r="J303" s="576"/>
      <c r="K303" s="575"/>
      <c r="L303" s="73" t="str">
        <f ca="1">IF(足元帳!AB235="●","無",IF(足元帳!AC235="●","半",IF(AG303="周年","半",IF(AG303="プレ6","半",IF(AG303="6割","半","")))))</f>
        <v/>
      </c>
      <c r="M303" s="115" t="str">
        <f>IF(足元帳!AM235="","","○")&amp;IF(足元帳!AL235="","","○")</f>
        <v/>
      </c>
      <c r="N303" s="115" t="str">
        <f>IF(足元帳!AN235="","","○")</f>
        <v/>
      </c>
      <c r="O303" s="587" t="str">
        <f>IF(足元帳!U235="","",足元帳!U235)</f>
        <v/>
      </c>
      <c r="P303" s="565"/>
      <c r="Q303" s="565"/>
      <c r="R303" s="565" t="str">
        <f>IF(足元帳!V235="","",足元帳!V235)</f>
        <v/>
      </c>
      <c r="S303" s="565"/>
      <c r="T303" s="565"/>
      <c r="U303" s="565" t="str">
        <f>IF(足元帳!W235="","",足元帳!W235)</f>
        <v/>
      </c>
      <c r="V303" s="565"/>
      <c r="W303" s="565"/>
      <c r="X303" s="565" t="str">
        <f>IF(足元帳!X235="","",足元帳!X235)</f>
        <v/>
      </c>
      <c r="Y303" s="565"/>
      <c r="Z303" s="565"/>
      <c r="AA303" s="565" t="str">
        <f>IF(足元帳!Y235="","",足元帳!Y235)</f>
        <v/>
      </c>
      <c r="AB303" s="565"/>
      <c r="AC303" s="565"/>
      <c r="AD303" s="565" t="str">
        <f>IF(足元帳!Z235="","",足元帳!Z235)</f>
        <v/>
      </c>
      <c r="AE303" s="565"/>
      <c r="AF303" s="566"/>
      <c r="AG303" s="587" t="str">
        <f ca="1">IF(ISERROR(MATCH("●",足元帳!AD235:AM235,0)),IF(足元帳!AM235="","",足元帳!$AM$1&amp;足元帳!AM235),INDIRECT("足元帳!R1C"&amp;MATCH("●",足元帳!AD235:AM235,0)+29,FALSE))</f>
        <v/>
      </c>
      <c r="AH303" s="565"/>
      <c r="AI303" s="565"/>
      <c r="AJ303" s="565"/>
      <c r="AK303" s="565" t="str">
        <f>IF(足元帳!AT235="","",足元帳!AT235)</f>
        <v/>
      </c>
      <c r="AL303" s="565"/>
      <c r="AM303" s="565"/>
      <c r="AN303" s="565"/>
      <c r="AO303" s="565"/>
      <c r="AP303" s="565"/>
      <c r="AQ303" s="588"/>
    </row>
    <row r="304" spans="1:43" ht="22.5" customHeight="1">
      <c r="A304" s="586">
        <f t="shared" si="11"/>
        <v>235</v>
      </c>
      <c r="B304" s="566"/>
      <c r="C304" s="73" t="str">
        <f>IF(足元帳!AY236=1,"N",IF(足元帳!AY236=2,"R",""))</f>
        <v/>
      </c>
      <c r="D304" s="74" t="str">
        <f>IF(足元帳!AZ236&gt;0,VLOOKUP(足元帳!AZ236,管理シート!$CF$32:$CG$34,2,FALSE),"")</f>
        <v/>
      </c>
      <c r="E304" s="572" t="str">
        <f>IF(足元帳!BB236&gt;0,VLOOKUP(足元帳!BB236,管理シート!#REF!,2,FALSE),"")</f>
        <v/>
      </c>
      <c r="F304" s="573"/>
      <c r="G304" s="574">
        <f>足元帳!J236</f>
        <v>0</v>
      </c>
      <c r="H304" s="575"/>
      <c r="I304" s="574">
        <f>足元帳!K236</f>
        <v>0</v>
      </c>
      <c r="J304" s="576"/>
      <c r="K304" s="575"/>
      <c r="L304" s="73" t="str">
        <f ca="1">IF(足元帳!AB236="●","無",IF(足元帳!AC236="●","半",IF(AG304="周年","半",IF(AG304="プレ6","半",IF(AG304="6割","半","")))))</f>
        <v/>
      </c>
      <c r="M304" s="115" t="str">
        <f>IF(足元帳!AM236="","","○")&amp;IF(足元帳!AL236="","","○")</f>
        <v/>
      </c>
      <c r="N304" s="115" t="str">
        <f>IF(足元帳!AN236="","","○")</f>
        <v/>
      </c>
      <c r="O304" s="587" t="str">
        <f>IF(足元帳!U236="","",足元帳!U236)</f>
        <v/>
      </c>
      <c r="P304" s="565"/>
      <c r="Q304" s="565"/>
      <c r="R304" s="565" t="str">
        <f>IF(足元帳!V236="","",足元帳!V236)</f>
        <v/>
      </c>
      <c r="S304" s="565"/>
      <c r="T304" s="565"/>
      <c r="U304" s="565" t="str">
        <f>IF(足元帳!W236="","",足元帳!W236)</f>
        <v/>
      </c>
      <c r="V304" s="565"/>
      <c r="W304" s="565"/>
      <c r="X304" s="565" t="str">
        <f>IF(足元帳!X236="","",足元帳!X236)</f>
        <v/>
      </c>
      <c r="Y304" s="565"/>
      <c r="Z304" s="565"/>
      <c r="AA304" s="565" t="str">
        <f>IF(足元帳!Y236="","",足元帳!Y236)</f>
        <v/>
      </c>
      <c r="AB304" s="565"/>
      <c r="AC304" s="565"/>
      <c r="AD304" s="565" t="str">
        <f>IF(足元帳!Z236="","",足元帳!Z236)</f>
        <v/>
      </c>
      <c r="AE304" s="565"/>
      <c r="AF304" s="566"/>
      <c r="AG304" s="587" t="str">
        <f ca="1">IF(ISERROR(MATCH("●",足元帳!AD236:AM236,0)),IF(足元帳!AM236="","",足元帳!$AM$1&amp;足元帳!AM236),INDIRECT("足元帳!R1C"&amp;MATCH("●",足元帳!AD236:AM236,0)+29,FALSE))</f>
        <v/>
      </c>
      <c r="AH304" s="565"/>
      <c r="AI304" s="565"/>
      <c r="AJ304" s="565"/>
      <c r="AK304" s="565" t="str">
        <f>IF(足元帳!AT236="","",足元帳!AT236)</f>
        <v/>
      </c>
      <c r="AL304" s="565"/>
      <c r="AM304" s="565"/>
      <c r="AN304" s="565"/>
      <c r="AO304" s="565"/>
      <c r="AP304" s="565"/>
      <c r="AQ304" s="588"/>
    </row>
    <row r="305" spans="1:43" ht="22.5" customHeight="1">
      <c r="A305" s="586">
        <f t="shared" si="11"/>
        <v>236</v>
      </c>
      <c r="B305" s="566"/>
      <c r="C305" s="73" t="str">
        <f>IF(足元帳!AY237=1,"N",IF(足元帳!AY237=2,"R",""))</f>
        <v/>
      </c>
      <c r="D305" s="74" t="str">
        <f>IF(足元帳!AZ237&gt;0,VLOOKUP(足元帳!AZ237,管理シート!$CF$32:$CG$34,2,FALSE),"")</f>
        <v/>
      </c>
      <c r="E305" s="572" t="str">
        <f>IF(足元帳!BB237&gt;0,VLOOKUP(足元帳!BB237,管理シート!#REF!,2,FALSE),"")</f>
        <v/>
      </c>
      <c r="F305" s="573"/>
      <c r="G305" s="574">
        <f>足元帳!J237</f>
        <v>0</v>
      </c>
      <c r="H305" s="575"/>
      <c r="I305" s="574">
        <f>足元帳!K237</f>
        <v>0</v>
      </c>
      <c r="J305" s="576"/>
      <c r="K305" s="575"/>
      <c r="L305" s="73" t="str">
        <f ca="1">IF(足元帳!AB237="●","無",IF(足元帳!AC237="●","半",IF(AG305="周年","半",IF(AG305="プレ6","半",IF(AG305="6割","半","")))))</f>
        <v/>
      </c>
      <c r="M305" s="115" t="str">
        <f>IF(足元帳!AM237="","","○")&amp;IF(足元帳!AL237="","","○")</f>
        <v/>
      </c>
      <c r="N305" s="115" t="str">
        <f>IF(足元帳!AN237="","","○")</f>
        <v/>
      </c>
      <c r="O305" s="587" t="str">
        <f>IF(足元帳!U237="","",足元帳!U237)</f>
        <v/>
      </c>
      <c r="P305" s="565"/>
      <c r="Q305" s="565"/>
      <c r="R305" s="565" t="str">
        <f>IF(足元帳!V237="","",足元帳!V237)</f>
        <v/>
      </c>
      <c r="S305" s="565"/>
      <c r="T305" s="565"/>
      <c r="U305" s="565" t="str">
        <f>IF(足元帳!W237="","",足元帳!W237)</f>
        <v/>
      </c>
      <c r="V305" s="565"/>
      <c r="W305" s="565"/>
      <c r="X305" s="565" t="str">
        <f>IF(足元帳!X237="","",足元帳!X237)</f>
        <v/>
      </c>
      <c r="Y305" s="565"/>
      <c r="Z305" s="565"/>
      <c r="AA305" s="565" t="str">
        <f>IF(足元帳!Y237="","",足元帳!Y237)</f>
        <v/>
      </c>
      <c r="AB305" s="565"/>
      <c r="AC305" s="565"/>
      <c r="AD305" s="565" t="str">
        <f>IF(足元帳!Z237="","",足元帳!Z237)</f>
        <v/>
      </c>
      <c r="AE305" s="565"/>
      <c r="AF305" s="566"/>
      <c r="AG305" s="587" t="str">
        <f ca="1">IF(ISERROR(MATCH("●",足元帳!AD237:AM237,0)),IF(足元帳!AM237="","",足元帳!$AM$1&amp;足元帳!AM237),INDIRECT("足元帳!R1C"&amp;MATCH("●",足元帳!AD237:AM237,0)+29,FALSE))</f>
        <v/>
      </c>
      <c r="AH305" s="565"/>
      <c r="AI305" s="565"/>
      <c r="AJ305" s="565"/>
      <c r="AK305" s="565" t="str">
        <f>IF(足元帳!AT237="","",足元帳!AT237)</f>
        <v/>
      </c>
      <c r="AL305" s="565"/>
      <c r="AM305" s="565"/>
      <c r="AN305" s="565"/>
      <c r="AO305" s="565"/>
      <c r="AP305" s="565"/>
      <c r="AQ305" s="588"/>
    </row>
    <row r="306" spans="1:43" ht="22.5" customHeight="1">
      <c r="A306" s="586">
        <f t="shared" si="11"/>
        <v>237</v>
      </c>
      <c r="B306" s="566"/>
      <c r="C306" s="73" t="str">
        <f>IF(足元帳!AY238=1,"N",IF(足元帳!AY238=2,"R",""))</f>
        <v/>
      </c>
      <c r="D306" s="74" t="str">
        <f>IF(足元帳!AZ238&gt;0,VLOOKUP(足元帳!AZ238,管理シート!$CF$32:$CG$34,2,FALSE),"")</f>
        <v/>
      </c>
      <c r="E306" s="572" t="str">
        <f>IF(足元帳!BB238&gt;0,VLOOKUP(足元帳!BB238,管理シート!#REF!,2,FALSE),"")</f>
        <v/>
      </c>
      <c r="F306" s="573"/>
      <c r="G306" s="574">
        <f>足元帳!J238</f>
        <v>0</v>
      </c>
      <c r="H306" s="575"/>
      <c r="I306" s="574">
        <f>足元帳!K238</f>
        <v>0</v>
      </c>
      <c r="J306" s="576"/>
      <c r="K306" s="575"/>
      <c r="L306" s="73" t="str">
        <f ca="1">IF(足元帳!AB238="●","無",IF(足元帳!AC238="●","半",IF(AG306="周年","半",IF(AG306="プレ6","半",IF(AG306="6割","半","")))))</f>
        <v/>
      </c>
      <c r="M306" s="115" t="str">
        <f>IF(足元帳!AM238="","","○")&amp;IF(足元帳!AL238="","","○")</f>
        <v/>
      </c>
      <c r="N306" s="115" t="str">
        <f>IF(足元帳!AN238="","","○")</f>
        <v/>
      </c>
      <c r="O306" s="587" t="str">
        <f>IF(足元帳!U238="","",足元帳!U238)</f>
        <v/>
      </c>
      <c r="P306" s="565"/>
      <c r="Q306" s="565"/>
      <c r="R306" s="565" t="str">
        <f>IF(足元帳!V238="","",足元帳!V238)</f>
        <v/>
      </c>
      <c r="S306" s="565"/>
      <c r="T306" s="565"/>
      <c r="U306" s="565" t="str">
        <f>IF(足元帳!W238="","",足元帳!W238)</f>
        <v/>
      </c>
      <c r="V306" s="565"/>
      <c r="W306" s="565"/>
      <c r="X306" s="565" t="str">
        <f>IF(足元帳!X238="","",足元帳!X238)</f>
        <v/>
      </c>
      <c r="Y306" s="565"/>
      <c r="Z306" s="565"/>
      <c r="AA306" s="565" t="str">
        <f>IF(足元帳!Y238="","",足元帳!Y238)</f>
        <v/>
      </c>
      <c r="AB306" s="565"/>
      <c r="AC306" s="565"/>
      <c r="AD306" s="565" t="str">
        <f>IF(足元帳!Z238="","",足元帳!Z238)</f>
        <v/>
      </c>
      <c r="AE306" s="565"/>
      <c r="AF306" s="566"/>
      <c r="AG306" s="587" t="str">
        <f ca="1">IF(ISERROR(MATCH("●",足元帳!AD238:AM238,0)),IF(足元帳!AM238="","",足元帳!$AM$1&amp;足元帳!AM238),INDIRECT("足元帳!R1C"&amp;MATCH("●",足元帳!AD238:AM238,0)+29,FALSE))</f>
        <v/>
      </c>
      <c r="AH306" s="565"/>
      <c r="AI306" s="565"/>
      <c r="AJ306" s="565"/>
      <c r="AK306" s="565" t="str">
        <f>IF(足元帳!AT238="","",足元帳!AT238)</f>
        <v/>
      </c>
      <c r="AL306" s="565"/>
      <c r="AM306" s="565"/>
      <c r="AN306" s="565"/>
      <c r="AO306" s="565"/>
      <c r="AP306" s="565"/>
      <c r="AQ306" s="588"/>
    </row>
    <row r="307" spans="1:43" ht="22.5" customHeight="1">
      <c r="A307" s="586">
        <f t="shared" si="11"/>
        <v>238</v>
      </c>
      <c r="B307" s="566"/>
      <c r="C307" s="73" t="str">
        <f>IF(足元帳!AY239=1,"N",IF(足元帳!AY239=2,"R",""))</f>
        <v/>
      </c>
      <c r="D307" s="74" t="str">
        <f>IF(足元帳!AZ239&gt;0,VLOOKUP(足元帳!AZ239,管理シート!$CF$32:$CG$34,2,FALSE),"")</f>
        <v/>
      </c>
      <c r="E307" s="572" t="str">
        <f>IF(足元帳!BB239&gt;0,VLOOKUP(足元帳!BB239,管理シート!#REF!,2,FALSE),"")</f>
        <v/>
      </c>
      <c r="F307" s="573"/>
      <c r="G307" s="574">
        <f>足元帳!J239</f>
        <v>0</v>
      </c>
      <c r="H307" s="575"/>
      <c r="I307" s="574">
        <f>足元帳!K239</f>
        <v>0</v>
      </c>
      <c r="J307" s="576"/>
      <c r="K307" s="575"/>
      <c r="L307" s="73" t="str">
        <f ca="1">IF(足元帳!AB239="●","無",IF(足元帳!AC239="●","半",IF(AG307="周年","半",IF(AG307="プレ6","半",IF(AG307="6割","半","")))))</f>
        <v/>
      </c>
      <c r="M307" s="115" t="str">
        <f>IF(足元帳!AM239="","","○")&amp;IF(足元帳!AL239="","","○")</f>
        <v/>
      </c>
      <c r="N307" s="115" t="str">
        <f>IF(足元帳!AN239="","","○")</f>
        <v/>
      </c>
      <c r="O307" s="587" t="str">
        <f>IF(足元帳!U239="","",足元帳!U239)</f>
        <v/>
      </c>
      <c r="P307" s="565"/>
      <c r="Q307" s="565"/>
      <c r="R307" s="565" t="str">
        <f>IF(足元帳!V239="","",足元帳!V239)</f>
        <v/>
      </c>
      <c r="S307" s="565"/>
      <c r="T307" s="565"/>
      <c r="U307" s="565" t="str">
        <f>IF(足元帳!W239="","",足元帳!W239)</f>
        <v/>
      </c>
      <c r="V307" s="565"/>
      <c r="W307" s="565"/>
      <c r="X307" s="565" t="str">
        <f>IF(足元帳!X239="","",足元帳!X239)</f>
        <v/>
      </c>
      <c r="Y307" s="565"/>
      <c r="Z307" s="565"/>
      <c r="AA307" s="565" t="str">
        <f>IF(足元帳!Y239="","",足元帳!Y239)</f>
        <v/>
      </c>
      <c r="AB307" s="565"/>
      <c r="AC307" s="565"/>
      <c r="AD307" s="565" t="str">
        <f>IF(足元帳!Z239="","",足元帳!Z239)</f>
        <v/>
      </c>
      <c r="AE307" s="565"/>
      <c r="AF307" s="566"/>
      <c r="AG307" s="587" t="str">
        <f ca="1">IF(ISERROR(MATCH("●",足元帳!AD239:AM239,0)),IF(足元帳!AM239="","",足元帳!$AM$1&amp;足元帳!AM239),INDIRECT("足元帳!R1C"&amp;MATCH("●",足元帳!AD239:AM239,0)+29,FALSE))</f>
        <v/>
      </c>
      <c r="AH307" s="565"/>
      <c r="AI307" s="565"/>
      <c r="AJ307" s="565"/>
      <c r="AK307" s="565" t="str">
        <f>IF(足元帳!AT239="","",足元帳!AT239)</f>
        <v/>
      </c>
      <c r="AL307" s="565"/>
      <c r="AM307" s="565"/>
      <c r="AN307" s="565"/>
      <c r="AO307" s="565"/>
      <c r="AP307" s="565"/>
      <c r="AQ307" s="588"/>
    </row>
    <row r="308" spans="1:43" ht="22.5" customHeight="1">
      <c r="A308" s="586">
        <f t="shared" si="11"/>
        <v>239</v>
      </c>
      <c r="B308" s="566"/>
      <c r="C308" s="73" t="str">
        <f>IF(足元帳!AY240=1,"N",IF(足元帳!AY240=2,"R",""))</f>
        <v/>
      </c>
      <c r="D308" s="74" t="str">
        <f>IF(足元帳!AZ240&gt;0,VLOOKUP(足元帳!AZ240,管理シート!$CF$32:$CG$34,2,FALSE),"")</f>
        <v/>
      </c>
      <c r="E308" s="572" t="str">
        <f>IF(足元帳!BB240&gt;0,VLOOKUP(足元帳!BB240,管理シート!#REF!,2,FALSE),"")</f>
        <v/>
      </c>
      <c r="F308" s="573"/>
      <c r="G308" s="574">
        <f>足元帳!J240</f>
        <v>0</v>
      </c>
      <c r="H308" s="575"/>
      <c r="I308" s="574">
        <f>足元帳!K240</f>
        <v>0</v>
      </c>
      <c r="J308" s="576"/>
      <c r="K308" s="575"/>
      <c r="L308" s="73" t="str">
        <f ca="1">IF(足元帳!AB240="●","無",IF(足元帳!AC240="●","半",IF(AG308="周年","半",IF(AG308="プレ6","半",IF(AG308="6割","半","")))))</f>
        <v/>
      </c>
      <c r="M308" s="115" t="str">
        <f>IF(足元帳!AM240="","","○")&amp;IF(足元帳!AL240="","","○")</f>
        <v/>
      </c>
      <c r="N308" s="115" t="str">
        <f>IF(足元帳!AN240="","","○")</f>
        <v/>
      </c>
      <c r="O308" s="587" t="str">
        <f>IF(足元帳!U240="","",足元帳!U240)</f>
        <v/>
      </c>
      <c r="P308" s="565"/>
      <c r="Q308" s="565"/>
      <c r="R308" s="565" t="str">
        <f>IF(足元帳!V240="","",足元帳!V240)</f>
        <v/>
      </c>
      <c r="S308" s="565"/>
      <c r="T308" s="565"/>
      <c r="U308" s="565" t="str">
        <f>IF(足元帳!W240="","",足元帳!W240)</f>
        <v/>
      </c>
      <c r="V308" s="565"/>
      <c r="W308" s="565"/>
      <c r="X308" s="565" t="str">
        <f>IF(足元帳!X240="","",足元帳!X240)</f>
        <v/>
      </c>
      <c r="Y308" s="565"/>
      <c r="Z308" s="565"/>
      <c r="AA308" s="565" t="str">
        <f>IF(足元帳!Y240="","",足元帳!Y240)</f>
        <v/>
      </c>
      <c r="AB308" s="565"/>
      <c r="AC308" s="565"/>
      <c r="AD308" s="565" t="str">
        <f>IF(足元帳!Z240="","",足元帳!Z240)</f>
        <v/>
      </c>
      <c r="AE308" s="565"/>
      <c r="AF308" s="566"/>
      <c r="AG308" s="587" t="str">
        <f ca="1">IF(ISERROR(MATCH("●",足元帳!AD240:AM240,0)),IF(足元帳!AM240="","",足元帳!$AM$1&amp;足元帳!AM240),INDIRECT("足元帳!R1C"&amp;MATCH("●",足元帳!AD240:AM240,0)+29,FALSE))</f>
        <v/>
      </c>
      <c r="AH308" s="565"/>
      <c r="AI308" s="565"/>
      <c r="AJ308" s="565"/>
      <c r="AK308" s="565" t="str">
        <f>IF(足元帳!AT240="","",足元帳!AT240)</f>
        <v/>
      </c>
      <c r="AL308" s="565"/>
      <c r="AM308" s="565"/>
      <c r="AN308" s="565"/>
      <c r="AO308" s="565"/>
      <c r="AP308" s="565"/>
      <c r="AQ308" s="588"/>
    </row>
    <row r="309" spans="1:43" ht="22.5" customHeight="1">
      <c r="A309" s="586">
        <f t="shared" si="11"/>
        <v>240</v>
      </c>
      <c r="B309" s="566"/>
      <c r="C309" s="73" t="str">
        <f>IF(足元帳!AY241=1,"N",IF(足元帳!AY241=2,"R",""))</f>
        <v/>
      </c>
      <c r="D309" s="74" t="str">
        <f>IF(足元帳!AZ241&gt;0,VLOOKUP(足元帳!AZ241,管理シート!$CF$32:$CG$34,2,FALSE),"")</f>
        <v/>
      </c>
      <c r="E309" s="572" t="str">
        <f>IF(足元帳!BB241&gt;0,VLOOKUP(足元帳!BB241,管理シート!#REF!,2,FALSE),"")</f>
        <v/>
      </c>
      <c r="F309" s="573"/>
      <c r="G309" s="574">
        <f>足元帳!J241</f>
        <v>0</v>
      </c>
      <c r="H309" s="575"/>
      <c r="I309" s="574">
        <f>足元帳!K241</f>
        <v>0</v>
      </c>
      <c r="J309" s="576"/>
      <c r="K309" s="575"/>
      <c r="L309" s="73" t="str">
        <f ca="1">IF(足元帳!AB241="●","無",IF(足元帳!AC241="●","半",IF(AG309="周年","半",IF(AG309="プレ6","半",IF(AG309="6割","半","")))))</f>
        <v/>
      </c>
      <c r="M309" s="115" t="str">
        <f>IF(足元帳!AM241="","","○")&amp;IF(足元帳!AL241="","","○")</f>
        <v/>
      </c>
      <c r="N309" s="115" t="str">
        <f>IF(足元帳!AN241="","","○")</f>
        <v/>
      </c>
      <c r="O309" s="587" t="str">
        <f>IF(足元帳!U241="","",足元帳!U241)</f>
        <v/>
      </c>
      <c r="P309" s="565"/>
      <c r="Q309" s="565"/>
      <c r="R309" s="565" t="str">
        <f>IF(足元帳!V241="","",足元帳!V241)</f>
        <v/>
      </c>
      <c r="S309" s="565"/>
      <c r="T309" s="565"/>
      <c r="U309" s="565" t="str">
        <f>IF(足元帳!W241="","",足元帳!W241)</f>
        <v/>
      </c>
      <c r="V309" s="565"/>
      <c r="W309" s="565"/>
      <c r="X309" s="565" t="str">
        <f>IF(足元帳!X241="","",足元帳!X241)</f>
        <v/>
      </c>
      <c r="Y309" s="565"/>
      <c r="Z309" s="565"/>
      <c r="AA309" s="565" t="str">
        <f>IF(足元帳!Y241="","",足元帳!Y241)</f>
        <v/>
      </c>
      <c r="AB309" s="565"/>
      <c r="AC309" s="565"/>
      <c r="AD309" s="565" t="str">
        <f>IF(足元帳!Z241="","",足元帳!Z241)</f>
        <v/>
      </c>
      <c r="AE309" s="565"/>
      <c r="AF309" s="566"/>
      <c r="AG309" s="587" t="str">
        <f ca="1">IF(ISERROR(MATCH("●",足元帳!AD241:AM241,0)),IF(足元帳!AM241="","",足元帳!$AM$1&amp;足元帳!AM241),INDIRECT("足元帳!R1C"&amp;MATCH("●",足元帳!AD241:AM241,0)+29,FALSE))</f>
        <v/>
      </c>
      <c r="AH309" s="565"/>
      <c r="AI309" s="565"/>
      <c r="AJ309" s="565"/>
      <c r="AK309" s="565" t="str">
        <f>IF(足元帳!AT241="","",足元帳!AT241)</f>
        <v/>
      </c>
      <c r="AL309" s="565"/>
      <c r="AM309" s="565"/>
      <c r="AN309" s="565"/>
      <c r="AO309" s="565"/>
      <c r="AP309" s="565"/>
      <c r="AQ309" s="588"/>
    </row>
    <row r="310" spans="1:43" ht="22.5" customHeight="1">
      <c r="A310" s="586">
        <f t="shared" si="11"/>
        <v>241</v>
      </c>
      <c r="B310" s="566"/>
      <c r="C310" s="73" t="str">
        <f>IF(足元帳!AY242=1,"N",IF(足元帳!AY242=2,"R",""))</f>
        <v/>
      </c>
      <c r="D310" s="74" t="str">
        <f>IF(足元帳!AZ242&gt;0,VLOOKUP(足元帳!AZ242,管理シート!$CF$32:$CG$34,2,FALSE),"")</f>
        <v/>
      </c>
      <c r="E310" s="572" t="str">
        <f>IF(足元帳!BB242&gt;0,VLOOKUP(足元帳!BB242,管理シート!#REF!,2,FALSE),"")</f>
        <v/>
      </c>
      <c r="F310" s="573"/>
      <c r="G310" s="574">
        <f>足元帳!J242</f>
        <v>0</v>
      </c>
      <c r="H310" s="575"/>
      <c r="I310" s="574">
        <f>足元帳!K242</f>
        <v>0</v>
      </c>
      <c r="J310" s="576"/>
      <c r="K310" s="575"/>
      <c r="L310" s="73" t="str">
        <f ca="1">IF(足元帳!AB242="●","無",IF(足元帳!AC242="●","半",IF(AG310="周年","半",IF(AG310="プレ6","半",IF(AG310="6割","半","")))))</f>
        <v/>
      </c>
      <c r="M310" s="115" t="str">
        <f>IF(足元帳!AM242="","","○")&amp;IF(足元帳!AL242="","","○")</f>
        <v/>
      </c>
      <c r="N310" s="115" t="str">
        <f>IF(足元帳!AN242="","","○")</f>
        <v/>
      </c>
      <c r="O310" s="587" t="str">
        <f>IF(足元帳!U242="","",足元帳!U242)</f>
        <v/>
      </c>
      <c r="P310" s="565"/>
      <c r="Q310" s="565"/>
      <c r="R310" s="565" t="str">
        <f>IF(足元帳!V242="","",足元帳!V242)</f>
        <v/>
      </c>
      <c r="S310" s="565"/>
      <c r="T310" s="565"/>
      <c r="U310" s="565" t="str">
        <f>IF(足元帳!W242="","",足元帳!W242)</f>
        <v/>
      </c>
      <c r="V310" s="565"/>
      <c r="W310" s="565"/>
      <c r="X310" s="565" t="str">
        <f>IF(足元帳!X242="","",足元帳!X242)</f>
        <v/>
      </c>
      <c r="Y310" s="565"/>
      <c r="Z310" s="565"/>
      <c r="AA310" s="565" t="str">
        <f>IF(足元帳!Y242="","",足元帳!Y242)</f>
        <v/>
      </c>
      <c r="AB310" s="565"/>
      <c r="AC310" s="565"/>
      <c r="AD310" s="565" t="str">
        <f>IF(足元帳!Z242="","",足元帳!Z242)</f>
        <v/>
      </c>
      <c r="AE310" s="565"/>
      <c r="AF310" s="566"/>
      <c r="AG310" s="587" t="str">
        <f ca="1">IF(ISERROR(MATCH("●",足元帳!AD242:AM242,0)),IF(足元帳!AM242="","",足元帳!$AM$1&amp;足元帳!AM242),INDIRECT("足元帳!R1C"&amp;MATCH("●",足元帳!AD242:AM242,0)+29,FALSE))</f>
        <v/>
      </c>
      <c r="AH310" s="565"/>
      <c r="AI310" s="565"/>
      <c r="AJ310" s="565"/>
      <c r="AK310" s="565" t="str">
        <f>IF(足元帳!AT242="","",足元帳!AT242)</f>
        <v/>
      </c>
      <c r="AL310" s="565"/>
      <c r="AM310" s="565"/>
      <c r="AN310" s="565"/>
      <c r="AO310" s="565"/>
      <c r="AP310" s="565"/>
      <c r="AQ310" s="588"/>
    </row>
    <row r="311" spans="1:43" ht="22.5" customHeight="1">
      <c r="A311" s="586">
        <f t="shared" si="11"/>
        <v>242</v>
      </c>
      <c r="B311" s="566"/>
      <c r="C311" s="73" t="str">
        <f>IF(足元帳!AY243=1,"N",IF(足元帳!AY243=2,"R",""))</f>
        <v/>
      </c>
      <c r="D311" s="74" t="str">
        <f>IF(足元帳!AZ243&gt;0,VLOOKUP(足元帳!AZ243,管理シート!$CF$32:$CG$34,2,FALSE),"")</f>
        <v/>
      </c>
      <c r="E311" s="572" t="str">
        <f>IF(足元帳!BB243&gt;0,VLOOKUP(足元帳!BB243,管理シート!#REF!,2,FALSE),"")</f>
        <v/>
      </c>
      <c r="F311" s="573"/>
      <c r="G311" s="574">
        <f>足元帳!J243</f>
        <v>0</v>
      </c>
      <c r="H311" s="575"/>
      <c r="I311" s="574">
        <f>足元帳!K243</f>
        <v>0</v>
      </c>
      <c r="J311" s="576"/>
      <c r="K311" s="575"/>
      <c r="L311" s="73" t="str">
        <f ca="1">IF(足元帳!AB243="●","無",IF(足元帳!AC243="●","半",IF(AG311="周年","半",IF(AG311="プレ6","半",IF(AG311="6割","半","")))))</f>
        <v/>
      </c>
      <c r="M311" s="115" t="str">
        <f>IF(足元帳!AM243="","","○")&amp;IF(足元帳!AL243="","","○")</f>
        <v/>
      </c>
      <c r="N311" s="115" t="str">
        <f>IF(足元帳!AN243="","","○")</f>
        <v/>
      </c>
      <c r="O311" s="587" t="str">
        <f>IF(足元帳!U243="","",足元帳!U243)</f>
        <v/>
      </c>
      <c r="P311" s="565"/>
      <c r="Q311" s="565"/>
      <c r="R311" s="565" t="str">
        <f>IF(足元帳!V243="","",足元帳!V243)</f>
        <v/>
      </c>
      <c r="S311" s="565"/>
      <c r="T311" s="565"/>
      <c r="U311" s="565" t="str">
        <f>IF(足元帳!W243="","",足元帳!W243)</f>
        <v/>
      </c>
      <c r="V311" s="565"/>
      <c r="W311" s="565"/>
      <c r="X311" s="565" t="str">
        <f>IF(足元帳!X243="","",足元帳!X243)</f>
        <v/>
      </c>
      <c r="Y311" s="565"/>
      <c r="Z311" s="565"/>
      <c r="AA311" s="565" t="str">
        <f>IF(足元帳!Y243="","",足元帳!Y243)</f>
        <v/>
      </c>
      <c r="AB311" s="565"/>
      <c r="AC311" s="565"/>
      <c r="AD311" s="565" t="str">
        <f>IF(足元帳!Z243="","",足元帳!Z243)</f>
        <v/>
      </c>
      <c r="AE311" s="565"/>
      <c r="AF311" s="566"/>
      <c r="AG311" s="587" t="str">
        <f ca="1">IF(ISERROR(MATCH("●",足元帳!AD243:AM243,0)),IF(足元帳!AM243="","",足元帳!$AM$1&amp;足元帳!AM243),INDIRECT("足元帳!R1C"&amp;MATCH("●",足元帳!AD243:AM243,0)+29,FALSE))</f>
        <v/>
      </c>
      <c r="AH311" s="565"/>
      <c r="AI311" s="565"/>
      <c r="AJ311" s="565"/>
      <c r="AK311" s="565" t="str">
        <f>IF(足元帳!AT243="","",足元帳!AT243)</f>
        <v/>
      </c>
      <c r="AL311" s="565"/>
      <c r="AM311" s="565"/>
      <c r="AN311" s="565"/>
      <c r="AO311" s="565"/>
      <c r="AP311" s="565"/>
      <c r="AQ311" s="588"/>
    </row>
    <row r="312" spans="1:43" ht="22.5" customHeight="1">
      <c r="A312" s="586">
        <f t="shared" si="11"/>
        <v>243</v>
      </c>
      <c r="B312" s="566"/>
      <c r="C312" s="73" t="str">
        <f>IF(足元帳!AY244=1,"N",IF(足元帳!AY244=2,"R",""))</f>
        <v/>
      </c>
      <c r="D312" s="74" t="str">
        <f>IF(足元帳!AZ244&gt;0,VLOOKUP(足元帳!AZ244,管理シート!$CF$32:$CG$34,2,FALSE),"")</f>
        <v/>
      </c>
      <c r="E312" s="572" t="str">
        <f>IF(足元帳!BB244&gt;0,VLOOKUP(足元帳!BB244,管理シート!#REF!,2,FALSE),"")</f>
        <v/>
      </c>
      <c r="F312" s="573"/>
      <c r="G312" s="574">
        <f>足元帳!J244</f>
        <v>0</v>
      </c>
      <c r="H312" s="575"/>
      <c r="I312" s="574">
        <f>足元帳!K244</f>
        <v>0</v>
      </c>
      <c r="J312" s="576"/>
      <c r="K312" s="575"/>
      <c r="L312" s="73" t="str">
        <f ca="1">IF(足元帳!AB244="●","無",IF(足元帳!AC244="●","半",IF(AG312="周年","半",IF(AG312="プレ6","半",IF(AG312="6割","半","")))))</f>
        <v/>
      </c>
      <c r="M312" s="115" t="str">
        <f>IF(足元帳!AM244="","","○")&amp;IF(足元帳!AL244="","","○")</f>
        <v/>
      </c>
      <c r="N312" s="115" t="str">
        <f>IF(足元帳!AN244="","","○")</f>
        <v/>
      </c>
      <c r="O312" s="587" t="str">
        <f>IF(足元帳!U244="","",足元帳!U244)</f>
        <v/>
      </c>
      <c r="P312" s="565"/>
      <c r="Q312" s="565"/>
      <c r="R312" s="565" t="str">
        <f>IF(足元帳!V244="","",足元帳!V244)</f>
        <v/>
      </c>
      <c r="S312" s="565"/>
      <c r="T312" s="565"/>
      <c r="U312" s="565" t="str">
        <f>IF(足元帳!W244="","",足元帳!W244)</f>
        <v/>
      </c>
      <c r="V312" s="565"/>
      <c r="W312" s="565"/>
      <c r="X312" s="565" t="str">
        <f>IF(足元帳!X244="","",足元帳!X244)</f>
        <v/>
      </c>
      <c r="Y312" s="565"/>
      <c r="Z312" s="565"/>
      <c r="AA312" s="565" t="str">
        <f>IF(足元帳!Y244="","",足元帳!Y244)</f>
        <v/>
      </c>
      <c r="AB312" s="565"/>
      <c r="AC312" s="565"/>
      <c r="AD312" s="565" t="str">
        <f>IF(足元帳!Z244="","",足元帳!Z244)</f>
        <v/>
      </c>
      <c r="AE312" s="565"/>
      <c r="AF312" s="566"/>
      <c r="AG312" s="587" t="str">
        <f ca="1">IF(ISERROR(MATCH("●",足元帳!AD244:AM244,0)),IF(足元帳!AM244="","",足元帳!$AM$1&amp;足元帳!AM244),INDIRECT("足元帳!R1C"&amp;MATCH("●",足元帳!AD244:AM244,0)+29,FALSE))</f>
        <v/>
      </c>
      <c r="AH312" s="565"/>
      <c r="AI312" s="565"/>
      <c r="AJ312" s="565"/>
      <c r="AK312" s="565" t="str">
        <f>IF(足元帳!AT244="","",足元帳!AT244)</f>
        <v/>
      </c>
      <c r="AL312" s="565"/>
      <c r="AM312" s="565"/>
      <c r="AN312" s="565"/>
      <c r="AO312" s="565"/>
      <c r="AP312" s="565"/>
      <c r="AQ312" s="588"/>
    </row>
    <row r="313" spans="1:43" ht="22.5" customHeight="1">
      <c r="A313" s="586">
        <f t="shared" si="11"/>
        <v>244</v>
      </c>
      <c r="B313" s="566"/>
      <c r="C313" s="73" t="str">
        <f>IF(足元帳!AY245=1,"N",IF(足元帳!AY245=2,"R",""))</f>
        <v/>
      </c>
      <c r="D313" s="74" t="str">
        <f>IF(足元帳!AZ245&gt;0,VLOOKUP(足元帳!AZ245,管理シート!$CF$32:$CG$34,2,FALSE),"")</f>
        <v/>
      </c>
      <c r="E313" s="572" t="str">
        <f>IF(足元帳!BB245&gt;0,VLOOKUP(足元帳!BB245,管理シート!#REF!,2,FALSE),"")</f>
        <v/>
      </c>
      <c r="F313" s="573"/>
      <c r="G313" s="574">
        <f>足元帳!J245</f>
        <v>0</v>
      </c>
      <c r="H313" s="575"/>
      <c r="I313" s="574">
        <f>足元帳!K245</f>
        <v>0</v>
      </c>
      <c r="J313" s="576"/>
      <c r="K313" s="575"/>
      <c r="L313" s="73" t="str">
        <f ca="1">IF(足元帳!AB245="●","無",IF(足元帳!AC245="●","半",IF(AG313="周年","半",IF(AG313="プレ6","半",IF(AG313="6割","半","")))))</f>
        <v/>
      </c>
      <c r="M313" s="115" t="str">
        <f>IF(足元帳!AM245="","","○")&amp;IF(足元帳!AL245="","","○")</f>
        <v/>
      </c>
      <c r="N313" s="115" t="str">
        <f>IF(足元帳!AN245="","","○")</f>
        <v/>
      </c>
      <c r="O313" s="587" t="str">
        <f>IF(足元帳!U245="","",足元帳!U245)</f>
        <v/>
      </c>
      <c r="P313" s="565"/>
      <c r="Q313" s="565"/>
      <c r="R313" s="565" t="str">
        <f>IF(足元帳!V245="","",足元帳!V245)</f>
        <v/>
      </c>
      <c r="S313" s="565"/>
      <c r="T313" s="565"/>
      <c r="U313" s="565" t="str">
        <f>IF(足元帳!W245="","",足元帳!W245)</f>
        <v/>
      </c>
      <c r="V313" s="565"/>
      <c r="W313" s="565"/>
      <c r="X313" s="565" t="str">
        <f>IF(足元帳!X245="","",足元帳!X245)</f>
        <v/>
      </c>
      <c r="Y313" s="565"/>
      <c r="Z313" s="565"/>
      <c r="AA313" s="565" t="str">
        <f>IF(足元帳!Y245="","",足元帳!Y245)</f>
        <v/>
      </c>
      <c r="AB313" s="565"/>
      <c r="AC313" s="565"/>
      <c r="AD313" s="565" t="str">
        <f>IF(足元帳!Z245="","",足元帳!Z245)</f>
        <v/>
      </c>
      <c r="AE313" s="565"/>
      <c r="AF313" s="566"/>
      <c r="AG313" s="587" t="str">
        <f ca="1">IF(ISERROR(MATCH("●",足元帳!AD245:AM245,0)),IF(足元帳!AM245="","",足元帳!$AM$1&amp;足元帳!AM245),INDIRECT("足元帳!R1C"&amp;MATCH("●",足元帳!AD245:AM245,0)+29,FALSE))</f>
        <v/>
      </c>
      <c r="AH313" s="565"/>
      <c r="AI313" s="565"/>
      <c r="AJ313" s="565"/>
      <c r="AK313" s="565" t="str">
        <f>IF(足元帳!AT245="","",足元帳!AT245)</f>
        <v/>
      </c>
      <c r="AL313" s="565"/>
      <c r="AM313" s="565"/>
      <c r="AN313" s="565"/>
      <c r="AO313" s="565"/>
      <c r="AP313" s="565"/>
      <c r="AQ313" s="588"/>
    </row>
    <row r="314" spans="1:43" ht="22.5" customHeight="1" thickBot="1">
      <c r="A314" s="598">
        <f t="shared" si="11"/>
        <v>245</v>
      </c>
      <c r="B314" s="596"/>
      <c r="C314" s="73" t="str">
        <f>IF(足元帳!AY246=1,"N",IF(足元帳!AY246=2,"R",""))</f>
        <v/>
      </c>
      <c r="D314" s="74" t="str">
        <f>IF(足元帳!AZ246&gt;0,VLOOKUP(足元帳!AZ246,管理シート!$CF$32:$CG$34,2,FALSE),"")</f>
        <v/>
      </c>
      <c r="E314" s="572" t="str">
        <f>IF(足元帳!BB246&gt;0,VLOOKUP(足元帳!BB246,管理シート!#REF!,2,FALSE),"")</f>
        <v/>
      </c>
      <c r="F314" s="573"/>
      <c r="G314" s="574">
        <f>足元帳!J246</f>
        <v>0</v>
      </c>
      <c r="H314" s="575"/>
      <c r="I314" s="574">
        <f>足元帳!K246</f>
        <v>0</v>
      </c>
      <c r="J314" s="576"/>
      <c r="K314" s="575"/>
      <c r="L314" s="73" t="str">
        <f ca="1">IF(足元帳!AB246="●","無",IF(足元帳!AC246="●","半",IF(AG314="周年","半",IF(AG314="プレ6","半",IF(AG314="6割","半","")))))</f>
        <v/>
      </c>
      <c r="M314" s="115" t="str">
        <f>IF(足元帳!AM246="","","○")&amp;IF(足元帳!AL246="","","○")</f>
        <v/>
      </c>
      <c r="N314" s="115" t="str">
        <f>IF(足元帳!AN246="","","○")</f>
        <v/>
      </c>
      <c r="O314" s="587" t="str">
        <f>IF(足元帳!U246="","",足元帳!U246)</f>
        <v/>
      </c>
      <c r="P314" s="565"/>
      <c r="Q314" s="565"/>
      <c r="R314" s="565" t="str">
        <f>IF(足元帳!V246="","",足元帳!V246)</f>
        <v/>
      </c>
      <c r="S314" s="565"/>
      <c r="T314" s="565"/>
      <c r="U314" s="565" t="str">
        <f>IF(足元帳!W246="","",足元帳!W246)</f>
        <v/>
      </c>
      <c r="V314" s="565"/>
      <c r="W314" s="565"/>
      <c r="X314" s="565" t="str">
        <f>IF(足元帳!X246="","",足元帳!X246)</f>
        <v/>
      </c>
      <c r="Y314" s="565"/>
      <c r="Z314" s="565"/>
      <c r="AA314" s="565" t="str">
        <f>IF(足元帳!Y246="","",足元帳!Y246)</f>
        <v/>
      </c>
      <c r="AB314" s="565"/>
      <c r="AC314" s="565"/>
      <c r="AD314" s="565" t="str">
        <f>IF(足元帳!Z246="","",足元帳!Z246)</f>
        <v/>
      </c>
      <c r="AE314" s="565"/>
      <c r="AF314" s="566"/>
      <c r="AG314" s="587" t="str">
        <f ca="1">IF(ISERROR(MATCH("●",足元帳!AD246:AM246,0)),IF(足元帳!AM246="","",足元帳!$AM$1&amp;足元帳!AM246),INDIRECT("足元帳!R1C"&amp;MATCH("●",足元帳!AD246:AM246,0)+29,FALSE))</f>
        <v/>
      </c>
      <c r="AH314" s="565"/>
      <c r="AI314" s="565"/>
      <c r="AJ314" s="565"/>
      <c r="AK314" s="565" t="str">
        <f>IF(足元帳!AT246="","",足元帳!AT246)</f>
        <v/>
      </c>
      <c r="AL314" s="565"/>
      <c r="AM314" s="565"/>
      <c r="AN314" s="565"/>
      <c r="AO314" s="565"/>
      <c r="AP314" s="565"/>
      <c r="AQ314" s="588"/>
    </row>
    <row r="315" spans="1:43" ht="22.5" customHeight="1">
      <c r="A315" s="591"/>
      <c r="B315" s="592"/>
      <c r="C315" s="592" t="s">
        <v>11</v>
      </c>
      <c r="D315" s="592"/>
      <c r="E315" s="592"/>
      <c r="F315" s="592"/>
      <c r="G315" s="592" t="s">
        <v>153</v>
      </c>
      <c r="H315" s="592"/>
      <c r="I315" s="592"/>
      <c r="J315" s="592"/>
      <c r="K315" s="592"/>
      <c r="L315" s="592"/>
      <c r="M315" s="592"/>
      <c r="N315" s="592"/>
      <c r="O315" s="592" t="s">
        <v>154</v>
      </c>
      <c r="P315" s="592"/>
      <c r="Q315" s="592"/>
      <c r="R315" s="592"/>
      <c r="S315" s="592"/>
      <c r="T315" s="592"/>
      <c r="U315" s="592"/>
      <c r="V315" s="592"/>
      <c r="W315" s="592"/>
      <c r="X315" s="592"/>
      <c r="Y315" s="592" t="s">
        <v>155</v>
      </c>
      <c r="Z315" s="592"/>
      <c r="AA315" s="592"/>
      <c r="AB315" s="592"/>
      <c r="AC315" s="592"/>
      <c r="AD315" s="592"/>
      <c r="AE315" s="592"/>
      <c r="AF315" s="592"/>
      <c r="AG315" s="592" t="s">
        <v>156</v>
      </c>
      <c r="AH315" s="592"/>
      <c r="AI315" s="592" t="s">
        <v>157</v>
      </c>
      <c r="AJ315" s="592"/>
      <c r="AK315" s="592"/>
      <c r="AL315" s="592" t="s">
        <v>2</v>
      </c>
      <c r="AM315" s="592"/>
      <c r="AN315" s="592"/>
      <c r="AO315" s="592"/>
      <c r="AP315" s="592"/>
      <c r="AQ315" s="595"/>
    </row>
    <row r="316" spans="1:43" ht="22.5" customHeight="1">
      <c r="A316" s="593"/>
      <c r="B316" s="594"/>
      <c r="C316" s="594" t="s">
        <v>4</v>
      </c>
      <c r="D316" s="594"/>
      <c r="E316" s="594" t="s">
        <v>3</v>
      </c>
      <c r="F316" s="594"/>
      <c r="G316" s="594" t="s">
        <v>14</v>
      </c>
      <c r="H316" s="594"/>
      <c r="I316" s="594" t="s">
        <v>5</v>
      </c>
      <c r="J316" s="594"/>
      <c r="K316" s="594" t="s">
        <v>152</v>
      </c>
      <c r="L316" s="594"/>
      <c r="M316" s="594" t="s">
        <v>0</v>
      </c>
      <c r="N316" s="594"/>
      <c r="O316" s="594">
        <v>45</v>
      </c>
      <c r="P316" s="594"/>
      <c r="Q316" s="594">
        <v>60</v>
      </c>
      <c r="R316" s="594"/>
      <c r="S316" s="594">
        <v>70</v>
      </c>
      <c r="T316" s="594"/>
      <c r="U316" s="594">
        <v>90</v>
      </c>
      <c r="V316" s="594"/>
      <c r="W316" s="594">
        <v>110</v>
      </c>
      <c r="X316" s="594"/>
      <c r="Y316" s="594">
        <v>30</v>
      </c>
      <c r="Z316" s="594"/>
      <c r="AA316" s="594">
        <v>20</v>
      </c>
      <c r="AB316" s="594"/>
      <c r="AC316" s="594">
        <v>15</v>
      </c>
      <c r="AD316" s="594"/>
      <c r="AE316" s="594">
        <v>10</v>
      </c>
      <c r="AF316" s="594"/>
      <c r="AG316" s="594"/>
      <c r="AH316" s="594"/>
      <c r="AI316" s="594"/>
      <c r="AJ316" s="594"/>
      <c r="AK316" s="594"/>
      <c r="AL316" s="604"/>
      <c r="AM316" s="604"/>
      <c r="AN316" s="604"/>
      <c r="AO316" s="604"/>
      <c r="AP316" s="604"/>
      <c r="AQ316" s="605"/>
    </row>
    <row r="317" spans="1:43" ht="22.5" customHeight="1">
      <c r="A317" s="593" t="s">
        <v>158</v>
      </c>
      <c r="B317" s="594"/>
      <c r="C317" s="587">
        <f>SUM(C318:F318)</f>
        <v>0</v>
      </c>
      <c r="D317" s="565"/>
      <c r="E317" s="565"/>
      <c r="F317" s="566"/>
      <c r="G317" s="604">
        <f>SUM(G318:N318)</f>
        <v>0</v>
      </c>
      <c r="H317" s="604"/>
      <c r="I317" s="604"/>
      <c r="J317" s="604"/>
      <c r="K317" s="604"/>
      <c r="L317" s="604"/>
      <c r="M317" s="604"/>
      <c r="N317" s="604"/>
      <c r="O317" s="604">
        <f>SUM(O318:X318)</f>
        <v>0</v>
      </c>
      <c r="P317" s="604"/>
      <c r="Q317" s="604"/>
      <c r="R317" s="604"/>
      <c r="S317" s="604"/>
      <c r="T317" s="604"/>
      <c r="U317" s="604"/>
      <c r="V317" s="604"/>
      <c r="W317" s="604"/>
      <c r="X317" s="604"/>
      <c r="Y317" s="604"/>
      <c r="Z317" s="604"/>
      <c r="AA317" s="604"/>
      <c r="AB317" s="604"/>
      <c r="AC317" s="604"/>
      <c r="AD317" s="604"/>
      <c r="AE317" s="604"/>
      <c r="AF317" s="604"/>
      <c r="AG317" s="604"/>
      <c r="AH317" s="604"/>
      <c r="AI317" s="604"/>
      <c r="AJ317" s="604"/>
      <c r="AK317" s="604"/>
      <c r="AL317" s="604"/>
      <c r="AM317" s="604"/>
      <c r="AN317" s="604"/>
      <c r="AO317" s="604"/>
      <c r="AP317" s="604"/>
      <c r="AQ317" s="605"/>
    </row>
    <row r="318" spans="1:43" ht="22.5" customHeight="1">
      <c r="A318" s="593"/>
      <c r="B318" s="594"/>
      <c r="C318" s="604">
        <f>COUNTIF(C280:C314,"N")</f>
        <v>0</v>
      </c>
      <c r="D318" s="604"/>
      <c r="E318" s="604">
        <f>COUNTIF(C280:C314,"R")</f>
        <v>0</v>
      </c>
      <c r="F318" s="604"/>
      <c r="G318" s="604">
        <f>COUNTIF(D280:D314,"姫")</f>
        <v>0</v>
      </c>
      <c r="H318" s="604"/>
      <c r="I318" s="604">
        <f>COUNTIF(D280:D314,"本")</f>
        <v>0</v>
      </c>
      <c r="J318" s="604"/>
      <c r="K318" s="604">
        <f>COUNTIF(D280:D314,"ネ")</f>
        <v>0</v>
      </c>
      <c r="L318" s="604"/>
      <c r="M318" s="604">
        <f>COUNTIF(D280:D314,"写")</f>
        <v>0</v>
      </c>
      <c r="N318" s="604"/>
      <c r="O318" s="604">
        <f>COUNTIF(E280:F314,45)</f>
        <v>0</v>
      </c>
      <c r="P318" s="604"/>
      <c r="Q318" s="604">
        <f>COUNTIF(E280:F314,60)</f>
        <v>0</v>
      </c>
      <c r="R318" s="604"/>
      <c r="S318" s="604">
        <f>COUNTIF(E280:F314,70)</f>
        <v>0</v>
      </c>
      <c r="T318" s="604"/>
      <c r="U318" s="604">
        <f>COUNTIF(E280:F314,90)</f>
        <v>0</v>
      </c>
      <c r="V318" s="604"/>
      <c r="W318" s="604">
        <f>COUNTIF(E280:F314,110)</f>
        <v>0</v>
      </c>
      <c r="X318" s="604"/>
      <c r="Y318" s="604"/>
      <c r="Z318" s="604"/>
      <c r="AA318" s="604"/>
      <c r="AB318" s="604"/>
      <c r="AC318" s="604"/>
      <c r="AD318" s="604"/>
      <c r="AE318" s="604"/>
      <c r="AF318" s="604"/>
      <c r="AG318" s="604"/>
      <c r="AH318" s="604"/>
      <c r="AI318" s="604"/>
      <c r="AJ318" s="604"/>
      <c r="AK318" s="604"/>
      <c r="AL318" s="604"/>
      <c r="AM318" s="604"/>
      <c r="AN318" s="604"/>
      <c r="AO318" s="604"/>
      <c r="AP318" s="604"/>
      <c r="AQ318" s="605"/>
    </row>
    <row r="319" spans="1:43" ht="22.5" customHeight="1">
      <c r="A319" s="593" t="s">
        <v>159</v>
      </c>
      <c r="B319" s="594"/>
      <c r="C319" s="604"/>
      <c r="D319" s="604"/>
      <c r="E319" s="604"/>
      <c r="F319" s="604"/>
      <c r="G319" s="604"/>
      <c r="H319" s="604"/>
      <c r="I319" s="604"/>
      <c r="J319" s="604"/>
      <c r="K319" s="604"/>
      <c r="L319" s="604"/>
      <c r="M319" s="604"/>
      <c r="N319" s="604"/>
      <c r="O319" s="604"/>
      <c r="P319" s="604"/>
      <c r="Q319" s="604"/>
      <c r="R319" s="604"/>
      <c r="S319" s="604"/>
      <c r="T319" s="604"/>
      <c r="U319" s="604"/>
      <c r="V319" s="604"/>
      <c r="W319" s="604"/>
      <c r="X319" s="604"/>
      <c r="Y319" s="604"/>
      <c r="Z319" s="604"/>
      <c r="AA319" s="604"/>
      <c r="AB319" s="604"/>
      <c r="AC319" s="604"/>
      <c r="AD319" s="604"/>
      <c r="AE319" s="604"/>
      <c r="AF319" s="604"/>
      <c r="AG319" s="604"/>
      <c r="AH319" s="604"/>
      <c r="AI319" s="604"/>
      <c r="AJ319" s="604"/>
      <c r="AK319" s="604"/>
      <c r="AL319" s="604"/>
      <c r="AM319" s="604"/>
      <c r="AN319" s="604"/>
      <c r="AO319" s="604"/>
      <c r="AP319" s="604"/>
      <c r="AQ319" s="605"/>
    </row>
    <row r="320" spans="1:43" ht="22.5" customHeight="1" thickBot="1">
      <c r="A320" s="606"/>
      <c r="B320" s="607"/>
      <c r="C320" s="608"/>
      <c r="D320" s="608"/>
      <c r="E320" s="608"/>
      <c r="F320" s="608"/>
      <c r="G320" s="608"/>
      <c r="H320" s="608"/>
      <c r="I320" s="608"/>
      <c r="J320" s="608"/>
      <c r="K320" s="608"/>
      <c r="L320" s="608"/>
      <c r="M320" s="608"/>
      <c r="N320" s="608"/>
      <c r="O320" s="608"/>
      <c r="P320" s="608"/>
      <c r="Q320" s="608"/>
      <c r="R320" s="608"/>
      <c r="S320" s="608"/>
      <c r="T320" s="608"/>
      <c r="U320" s="608"/>
      <c r="V320" s="608"/>
      <c r="W320" s="608"/>
      <c r="X320" s="608"/>
      <c r="Y320" s="608"/>
      <c r="Z320" s="608"/>
      <c r="AA320" s="608"/>
      <c r="AB320" s="608"/>
      <c r="AC320" s="608"/>
      <c r="AD320" s="608"/>
      <c r="AE320" s="608"/>
      <c r="AF320" s="608"/>
      <c r="AG320" s="608"/>
      <c r="AH320" s="608"/>
      <c r="AI320" s="608"/>
      <c r="AJ320" s="608"/>
      <c r="AK320" s="608"/>
      <c r="AL320" s="608"/>
      <c r="AM320" s="608"/>
      <c r="AN320" s="608"/>
      <c r="AO320" s="608"/>
      <c r="AP320" s="608"/>
      <c r="AQ320" s="611"/>
    </row>
    <row r="321" spans="1:43" ht="22.5" customHeight="1">
      <c r="A321" s="609" t="s">
        <v>160</v>
      </c>
      <c r="B321" s="610"/>
      <c r="C321" s="610"/>
      <c r="D321" s="610"/>
      <c r="E321" s="610"/>
      <c r="F321" s="610"/>
      <c r="G321" s="610" t="s">
        <v>161</v>
      </c>
      <c r="H321" s="610"/>
      <c r="I321" s="610" t="s">
        <v>162</v>
      </c>
      <c r="J321" s="610"/>
      <c r="K321" s="610"/>
      <c r="L321" s="610"/>
      <c r="M321" s="610"/>
      <c r="N321" s="610"/>
      <c r="O321" s="610" t="s">
        <v>161</v>
      </c>
      <c r="P321" s="610"/>
      <c r="Q321" s="610" t="s">
        <v>163</v>
      </c>
      <c r="R321" s="610"/>
      <c r="S321" s="610"/>
      <c r="T321" s="610"/>
      <c r="U321" s="610"/>
      <c r="V321" s="610"/>
      <c r="W321" s="610" t="s">
        <v>164</v>
      </c>
      <c r="X321" s="610"/>
      <c r="Y321" s="610" t="s">
        <v>165</v>
      </c>
      <c r="Z321" s="610"/>
      <c r="AA321" s="610"/>
      <c r="AB321" s="610"/>
      <c r="AC321" s="610"/>
      <c r="AD321" s="610"/>
      <c r="AE321" s="610" t="s">
        <v>166</v>
      </c>
      <c r="AF321" s="610"/>
      <c r="AG321" s="610" t="s">
        <v>167</v>
      </c>
      <c r="AH321" s="610"/>
      <c r="AI321" s="610"/>
      <c r="AJ321" s="610"/>
      <c r="AK321" s="610"/>
      <c r="AL321" s="610"/>
      <c r="AM321" s="610"/>
      <c r="AN321" s="610"/>
      <c r="AO321" s="610"/>
      <c r="AP321" s="610"/>
      <c r="AQ321" s="614"/>
    </row>
    <row r="322" spans="1:43" ht="22.5" customHeight="1" thickBot="1">
      <c r="A322" s="615">
        <f>精算表!$BD$46</f>
        <v>0</v>
      </c>
      <c r="B322" s="616"/>
      <c r="C322" s="616"/>
      <c r="D322" s="616"/>
      <c r="E322" s="616"/>
      <c r="F322" s="616"/>
      <c r="G322" s="607" t="s">
        <v>161</v>
      </c>
      <c r="H322" s="607"/>
      <c r="I322" s="616">
        <f>精算表!$BD$49</f>
        <v>0</v>
      </c>
      <c r="J322" s="616"/>
      <c r="K322" s="616"/>
      <c r="L322" s="616"/>
      <c r="M322" s="616"/>
      <c r="N322" s="616"/>
      <c r="O322" s="607" t="s">
        <v>161</v>
      </c>
      <c r="P322" s="607"/>
      <c r="Q322" s="616">
        <f>精算表!$BD$50</f>
        <v>0</v>
      </c>
      <c r="R322" s="616"/>
      <c r="S322" s="616"/>
      <c r="T322" s="616"/>
      <c r="U322" s="616"/>
      <c r="V322" s="616"/>
      <c r="W322" s="607" t="s">
        <v>164</v>
      </c>
      <c r="X322" s="607"/>
      <c r="Y322" s="616">
        <f>精算表!$BD$56</f>
        <v>0</v>
      </c>
      <c r="Z322" s="616"/>
      <c r="AA322" s="616"/>
      <c r="AB322" s="616"/>
      <c r="AC322" s="616"/>
      <c r="AD322" s="616"/>
      <c r="AE322" s="607" t="s">
        <v>166</v>
      </c>
      <c r="AF322" s="607"/>
      <c r="AG322" s="613">
        <f>A322-I322-Q322+Y322</f>
        <v>0</v>
      </c>
      <c r="AH322" s="608"/>
      <c r="AI322" s="608"/>
      <c r="AJ322" s="608"/>
      <c r="AK322" s="608"/>
      <c r="AL322" s="608"/>
      <c r="AM322" s="608"/>
      <c r="AN322" s="608"/>
      <c r="AO322" s="608"/>
      <c r="AP322" s="608"/>
      <c r="AQ322" s="611"/>
    </row>
  </sheetData>
  <sheetProtection selectLockedCells="1" selectUnlockedCells="1"/>
  <mergeCells count="3668">
    <mergeCell ref="O319:P319"/>
    <mergeCell ref="Q319:R319"/>
    <mergeCell ref="AL317:AN318"/>
    <mergeCell ref="AO317:AQ318"/>
    <mergeCell ref="C319:D319"/>
    <mergeCell ref="AL315:AQ315"/>
    <mergeCell ref="C316:D316"/>
    <mergeCell ref="E316:F316"/>
    <mergeCell ref="G316:H316"/>
    <mergeCell ref="I316:J316"/>
    <mergeCell ref="K316:L316"/>
    <mergeCell ref="M316:N316"/>
    <mergeCell ref="O316:P316"/>
    <mergeCell ref="S316:T316"/>
    <mergeCell ref="W322:X322"/>
    <mergeCell ref="Y322:AD322"/>
    <mergeCell ref="AE322:AF322"/>
    <mergeCell ref="AG322:AQ322"/>
    <mergeCell ref="AE321:AF321"/>
    <mergeCell ref="O321:P321"/>
    <mergeCell ref="W321:X321"/>
    <mergeCell ref="G321:H321"/>
    <mergeCell ref="AG319:AH320"/>
    <mergeCell ref="AI319:AK320"/>
    <mergeCell ref="AL319:AN320"/>
    <mergeCell ref="AO319:AQ320"/>
    <mergeCell ref="AA318:AB318"/>
    <mergeCell ref="AC318:AD318"/>
    <mergeCell ref="AE318:AF318"/>
    <mergeCell ref="AF47:AG47"/>
    <mergeCell ref="AI47:AK47"/>
    <mergeCell ref="AN47:AO47"/>
    <mergeCell ref="AI1:AK1"/>
    <mergeCell ref="AN1:AO1"/>
    <mergeCell ref="A321:F321"/>
    <mergeCell ref="I321:N321"/>
    <mergeCell ref="Q321:V321"/>
    <mergeCell ref="Y321:AD321"/>
    <mergeCell ref="AG321:AQ321"/>
    <mergeCell ref="A322:F322"/>
    <mergeCell ref="G322:H322"/>
    <mergeCell ref="I322:N322"/>
    <mergeCell ref="O322:P322"/>
    <mergeCell ref="Q322:V322"/>
    <mergeCell ref="AA319:AB319"/>
    <mergeCell ref="AC319:AD319"/>
    <mergeCell ref="AE319:AF319"/>
    <mergeCell ref="AA314:AC314"/>
    <mergeCell ref="AD314:AF314"/>
    <mergeCell ref="AG314:AJ314"/>
    <mergeCell ref="AK314:AQ314"/>
    <mergeCell ref="A315:B316"/>
    <mergeCell ref="C315:F315"/>
    <mergeCell ref="G315:N315"/>
    <mergeCell ref="O315:X315"/>
    <mergeCell ref="Y315:AF315"/>
    <mergeCell ref="AG315:AH316"/>
    <mergeCell ref="AD313:AF313"/>
    <mergeCell ref="AG313:AJ313"/>
    <mergeCell ref="AK313:AQ313"/>
    <mergeCell ref="Y320:AF320"/>
    <mergeCell ref="E314:F314"/>
    <mergeCell ref="G314:H314"/>
    <mergeCell ref="I314:K314"/>
    <mergeCell ref="O314:Q314"/>
    <mergeCell ref="R314:T314"/>
    <mergeCell ref="U314:W314"/>
    <mergeCell ref="X314:Z314"/>
    <mergeCell ref="Q316:R316"/>
    <mergeCell ref="A314:B314"/>
    <mergeCell ref="A313:B313"/>
    <mergeCell ref="AL316:AN316"/>
    <mergeCell ref="AO316:AQ316"/>
    <mergeCell ref="U316:V316"/>
    <mergeCell ref="W316:X316"/>
    <mergeCell ref="Y316:Z316"/>
    <mergeCell ref="AA316:AB316"/>
    <mergeCell ref="AC316:AD316"/>
    <mergeCell ref="AE316:AF316"/>
    <mergeCell ref="AI315:AK316"/>
    <mergeCell ref="AD312:AF312"/>
    <mergeCell ref="AG312:AJ312"/>
    <mergeCell ref="AK312:AQ312"/>
    <mergeCell ref="E313:F313"/>
    <mergeCell ref="G313:H313"/>
    <mergeCell ref="I313:K313"/>
    <mergeCell ref="O313:Q313"/>
    <mergeCell ref="R313:T313"/>
    <mergeCell ref="U313:W313"/>
    <mergeCell ref="AD311:AF311"/>
    <mergeCell ref="AG311:AJ311"/>
    <mergeCell ref="AK311:AQ311"/>
    <mergeCell ref="E312:F312"/>
    <mergeCell ref="G312:H312"/>
    <mergeCell ref="I312:K312"/>
    <mergeCell ref="O312:Q312"/>
    <mergeCell ref="R312:T312"/>
    <mergeCell ref="U312:W312"/>
    <mergeCell ref="X312:Z312"/>
    <mergeCell ref="X313:Z313"/>
    <mergeCell ref="AA313:AC313"/>
    <mergeCell ref="AD310:AF310"/>
    <mergeCell ref="AG310:AJ310"/>
    <mergeCell ref="AK310:AQ310"/>
    <mergeCell ref="E311:F311"/>
    <mergeCell ref="G311:H311"/>
    <mergeCell ref="I311:K311"/>
    <mergeCell ref="O311:Q311"/>
    <mergeCell ref="R311:T311"/>
    <mergeCell ref="U311:W311"/>
    <mergeCell ref="AD309:AF309"/>
    <mergeCell ref="AG309:AJ309"/>
    <mergeCell ref="AK309:AQ309"/>
    <mergeCell ref="E310:F310"/>
    <mergeCell ref="G310:H310"/>
    <mergeCell ref="I310:K310"/>
    <mergeCell ref="O310:Q310"/>
    <mergeCell ref="R310:T310"/>
    <mergeCell ref="U310:W310"/>
    <mergeCell ref="X310:Z310"/>
    <mergeCell ref="AD308:AF308"/>
    <mergeCell ref="AG308:AJ308"/>
    <mergeCell ref="AK308:AQ308"/>
    <mergeCell ref="E309:F309"/>
    <mergeCell ref="G309:H309"/>
    <mergeCell ref="I309:K309"/>
    <mergeCell ref="O309:Q309"/>
    <mergeCell ref="R309:T309"/>
    <mergeCell ref="U309:W309"/>
    <mergeCell ref="AD307:AF307"/>
    <mergeCell ref="AG307:AJ307"/>
    <mergeCell ref="AK307:AQ307"/>
    <mergeCell ref="E308:F308"/>
    <mergeCell ref="G308:H308"/>
    <mergeCell ref="I308:K308"/>
    <mergeCell ref="O308:Q308"/>
    <mergeCell ref="R308:T308"/>
    <mergeCell ref="U308:W308"/>
    <mergeCell ref="X308:Z308"/>
    <mergeCell ref="AD306:AF306"/>
    <mergeCell ref="AG306:AJ306"/>
    <mergeCell ref="AK306:AQ306"/>
    <mergeCell ref="E307:F307"/>
    <mergeCell ref="G307:H307"/>
    <mergeCell ref="I307:K307"/>
    <mergeCell ref="O307:Q307"/>
    <mergeCell ref="R307:T307"/>
    <mergeCell ref="U307:W307"/>
    <mergeCell ref="AD305:AF305"/>
    <mergeCell ref="AG305:AJ305"/>
    <mergeCell ref="AK305:AQ305"/>
    <mergeCell ref="E306:F306"/>
    <mergeCell ref="G306:H306"/>
    <mergeCell ref="I306:K306"/>
    <mergeCell ref="O306:Q306"/>
    <mergeCell ref="R306:T306"/>
    <mergeCell ref="U306:W306"/>
    <mergeCell ref="X306:Z306"/>
    <mergeCell ref="AD304:AF304"/>
    <mergeCell ref="AG304:AJ304"/>
    <mergeCell ref="AK304:AQ304"/>
    <mergeCell ref="E305:F305"/>
    <mergeCell ref="G305:H305"/>
    <mergeCell ref="I305:K305"/>
    <mergeCell ref="O305:Q305"/>
    <mergeCell ref="R305:T305"/>
    <mergeCell ref="U305:W305"/>
    <mergeCell ref="AD303:AF303"/>
    <mergeCell ref="AG303:AJ303"/>
    <mergeCell ref="AK303:AQ303"/>
    <mergeCell ref="E304:F304"/>
    <mergeCell ref="G304:H304"/>
    <mergeCell ref="I304:K304"/>
    <mergeCell ref="O304:Q304"/>
    <mergeCell ref="R304:T304"/>
    <mergeCell ref="U304:W304"/>
    <mergeCell ref="X304:Z304"/>
    <mergeCell ref="AD302:AF302"/>
    <mergeCell ref="AG302:AJ302"/>
    <mergeCell ref="AK302:AQ302"/>
    <mergeCell ref="E303:F303"/>
    <mergeCell ref="G303:H303"/>
    <mergeCell ref="I303:K303"/>
    <mergeCell ref="O303:Q303"/>
    <mergeCell ref="R303:T303"/>
    <mergeCell ref="U303:W303"/>
    <mergeCell ref="AD301:AF301"/>
    <mergeCell ref="AG301:AJ301"/>
    <mergeCell ref="AK301:AQ301"/>
    <mergeCell ref="E302:F302"/>
    <mergeCell ref="G302:H302"/>
    <mergeCell ref="I302:K302"/>
    <mergeCell ref="O302:Q302"/>
    <mergeCell ref="R302:T302"/>
    <mergeCell ref="U302:W302"/>
    <mergeCell ref="X302:Z302"/>
    <mergeCell ref="AD300:AF300"/>
    <mergeCell ref="AG300:AJ300"/>
    <mergeCell ref="AK300:AQ300"/>
    <mergeCell ref="E301:F301"/>
    <mergeCell ref="G301:H301"/>
    <mergeCell ref="I301:K301"/>
    <mergeCell ref="O301:Q301"/>
    <mergeCell ref="R301:T301"/>
    <mergeCell ref="U301:W301"/>
    <mergeCell ref="AD299:AF299"/>
    <mergeCell ref="AG299:AJ299"/>
    <mergeCell ref="AK299:AQ299"/>
    <mergeCell ref="E300:F300"/>
    <mergeCell ref="G300:H300"/>
    <mergeCell ref="I300:K300"/>
    <mergeCell ref="O300:Q300"/>
    <mergeCell ref="R300:T300"/>
    <mergeCell ref="U300:W300"/>
    <mergeCell ref="X300:Z300"/>
    <mergeCell ref="AD298:AF298"/>
    <mergeCell ref="AG298:AJ298"/>
    <mergeCell ref="AK298:AQ298"/>
    <mergeCell ref="E299:F299"/>
    <mergeCell ref="G299:H299"/>
    <mergeCell ref="I299:K299"/>
    <mergeCell ref="O299:Q299"/>
    <mergeCell ref="R299:T299"/>
    <mergeCell ref="U299:W299"/>
    <mergeCell ref="AD297:AF297"/>
    <mergeCell ref="AG297:AJ297"/>
    <mergeCell ref="AK297:AQ297"/>
    <mergeCell ref="E298:F298"/>
    <mergeCell ref="G298:H298"/>
    <mergeCell ref="I298:K298"/>
    <mergeCell ref="O298:Q298"/>
    <mergeCell ref="R298:T298"/>
    <mergeCell ref="U298:W298"/>
    <mergeCell ref="X298:Z298"/>
    <mergeCell ref="AD296:AF296"/>
    <mergeCell ref="AG296:AJ296"/>
    <mergeCell ref="AK296:AQ296"/>
    <mergeCell ref="E297:F297"/>
    <mergeCell ref="G297:H297"/>
    <mergeCell ref="I297:K297"/>
    <mergeCell ref="O297:Q297"/>
    <mergeCell ref="R297:T297"/>
    <mergeCell ref="U297:W297"/>
    <mergeCell ref="AD295:AF295"/>
    <mergeCell ref="AG295:AJ295"/>
    <mergeCell ref="AK295:AQ295"/>
    <mergeCell ref="E296:F296"/>
    <mergeCell ref="G296:H296"/>
    <mergeCell ref="I296:K296"/>
    <mergeCell ref="O296:Q296"/>
    <mergeCell ref="R296:T296"/>
    <mergeCell ref="U296:W296"/>
    <mergeCell ref="X296:Z296"/>
    <mergeCell ref="AD294:AF294"/>
    <mergeCell ref="AG294:AJ294"/>
    <mergeCell ref="AK294:AQ294"/>
    <mergeCell ref="E295:F295"/>
    <mergeCell ref="G295:H295"/>
    <mergeCell ref="I295:K295"/>
    <mergeCell ref="O295:Q295"/>
    <mergeCell ref="R295:T295"/>
    <mergeCell ref="U295:W295"/>
    <mergeCell ref="AD293:AF293"/>
    <mergeCell ref="AG293:AJ293"/>
    <mergeCell ref="AK293:AQ293"/>
    <mergeCell ref="E294:F294"/>
    <mergeCell ref="G294:H294"/>
    <mergeCell ref="I294:K294"/>
    <mergeCell ref="O294:Q294"/>
    <mergeCell ref="R294:T294"/>
    <mergeCell ref="U294:W294"/>
    <mergeCell ref="X294:Z294"/>
    <mergeCell ref="AD292:AF292"/>
    <mergeCell ref="AG292:AJ292"/>
    <mergeCell ref="AK292:AQ292"/>
    <mergeCell ref="E293:F293"/>
    <mergeCell ref="G293:H293"/>
    <mergeCell ref="I293:K293"/>
    <mergeCell ref="O293:Q293"/>
    <mergeCell ref="R293:T293"/>
    <mergeCell ref="U293:W293"/>
    <mergeCell ref="AD291:AF291"/>
    <mergeCell ref="AG291:AJ291"/>
    <mergeCell ref="AK291:AQ291"/>
    <mergeCell ref="E292:F292"/>
    <mergeCell ref="G292:H292"/>
    <mergeCell ref="I292:K292"/>
    <mergeCell ref="O292:Q292"/>
    <mergeCell ref="R292:T292"/>
    <mergeCell ref="U292:W292"/>
    <mergeCell ref="X292:Z292"/>
    <mergeCell ref="AD290:AF290"/>
    <mergeCell ref="AG290:AJ290"/>
    <mergeCell ref="AK290:AQ290"/>
    <mergeCell ref="E291:F291"/>
    <mergeCell ref="G291:H291"/>
    <mergeCell ref="I291:K291"/>
    <mergeCell ref="O291:Q291"/>
    <mergeCell ref="R291:T291"/>
    <mergeCell ref="U291:W291"/>
    <mergeCell ref="AD289:AF289"/>
    <mergeCell ref="AG289:AJ289"/>
    <mergeCell ref="AK289:AQ289"/>
    <mergeCell ref="E290:F290"/>
    <mergeCell ref="G290:H290"/>
    <mergeCell ref="I290:K290"/>
    <mergeCell ref="O290:Q290"/>
    <mergeCell ref="R290:T290"/>
    <mergeCell ref="U290:W290"/>
    <mergeCell ref="X290:Z290"/>
    <mergeCell ref="AD288:AF288"/>
    <mergeCell ref="AG288:AJ288"/>
    <mergeCell ref="AK288:AQ288"/>
    <mergeCell ref="E289:F289"/>
    <mergeCell ref="G289:H289"/>
    <mergeCell ref="I289:K289"/>
    <mergeCell ref="O289:Q289"/>
    <mergeCell ref="R289:T289"/>
    <mergeCell ref="U289:W289"/>
    <mergeCell ref="AD287:AF287"/>
    <mergeCell ref="AG287:AJ287"/>
    <mergeCell ref="AK287:AQ287"/>
    <mergeCell ref="E288:F288"/>
    <mergeCell ref="G288:H288"/>
    <mergeCell ref="I288:K288"/>
    <mergeCell ref="O288:Q288"/>
    <mergeCell ref="R288:T288"/>
    <mergeCell ref="U288:W288"/>
    <mergeCell ref="X288:Z288"/>
    <mergeCell ref="E285:F285"/>
    <mergeCell ref="G285:H285"/>
    <mergeCell ref="I285:K285"/>
    <mergeCell ref="O285:Q285"/>
    <mergeCell ref="R285:T285"/>
    <mergeCell ref="U285:W285"/>
    <mergeCell ref="AD283:AF283"/>
    <mergeCell ref="AG283:AJ283"/>
    <mergeCell ref="AK283:AQ283"/>
    <mergeCell ref="E284:F284"/>
    <mergeCell ref="G284:H284"/>
    <mergeCell ref="I284:K284"/>
    <mergeCell ref="O284:Q284"/>
    <mergeCell ref="R284:T284"/>
    <mergeCell ref="U284:W284"/>
    <mergeCell ref="X284:Z284"/>
    <mergeCell ref="AA286:AC286"/>
    <mergeCell ref="AD286:AF286"/>
    <mergeCell ref="AG286:AJ286"/>
    <mergeCell ref="AK286:AQ286"/>
    <mergeCell ref="AD285:AF285"/>
    <mergeCell ref="AG285:AJ285"/>
    <mergeCell ref="AK285:AQ285"/>
    <mergeCell ref="E286:F286"/>
    <mergeCell ref="G286:H286"/>
    <mergeCell ref="I286:K286"/>
    <mergeCell ref="O286:Q286"/>
    <mergeCell ref="R286:T286"/>
    <mergeCell ref="U286:W286"/>
    <mergeCell ref="X286:Z286"/>
    <mergeCell ref="I283:K283"/>
    <mergeCell ref="O283:Q283"/>
    <mergeCell ref="AK281:AQ281"/>
    <mergeCell ref="E282:F282"/>
    <mergeCell ref="G282:H282"/>
    <mergeCell ref="I282:K282"/>
    <mergeCell ref="O282:Q282"/>
    <mergeCell ref="R282:T282"/>
    <mergeCell ref="U282:W282"/>
    <mergeCell ref="AA284:AC284"/>
    <mergeCell ref="AD284:AF284"/>
    <mergeCell ref="AG284:AJ284"/>
    <mergeCell ref="AK284:AQ284"/>
    <mergeCell ref="E272:F272"/>
    <mergeCell ref="G272:H272"/>
    <mergeCell ref="I272:J272"/>
    <mergeCell ref="K272:L272"/>
    <mergeCell ref="M272:N272"/>
    <mergeCell ref="O272:P272"/>
    <mergeCell ref="Q272:R272"/>
    <mergeCell ref="S272:T272"/>
    <mergeCell ref="Y275:AD275"/>
    <mergeCell ref="AD280:AF280"/>
    <mergeCell ref="AG280:AJ280"/>
    <mergeCell ref="AK280:AQ280"/>
    <mergeCell ref="E281:F281"/>
    <mergeCell ref="G281:H281"/>
    <mergeCell ref="I281:K281"/>
    <mergeCell ref="O281:Q281"/>
    <mergeCell ref="R281:T281"/>
    <mergeCell ref="AF277:AG277"/>
    <mergeCell ref="AI277:AK277"/>
    <mergeCell ref="AN277:AO277"/>
    <mergeCell ref="E280:F280"/>
    <mergeCell ref="X280:Z280"/>
    <mergeCell ref="AA280:AC280"/>
    <mergeCell ref="E279:F279"/>
    <mergeCell ref="G279:H279"/>
    <mergeCell ref="I279:K279"/>
    <mergeCell ref="O279:AF279"/>
    <mergeCell ref="A271:B272"/>
    <mergeCell ref="C271:F271"/>
    <mergeCell ref="G271:N271"/>
    <mergeCell ref="O271:X271"/>
    <mergeCell ref="Y271:AF271"/>
    <mergeCell ref="C273:D273"/>
    <mergeCell ref="E273:F273"/>
    <mergeCell ref="M273:N273"/>
    <mergeCell ref="A275:F275"/>
    <mergeCell ref="G275:H275"/>
    <mergeCell ref="I275:N275"/>
    <mergeCell ref="O275:P275"/>
    <mergeCell ref="Q275:V275"/>
    <mergeCell ref="W275:X275"/>
    <mergeCell ref="A273:B274"/>
    <mergeCell ref="AE275:AF275"/>
    <mergeCell ref="C274:F274"/>
    <mergeCell ref="AL269:AQ269"/>
    <mergeCell ref="C270:D270"/>
    <mergeCell ref="E270:F270"/>
    <mergeCell ref="G270:H270"/>
    <mergeCell ref="I270:J270"/>
    <mergeCell ref="K270:L270"/>
    <mergeCell ref="M270:N270"/>
    <mergeCell ref="O270:P270"/>
    <mergeCell ref="Q270:R270"/>
    <mergeCell ref="S270:T270"/>
    <mergeCell ref="U272:V272"/>
    <mergeCell ref="W272:X272"/>
    <mergeCell ref="Y272:Z272"/>
    <mergeCell ref="AA272:AB272"/>
    <mergeCell ref="AC272:AD272"/>
    <mergeCell ref="AE272:AF272"/>
    <mergeCell ref="AO271:AQ272"/>
    <mergeCell ref="C272:D272"/>
    <mergeCell ref="AG271:AH272"/>
    <mergeCell ref="AI271:AK272"/>
    <mergeCell ref="AL271:AN272"/>
    <mergeCell ref="AD268:AF268"/>
    <mergeCell ref="AG268:AJ268"/>
    <mergeCell ref="AK268:AQ268"/>
    <mergeCell ref="A269:B270"/>
    <mergeCell ref="C269:F269"/>
    <mergeCell ref="G269:N269"/>
    <mergeCell ref="O269:X269"/>
    <mergeCell ref="Y269:AF269"/>
    <mergeCell ref="AG269:AH270"/>
    <mergeCell ref="AI269:AK270"/>
    <mergeCell ref="AA267:AC267"/>
    <mergeCell ref="AD267:AF267"/>
    <mergeCell ref="AG267:AJ267"/>
    <mergeCell ref="AK267:AQ267"/>
    <mergeCell ref="E268:F268"/>
    <mergeCell ref="G268:H268"/>
    <mergeCell ref="I268:K268"/>
    <mergeCell ref="O268:Q268"/>
    <mergeCell ref="R268:T268"/>
    <mergeCell ref="U268:W268"/>
    <mergeCell ref="A268:B268"/>
    <mergeCell ref="X268:Z268"/>
    <mergeCell ref="AA268:AC268"/>
    <mergeCell ref="A267:B267"/>
    <mergeCell ref="AL270:AN270"/>
    <mergeCell ref="AO270:AQ270"/>
    <mergeCell ref="U270:V270"/>
    <mergeCell ref="W270:X270"/>
    <mergeCell ref="Y270:Z270"/>
    <mergeCell ref="AA270:AB270"/>
    <mergeCell ref="AC270:AD270"/>
    <mergeCell ref="AE270:AF270"/>
    <mergeCell ref="E267:F267"/>
    <mergeCell ref="G267:H267"/>
    <mergeCell ref="I267:K267"/>
    <mergeCell ref="O267:Q267"/>
    <mergeCell ref="R267:T267"/>
    <mergeCell ref="U267:W267"/>
    <mergeCell ref="X267:Z267"/>
    <mergeCell ref="AA265:AC265"/>
    <mergeCell ref="AD265:AF265"/>
    <mergeCell ref="AG265:AJ265"/>
    <mergeCell ref="AK265:AQ265"/>
    <mergeCell ref="E266:F266"/>
    <mergeCell ref="G266:H266"/>
    <mergeCell ref="I266:K266"/>
    <mergeCell ref="O266:Q266"/>
    <mergeCell ref="R266:T266"/>
    <mergeCell ref="U266:W266"/>
    <mergeCell ref="AD262:AF262"/>
    <mergeCell ref="AG262:AJ262"/>
    <mergeCell ref="AK262:AQ262"/>
    <mergeCell ref="E263:F263"/>
    <mergeCell ref="G263:H263"/>
    <mergeCell ref="I263:K263"/>
    <mergeCell ref="O263:Q263"/>
    <mergeCell ref="R263:T263"/>
    <mergeCell ref="U263:W263"/>
    <mergeCell ref="X263:Z263"/>
    <mergeCell ref="AA261:AC261"/>
    <mergeCell ref="AD261:AF261"/>
    <mergeCell ref="AG261:AJ261"/>
    <mergeCell ref="AK261:AQ261"/>
    <mergeCell ref="E262:F262"/>
    <mergeCell ref="G262:H262"/>
    <mergeCell ref="I262:K262"/>
    <mergeCell ref="O262:Q262"/>
    <mergeCell ref="R262:T262"/>
    <mergeCell ref="U262:W262"/>
    <mergeCell ref="AA263:AC263"/>
    <mergeCell ref="AD263:AF263"/>
    <mergeCell ref="AG263:AJ263"/>
    <mergeCell ref="AK263:AQ263"/>
    <mergeCell ref="AD260:AF260"/>
    <mergeCell ref="AG260:AJ260"/>
    <mergeCell ref="AK260:AQ260"/>
    <mergeCell ref="E261:F261"/>
    <mergeCell ref="G261:H261"/>
    <mergeCell ref="I261:K261"/>
    <mergeCell ref="O261:Q261"/>
    <mergeCell ref="R261:T261"/>
    <mergeCell ref="U261:W261"/>
    <mergeCell ref="X261:Z261"/>
    <mergeCell ref="AA259:AC259"/>
    <mergeCell ref="AD259:AF259"/>
    <mergeCell ref="AG259:AJ259"/>
    <mergeCell ref="AK259:AQ259"/>
    <mergeCell ref="E260:F260"/>
    <mergeCell ref="G260:H260"/>
    <mergeCell ref="I260:K260"/>
    <mergeCell ref="O260:Q260"/>
    <mergeCell ref="R260:T260"/>
    <mergeCell ref="U260:W260"/>
    <mergeCell ref="AD258:AF258"/>
    <mergeCell ref="AG258:AJ258"/>
    <mergeCell ref="AK258:AQ258"/>
    <mergeCell ref="E259:F259"/>
    <mergeCell ref="G259:H259"/>
    <mergeCell ref="I259:K259"/>
    <mergeCell ref="O259:Q259"/>
    <mergeCell ref="R259:T259"/>
    <mergeCell ref="U259:W259"/>
    <mergeCell ref="X259:Z259"/>
    <mergeCell ref="AA257:AC257"/>
    <mergeCell ref="AD257:AF257"/>
    <mergeCell ref="AG257:AJ257"/>
    <mergeCell ref="AK257:AQ257"/>
    <mergeCell ref="E258:F258"/>
    <mergeCell ref="G258:H258"/>
    <mergeCell ref="I258:K258"/>
    <mergeCell ref="O258:Q258"/>
    <mergeCell ref="R258:T258"/>
    <mergeCell ref="U258:W258"/>
    <mergeCell ref="AD256:AF256"/>
    <mergeCell ref="AG256:AJ256"/>
    <mergeCell ref="AK256:AQ256"/>
    <mergeCell ref="E257:F257"/>
    <mergeCell ref="G257:H257"/>
    <mergeCell ref="I257:K257"/>
    <mergeCell ref="O257:Q257"/>
    <mergeCell ref="R257:T257"/>
    <mergeCell ref="U257:W257"/>
    <mergeCell ref="X257:Z257"/>
    <mergeCell ref="AA255:AC255"/>
    <mergeCell ref="AD255:AF255"/>
    <mergeCell ref="AG255:AJ255"/>
    <mergeCell ref="AK255:AQ255"/>
    <mergeCell ref="E256:F256"/>
    <mergeCell ref="G256:H256"/>
    <mergeCell ref="I256:K256"/>
    <mergeCell ref="O256:Q256"/>
    <mergeCell ref="R256:T256"/>
    <mergeCell ref="U256:W256"/>
    <mergeCell ref="AD254:AF254"/>
    <mergeCell ref="AG254:AJ254"/>
    <mergeCell ref="AK254:AQ254"/>
    <mergeCell ref="E255:F255"/>
    <mergeCell ref="G255:H255"/>
    <mergeCell ref="I255:K255"/>
    <mergeCell ref="O255:Q255"/>
    <mergeCell ref="R255:T255"/>
    <mergeCell ref="U255:W255"/>
    <mergeCell ref="X255:Z255"/>
    <mergeCell ref="AA253:AC253"/>
    <mergeCell ref="AD253:AF253"/>
    <mergeCell ref="AG253:AJ253"/>
    <mergeCell ref="AK253:AQ253"/>
    <mergeCell ref="E254:F254"/>
    <mergeCell ref="G254:H254"/>
    <mergeCell ref="I254:K254"/>
    <mergeCell ref="O254:Q254"/>
    <mergeCell ref="R254:T254"/>
    <mergeCell ref="U254:W254"/>
    <mergeCell ref="AD252:AF252"/>
    <mergeCell ref="AG252:AJ252"/>
    <mergeCell ref="AK252:AQ252"/>
    <mergeCell ref="E253:F253"/>
    <mergeCell ref="G253:H253"/>
    <mergeCell ref="I253:K253"/>
    <mergeCell ref="O253:Q253"/>
    <mergeCell ref="R253:T253"/>
    <mergeCell ref="U253:W253"/>
    <mergeCell ref="X253:Z253"/>
    <mergeCell ref="AA251:AC251"/>
    <mergeCell ref="AD251:AF251"/>
    <mergeCell ref="AG251:AJ251"/>
    <mergeCell ref="AK251:AQ251"/>
    <mergeCell ref="E252:F252"/>
    <mergeCell ref="G252:H252"/>
    <mergeCell ref="I252:K252"/>
    <mergeCell ref="O252:Q252"/>
    <mergeCell ref="R252:T252"/>
    <mergeCell ref="U252:W252"/>
    <mergeCell ref="AD250:AF250"/>
    <mergeCell ref="AG250:AJ250"/>
    <mergeCell ref="AK250:AQ250"/>
    <mergeCell ref="E251:F251"/>
    <mergeCell ref="G251:H251"/>
    <mergeCell ref="I251:K251"/>
    <mergeCell ref="O251:Q251"/>
    <mergeCell ref="R251:T251"/>
    <mergeCell ref="U251:W251"/>
    <mergeCell ref="X251:Z251"/>
    <mergeCell ref="AA249:AC249"/>
    <mergeCell ref="AD249:AF249"/>
    <mergeCell ref="AG249:AJ249"/>
    <mergeCell ref="AK249:AQ249"/>
    <mergeCell ref="E250:F250"/>
    <mergeCell ref="G250:H250"/>
    <mergeCell ref="I250:K250"/>
    <mergeCell ref="O250:Q250"/>
    <mergeCell ref="R250:T250"/>
    <mergeCell ref="U250:W250"/>
    <mergeCell ref="AD248:AF248"/>
    <mergeCell ref="AG248:AJ248"/>
    <mergeCell ref="AK248:AQ248"/>
    <mergeCell ref="E249:F249"/>
    <mergeCell ref="G249:H249"/>
    <mergeCell ref="I249:K249"/>
    <mergeCell ref="O249:Q249"/>
    <mergeCell ref="R249:T249"/>
    <mergeCell ref="U249:W249"/>
    <mergeCell ref="X249:Z249"/>
    <mergeCell ref="AA247:AC247"/>
    <mergeCell ref="AD247:AF247"/>
    <mergeCell ref="AG247:AJ247"/>
    <mergeCell ref="AK247:AQ247"/>
    <mergeCell ref="E248:F248"/>
    <mergeCell ref="G248:H248"/>
    <mergeCell ref="I248:K248"/>
    <mergeCell ref="O248:Q248"/>
    <mergeCell ref="R248:T248"/>
    <mergeCell ref="U248:W248"/>
    <mergeCell ref="AD246:AF246"/>
    <mergeCell ref="AG246:AJ246"/>
    <mergeCell ref="AK246:AQ246"/>
    <mergeCell ref="E247:F247"/>
    <mergeCell ref="G247:H247"/>
    <mergeCell ref="I247:K247"/>
    <mergeCell ref="O247:Q247"/>
    <mergeCell ref="R247:T247"/>
    <mergeCell ref="U247:W247"/>
    <mergeCell ref="X247:Z247"/>
    <mergeCell ref="AA245:AC245"/>
    <mergeCell ref="AD245:AF245"/>
    <mergeCell ref="AG245:AJ245"/>
    <mergeCell ref="AK245:AQ245"/>
    <mergeCell ref="E246:F246"/>
    <mergeCell ref="G246:H246"/>
    <mergeCell ref="I246:K246"/>
    <mergeCell ref="O246:Q246"/>
    <mergeCell ref="R246:T246"/>
    <mergeCell ref="U246:W246"/>
    <mergeCell ref="AD244:AF244"/>
    <mergeCell ref="AG244:AJ244"/>
    <mergeCell ref="AK244:AQ244"/>
    <mergeCell ref="E245:F245"/>
    <mergeCell ref="G245:H245"/>
    <mergeCell ref="I245:K245"/>
    <mergeCell ref="O245:Q245"/>
    <mergeCell ref="R245:T245"/>
    <mergeCell ref="U245:W245"/>
    <mergeCell ref="X245:Z245"/>
    <mergeCell ref="AA243:AC243"/>
    <mergeCell ref="AD243:AF243"/>
    <mergeCell ref="AG243:AJ243"/>
    <mergeCell ref="AK243:AQ243"/>
    <mergeCell ref="E244:F244"/>
    <mergeCell ref="G244:H244"/>
    <mergeCell ref="I244:K244"/>
    <mergeCell ref="O244:Q244"/>
    <mergeCell ref="R244:T244"/>
    <mergeCell ref="U244:W244"/>
    <mergeCell ref="AD242:AF242"/>
    <mergeCell ref="AG242:AJ242"/>
    <mergeCell ref="AK242:AQ242"/>
    <mergeCell ref="E243:F243"/>
    <mergeCell ref="G243:H243"/>
    <mergeCell ref="I243:K243"/>
    <mergeCell ref="O243:Q243"/>
    <mergeCell ref="R243:T243"/>
    <mergeCell ref="U243:W243"/>
    <mergeCell ref="X243:Z243"/>
    <mergeCell ref="AA241:AC241"/>
    <mergeCell ref="AD241:AF241"/>
    <mergeCell ref="AG241:AJ241"/>
    <mergeCell ref="AK241:AQ241"/>
    <mergeCell ref="E242:F242"/>
    <mergeCell ref="G242:H242"/>
    <mergeCell ref="I242:K242"/>
    <mergeCell ref="O242:Q242"/>
    <mergeCell ref="R242:T242"/>
    <mergeCell ref="U242:W242"/>
    <mergeCell ref="AD240:AF240"/>
    <mergeCell ref="AG240:AJ240"/>
    <mergeCell ref="AK240:AQ240"/>
    <mergeCell ref="E241:F241"/>
    <mergeCell ref="G241:H241"/>
    <mergeCell ref="I241:K241"/>
    <mergeCell ref="O241:Q241"/>
    <mergeCell ref="R241:T241"/>
    <mergeCell ref="U241:W241"/>
    <mergeCell ref="X241:Z241"/>
    <mergeCell ref="AA239:AC239"/>
    <mergeCell ref="AD239:AF239"/>
    <mergeCell ref="AG239:AJ239"/>
    <mergeCell ref="AK239:AQ239"/>
    <mergeCell ref="E240:F240"/>
    <mergeCell ref="G240:H240"/>
    <mergeCell ref="I240:K240"/>
    <mergeCell ref="O240:Q240"/>
    <mergeCell ref="R240:T240"/>
    <mergeCell ref="U240:W240"/>
    <mergeCell ref="AD238:AF238"/>
    <mergeCell ref="AG238:AJ238"/>
    <mergeCell ref="AK238:AQ238"/>
    <mergeCell ref="E239:F239"/>
    <mergeCell ref="G239:H239"/>
    <mergeCell ref="I239:K239"/>
    <mergeCell ref="O239:Q239"/>
    <mergeCell ref="R239:T239"/>
    <mergeCell ref="U239:W239"/>
    <mergeCell ref="X239:Z239"/>
    <mergeCell ref="AA237:AC237"/>
    <mergeCell ref="AD237:AF237"/>
    <mergeCell ref="AG237:AJ237"/>
    <mergeCell ref="AK237:AQ237"/>
    <mergeCell ref="E238:F238"/>
    <mergeCell ref="G238:H238"/>
    <mergeCell ref="I238:K238"/>
    <mergeCell ref="O238:Q238"/>
    <mergeCell ref="R238:T238"/>
    <mergeCell ref="U238:W238"/>
    <mergeCell ref="U235:W235"/>
    <mergeCell ref="X235:Z235"/>
    <mergeCell ref="AA235:AC235"/>
    <mergeCell ref="AG233:AQ233"/>
    <mergeCell ref="E234:F234"/>
    <mergeCell ref="G234:H234"/>
    <mergeCell ref="I234:K234"/>
    <mergeCell ref="O234:Q234"/>
    <mergeCell ref="R234:T234"/>
    <mergeCell ref="U234:W234"/>
    <mergeCell ref="X234:Z234"/>
    <mergeCell ref="AA234:AC234"/>
    <mergeCell ref="AD234:AF234"/>
    <mergeCell ref="I233:K233"/>
    <mergeCell ref="O233:AF233"/>
    <mergeCell ref="AD236:AF236"/>
    <mergeCell ref="AG236:AJ236"/>
    <mergeCell ref="AK236:AQ236"/>
    <mergeCell ref="AD235:AF235"/>
    <mergeCell ref="AG235:AJ235"/>
    <mergeCell ref="AK235:AQ235"/>
    <mergeCell ref="E236:F236"/>
    <mergeCell ref="G236:H236"/>
    <mergeCell ref="I236:K236"/>
    <mergeCell ref="O236:Q236"/>
    <mergeCell ref="R236:T236"/>
    <mergeCell ref="U236:W236"/>
    <mergeCell ref="X236:Z236"/>
    <mergeCell ref="AK222:AQ222"/>
    <mergeCell ref="AL231:AM231"/>
    <mergeCell ref="AP231:AQ231"/>
    <mergeCell ref="AF231:AG231"/>
    <mergeCell ref="AI231:AK231"/>
    <mergeCell ref="AN231:AO231"/>
    <mergeCell ref="AD221:AF221"/>
    <mergeCell ref="AG221:AJ221"/>
    <mergeCell ref="AK221:AQ221"/>
    <mergeCell ref="E222:F222"/>
    <mergeCell ref="G222:H222"/>
    <mergeCell ref="I222:K222"/>
    <mergeCell ref="O222:Q222"/>
    <mergeCell ref="R222:T222"/>
    <mergeCell ref="U222:W222"/>
    <mergeCell ref="X222:Z222"/>
    <mergeCell ref="AO227:AQ228"/>
    <mergeCell ref="C228:F228"/>
    <mergeCell ref="G228:N228"/>
    <mergeCell ref="O228:X228"/>
    <mergeCell ref="Y228:AF228"/>
    <mergeCell ref="AA227:AB227"/>
    <mergeCell ref="AC227:AD227"/>
    <mergeCell ref="AE227:AF227"/>
    <mergeCell ref="AG227:AH228"/>
    <mergeCell ref="AI227:AK228"/>
    <mergeCell ref="AL227:AN228"/>
    <mergeCell ref="O227:P227"/>
    <mergeCell ref="Q227:R227"/>
    <mergeCell ref="S227:T227"/>
    <mergeCell ref="U227:V227"/>
    <mergeCell ref="W227:X227"/>
    <mergeCell ref="AK220:AQ220"/>
    <mergeCell ref="E221:F221"/>
    <mergeCell ref="G221:H221"/>
    <mergeCell ref="I221:K221"/>
    <mergeCell ref="O221:Q221"/>
    <mergeCell ref="R221:T221"/>
    <mergeCell ref="U221:W221"/>
    <mergeCell ref="AD219:AF219"/>
    <mergeCell ref="AG219:AJ219"/>
    <mergeCell ref="AK219:AQ219"/>
    <mergeCell ref="E220:F220"/>
    <mergeCell ref="G220:H220"/>
    <mergeCell ref="I220:K220"/>
    <mergeCell ref="O220:Q220"/>
    <mergeCell ref="R220:T220"/>
    <mergeCell ref="U220:W220"/>
    <mergeCell ref="X220:Z220"/>
    <mergeCell ref="AK218:AQ218"/>
    <mergeCell ref="E219:F219"/>
    <mergeCell ref="G219:H219"/>
    <mergeCell ref="I219:K219"/>
    <mergeCell ref="O219:Q219"/>
    <mergeCell ref="R219:T219"/>
    <mergeCell ref="U219:W219"/>
    <mergeCell ref="AD217:AF217"/>
    <mergeCell ref="AG217:AJ217"/>
    <mergeCell ref="AK217:AQ217"/>
    <mergeCell ref="E218:F218"/>
    <mergeCell ref="G218:H218"/>
    <mergeCell ref="I218:K218"/>
    <mergeCell ref="O218:Q218"/>
    <mergeCell ref="R218:T218"/>
    <mergeCell ref="U218:W218"/>
    <mergeCell ref="X218:Z218"/>
    <mergeCell ref="AK216:AQ216"/>
    <mergeCell ref="E217:F217"/>
    <mergeCell ref="G217:H217"/>
    <mergeCell ref="I217:K217"/>
    <mergeCell ref="O217:Q217"/>
    <mergeCell ref="R217:T217"/>
    <mergeCell ref="U217:W217"/>
    <mergeCell ref="AD215:AF215"/>
    <mergeCell ref="AG215:AJ215"/>
    <mergeCell ref="AK215:AQ215"/>
    <mergeCell ref="E216:F216"/>
    <mergeCell ref="G216:H216"/>
    <mergeCell ref="I216:K216"/>
    <mergeCell ref="O216:Q216"/>
    <mergeCell ref="R216:T216"/>
    <mergeCell ref="U216:W216"/>
    <mergeCell ref="X216:Z216"/>
    <mergeCell ref="AK214:AQ214"/>
    <mergeCell ref="E215:F215"/>
    <mergeCell ref="G215:H215"/>
    <mergeCell ref="I215:K215"/>
    <mergeCell ref="O215:Q215"/>
    <mergeCell ref="R215:T215"/>
    <mergeCell ref="U215:W215"/>
    <mergeCell ref="AD213:AF213"/>
    <mergeCell ref="AG213:AJ213"/>
    <mergeCell ref="AK213:AQ213"/>
    <mergeCell ref="E214:F214"/>
    <mergeCell ref="G214:H214"/>
    <mergeCell ref="I214:K214"/>
    <mergeCell ref="O214:Q214"/>
    <mergeCell ref="R214:T214"/>
    <mergeCell ref="U214:W214"/>
    <mergeCell ref="X214:Z214"/>
    <mergeCell ref="AD212:AF212"/>
    <mergeCell ref="AG212:AJ212"/>
    <mergeCell ref="AK212:AQ212"/>
    <mergeCell ref="E213:F213"/>
    <mergeCell ref="G213:H213"/>
    <mergeCell ref="I213:K213"/>
    <mergeCell ref="O213:Q213"/>
    <mergeCell ref="R213:T213"/>
    <mergeCell ref="U213:W213"/>
    <mergeCell ref="AD211:AF211"/>
    <mergeCell ref="AG211:AJ211"/>
    <mergeCell ref="AK211:AQ211"/>
    <mergeCell ref="E212:F212"/>
    <mergeCell ref="G212:H212"/>
    <mergeCell ref="I212:K212"/>
    <mergeCell ref="O212:Q212"/>
    <mergeCell ref="R212:T212"/>
    <mergeCell ref="U212:W212"/>
    <mergeCell ref="X212:Z212"/>
    <mergeCell ref="AD210:AF210"/>
    <mergeCell ref="AG210:AJ210"/>
    <mergeCell ref="AK210:AQ210"/>
    <mergeCell ref="E211:F211"/>
    <mergeCell ref="G211:H211"/>
    <mergeCell ref="I211:K211"/>
    <mergeCell ref="O211:Q211"/>
    <mergeCell ref="R211:T211"/>
    <mergeCell ref="U211:W211"/>
    <mergeCell ref="AD209:AF209"/>
    <mergeCell ref="AG209:AJ209"/>
    <mergeCell ref="AK209:AQ209"/>
    <mergeCell ref="E210:F210"/>
    <mergeCell ref="G210:H210"/>
    <mergeCell ref="I210:K210"/>
    <mergeCell ref="O210:Q210"/>
    <mergeCell ref="R210:T210"/>
    <mergeCell ref="U210:W210"/>
    <mergeCell ref="X210:Z210"/>
    <mergeCell ref="AD208:AF208"/>
    <mergeCell ref="AG208:AJ208"/>
    <mergeCell ref="AK208:AQ208"/>
    <mergeCell ref="E209:F209"/>
    <mergeCell ref="G209:H209"/>
    <mergeCell ref="I209:K209"/>
    <mergeCell ref="O209:Q209"/>
    <mergeCell ref="R209:T209"/>
    <mergeCell ref="U209:W209"/>
    <mergeCell ref="AD207:AF207"/>
    <mergeCell ref="AG207:AJ207"/>
    <mergeCell ref="AK207:AQ207"/>
    <mergeCell ref="E208:F208"/>
    <mergeCell ref="G208:H208"/>
    <mergeCell ref="I208:K208"/>
    <mergeCell ref="O208:Q208"/>
    <mergeCell ref="R208:T208"/>
    <mergeCell ref="U208:W208"/>
    <mergeCell ref="X208:Z208"/>
    <mergeCell ref="AD206:AF206"/>
    <mergeCell ref="AG206:AJ206"/>
    <mergeCell ref="AK206:AQ206"/>
    <mergeCell ref="E207:F207"/>
    <mergeCell ref="G207:H207"/>
    <mergeCell ref="I207:K207"/>
    <mergeCell ref="O207:Q207"/>
    <mergeCell ref="R207:T207"/>
    <mergeCell ref="U207:W207"/>
    <mergeCell ref="AD205:AF205"/>
    <mergeCell ref="AG205:AJ205"/>
    <mergeCell ref="AK205:AQ205"/>
    <mergeCell ref="E206:F206"/>
    <mergeCell ref="G206:H206"/>
    <mergeCell ref="I206:K206"/>
    <mergeCell ref="O206:Q206"/>
    <mergeCell ref="R206:T206"/>
    <mergeCell ref="U206:W206"/>
    <mergeCell ref="X206:Z206"/>
    <mergeCell ref="AD204:AF204"/>
    <mergeCell ref="AG204:AJ204"/>
    <mergeCell ref="AK204:AQ204"/>
    <mergeCell ref="E205:F205"/>
    <mergeCell ref="G205:H205"/>
    <mergeCell ref="I205:K205"/>
    <mergeCell ref="O205:Q205"/>
    <mergeCell ref="R205:T205"/>
    <mergeCell ref="U205:W205"/>
    <mergeCell ref="AD203:AF203"/>
    <mergeCell ref="AG203:AJ203"/>
    <mergeCell ref="AK203:AQ203"/>
    <mergeCell ref="E204:F204"/>
    <mergeCell ref="G204:H204"/>
    <mergeCell ref="I204:K204"/>
    <mergeCell ref="O204:Q204"/>
    <mergeCell ref="R204:T204"/>
    <mergeCell ref="U204:W204"/>
    <mergeCell ref="X204:Z204"/>
    <mergeCell ref="AD202:AF202"/>
    <mergeCell ref="AG202:AJ202"/>
    <mergeCell ref="AK202:AQ202"/>
    <mergeCell ref="E203:F203"/>
    <mergeCell ref="G203:H203"/>
    <mergeCell ref="I203:K203"/>
    <mergeCell ref="O203:Q203"/>
    <mergeCell ref="R203:T203"/>
    <mergeCell ref="U203:W203"/>
    <mergeCell ref="AD201:AF201"/>
    <mergeCell ref="AG201:AJ201"/>
    <mergeCell ref="AK201:AQ201"/>
    <mergeCell ref="E202:F202"/>
    <mergeCell ref="G202:H202"/>
    <mergeCell ref="I202:K202"/>
    <mergeCell ref="O202:Q202"/>
    <mergeCell ref="R202:T202"/>
    <mergeCell ref="U202:W202"/>
    <mergeCell ref="X202:Z202"/>
    <mergeCell ref="AD200:AF200"/>
    <mergeCell ref="AG200:AJ200"/>
    <mergeCell ref="AK200:AQ200"/>
    <mergeCell ref="E201:F201"/>
    <mergeCell ref="G201:H201"/>
    <mergeCell ref="I201:K201"/>
    <mergeCell ref="O201:Q201"/>
    <mergeCell ref="R201:T201"/>
    <mergeCell ref="U201:W201"/>
    <mergeCell ref="AD199:AF199"/>
    <mergeCell ref="AG199:AJ199"/>
    <mergeCell ref="AK199:AQ199"/>
    <mergeCell ref="E200:F200"/>
    <mergeCell ref="G200:H200"/>
    <mergeCell ref="I200:K200"/>
    <mergeCell ref="O200:Q200"/>
    <mergeCell ref="R200:T200"/>
    <mergeCell ref="U200:W200"/>
    <mergeCell ref="X200:Z200"/>
    <mergeCell ref="AD198:AF198"/>
    <mergeCell ref="AG198:AJ198"/>
    <mergeCell ref="AK198:AQ198"/>
    <mergeCell ref="E199:F199"/>
    <mergeCell ref="G199:H199"/>
    <mergeCell ref="I199:K199"/>
    <mergeCell ref="O199:Q199"/>
    <mergeCell ref="R199:T199"/>
    <mergeCell ref="U199:W199"/>
    <mergeCell ref="AD197:AF197"/>
    <mergeCell ref="AG197:AJ197"/>
    <mergeCell ref="AK197:AQ197"/>
    <mergeCell ref="E198:F198"/>
    <mergeCell ref="G198:H198"/>
    <mergeCell ref="I198:K198"/>
    <mergeCell ref="O198:Q198"/>
    <mergeCell ref="R198:T198"/>
    <mergeCell ref="U198:W198"/>
    <mergeCell ref="X198:Z198"/>
    <mergeCell ref="AD196:AF196"/>
    <mergeCell ref="AG196:AJ196"/>
    <mergeCell ref="AK196:AQ196"/>
    <mergeCell ref="E197:F197"/>
    <mergeCell ref="G197:H197"/>
    <mergeCell ref="I197:K197"/>
    <mergeCell ref="O197:Q197"/>
    <mergeCell ref="R197:T197"/>
    <mergeCell ref="U197:W197"/>
    <mergeCell ref="AD195:AF195"/>
    <mergeCell ref="AG195:AJ195"/>
    <mergeCell ref="AK195:AQ195"/>
    <mergeCell ref="E196:F196"/>
    <mergeCell ref="G196:H196"/>
    <mergeCell ref="I196:K196"/>
    <mergeCell ref="O196:Q196"/>
    <mergeCell ref="R196:T196"/>
    <mergeCell ref="U196:W196"/>
    <mergeCell ref="X196:Z196"/>
    <mergeCell ref="AD194:AF194"/>
    <mergeCell ref="AG194:AJ194"/>
    <mergeCell ref="AK194:AQ194"/>
    <mergeCell ref="E195:F195"/>
    <mergeCell ref="G195:H195"/>
    <mergeCell ref="I195:K195"/>
    <mergeCell ref="O195:Q195"/>
    <mergeCell ref="R195:T195"/>
    <mergeCell ref="U195:W195"/>
    <mergeCell ref="AD193:AF193"/>
    <mergeCell ref="AG193:AJ193"/>
    <mergeCell ref="AK193:AQ193"/>
    <mergeCell ref="E194:F194"/>
    <mergeCell ref="G194:H194"/>
    <mergeCell ref="I194:K194"/>
    <mergeCell ref="O194:Q194"/>
    <mergeCell ref="R194:T194"/>
    <mergeCell ref="U194:W194"/>
    <mergeCell ref="X194:Z194"/>
    <mergeCell ref="AD192:AF192"/>
    <mergeCell ref="AG192:AJ192"/>
    <mergeCell ref="AK192:AQ192"/>
    <mergeCell ref="E193:F193"/>
    <mergeCell ref="G193:H193"/>
    <mergeCell ref="I193:K193"/>
    <mergeCell ref="O193:Q193"/>
    <mergeCell ref="R193:T193"/>
    <mergeCell ref="U193:W193"/>
    <mergeCell ref="AD191:AF191"/>
    <mergeCell ref="AG191:AJ191"/>
    <mergeCell ref="AK191:AQ191"/>
    <mergeCell ref="E192:F192"/>
    <mergeCell ref="G192:H192"/>
    <mergeCell ref="I192:K192"/>
    <mergeCell ref="O192:Q192"/>
    <mergeCell ref="R192:T192"/>
    <mergeCell ref="U192:W192"/>
    <mergeCell ref="X192:Z192"/>
    <mergeCell ref="AD190:AF190"/>
    <mergeCell ref="AG190:AJ190"/>
    <mergeCell ref="AK190:AQ190"/>
    <mergeCell ref="E191:F191"/>
    <mergeCell ref="G191:H191"/>
    <mergeCell ref="I191:K191"/>
    <mergeCell ref="O191:Q191"/>
    <mergeCell ref="R191:T191"/>
    <mergeCell ref="U191:W191"/>
    <mergeCell ref="AD189:AF189"/>
    <mergeCell ref="AG189:AJ189"/>
    <mergeCell ref="AK189:AQ189"/>
    <mergeCell ref="E190:F190"/>
    <mergeCell ref="G190:H190"/>
    <mergeCell ref="I190:K190"/>
    <mergeCell ref="O190:Q190"/>
    <mergeCell ref="R190:T190"/>
    <mergeCell ref="U190:W190"/>
    <mergeCell ref="X190:Z190"/>
    <mergeCell ref="X188:Z188"/>
    <mergeCell ref="AA188:AC188"/>
    <mergeCell ref="AD188:AF188"/>
    <mergeCell ref="AG188:AJ188"/>
    <mergeCell ref="AK188:AQ188"/>
    <mergeCell ref="E189:F189"/>
    <mergeCell ref="G189:H189"/>
    <mergeCell ref="I189:K189"/>
    <mergeCell ref="O189:Q189"/>
    <mergeCell ref="R189:T189"/>
    <mergeCell ref="E188:F188"/>
    <mergeCell ref="G188:H188"/>
    <mergeCell ref="I188:K188"/>
    <mergeCell ref="O188:Q188"/>
    <mergeCell ref="R188:T188"/>
    <mergeCell ref="U188:W188"/>
    <mergeCell ref="AA176:AC176"/>
    <mergeCell ref="AD176:AF176"/>
    <mergeCell ref="AG176:AJ176"/>
    <mergeCell ref="AK176:AQ176"/>
    <mergeCell ref="AC181:AD181"/>
    <mergeCell ref="AE181:AF181"/>
    <mergeCell ref="AG181:AH182"/>
    <mergeCell ref="AI181:AK182"/>
    <mergeCell ref="AL181:AN182"/>
    <mergeCell ref="O181:P181"/>
    <mergeCell ref="Q181:R181"/>
    <mergeCell ref="S181:T181"/>
    <mergeCell ref="U181:V181"/>
    <mergeCell ref="W181:X181"/>
    <mergeCell ref="Y181:Z181"/>
    <mergeCell ref="AA180:AB180"/>
    <mergeCell ref="G187:H187"/>
    <mergeCell ref="I187:K187"/>
    <mergeCell ref="O187:AF187"/>
    <mergeCell ref="AG187:AQ187"/>
    <mergeCell ref="AD175:AF175"/>
    <mergeCell ref="AG175:AJ175"/>
    <mergeCell ref="AK175:AQ175"/>
    <mergeCell ref="E176:F176"/>
    <mergeCell ref="G176:H176"/>
    <mergeCell ref="I176:K176"/>
    <mergeCell ref="O176:Q176"/>
    <mergeCell ref="R176:T176"/>
    <mergeCell ref="U176:W176"/>
    <mergeCell ref="X176:Z176"/>
    <mergeCell ref="AA174:AC174"/>
    <mergeCell ref="AD174:AF174"/>
    <mergeCell ref="AG174:AJ174"/>
    <mergeCell ref="AK174:AQ174"/>
    <mergeCell ref="E175:F175"/>
    <mergeCell ref="G175:H175"/>
    <mergeCell ref="I175:K175"/>
    <mergeCell ref="O175:Q175"/>
    <mergeCell ref="R175:T175"/>
    <mergeCell ref="U175:W175"/>
    <mergeCell ref="AO181:AQ182"/>
    <mergeCell ref="C182:F182"/>
    <mergeCell ref="G182:N182"/>
    <mergeCell ref="O182:X182"/>
    <mergeCell ref="Y182:AF182"/>
    <mergeCell ref="AA181:AB181"/>
    <mergeCell ref="AC180:AD180"/>
    <mergeCell ref="AE180:AF180"/>
    <mergeCell ref="AK173:AQ173"/>
    <mergeCell ref="E174:F174"/>
    <mergeCell ref="G174:H174"/>
    <mergeCell ref="I174:K174"/>
    <mergeCell ref="O174:Q174"/>
    <mergeCell ref="R174:T174"/>
    <mergeCell ref="U174:W174"/>
    <mergeCell ref="X174:Z174"/>
    <mergeCell ref="AA172:AC172"/>
    <mergeCell ref="AD172:AF172"/>
    <mergeCell ref="AG172:AJ172"/>
    <mergeCell ref="AK172:AQ172"/>
    <mergeCell ref="E173:F173"/>
    <mergeCell ref="G173:H173"/>
    <mergeCell ref="I173:K173"/>
    <mergeCell ref="O173:Q173"/>
    <mergeCell ref="R173:T173"/>
    <mergeCell ref="U173:W173"/>
    <mergeCell ref="AK171:AQ171"/>
    <mergeCell ref="E172:F172"/>
    <mergeCell ref="G172:H172"/>
    <mergeCell ref="I172:K172"/>
    <mergeCell ref="O172:Q172"/>
    <mergeCell ref="R172:T172"/>
    <mergeCell ref="U172:W172"/>
    <mergeCell ref="X172:Z172"/>
    <mergeCell ref="AA170:AC170"/>
    <mergeCell ref="AD170:AF170"/>
    <mergeCell ref="AG170:AJ170"/>
    <mergeCell ref="AK170:AQ170"/>
    <mergeCell ref="E171:F171"/>
    <mergeCell ref="G171:H171"/>
    <mergeCell ref="I171:K171"/>
    <mergeCell ref="O171:Q171"/>
    <mergeCell ref="R171:T171"/>
    <mergeCell ref="U171:W171"/>
    <mergeCell ref="AD169:AF169"/>
    <mergeCell ref="AG169:AJ169"/>
    <mergeCell ref="AK169:AQ169"/>
    <mergeCell ref="E170:F170"/>
    <mergeCell ref="G170:H170"/>
    <mergeCell ref="I170:K170"/>
    <mergeCell ref="O170:Q170"/>
    <mergeCell ref="R170:T170"/>
    <mergeCell ref="U170:W170"/>
    <mergeCell ref="X170:Z170"/>
    <mergeCell ref="AA168:AC168"/>
    <mergeCell ref="AD168:AF168"/>
    <mergeCell ref="AG168:AJ168"/>
    <mergeCell ref="AK168:AQ168"/>
    <mergeCell ref="E169:F169"/>
    <mergeCell ref="G169:H169"/>
    <mergeCell ref="I169:K169"/>
    <mergeCell ref="O169:Q169"/>
    <mergeCell ref="R169:T169"/>
    <mergeCell ref="U169:W169"/>
    <mergeCell ref="AD167:AF167"/>
    <mergeCell ref="AG167:AJ167"/>
    <mergeCell ref="AK167:AQ167"/>
    <mergeCell ref="E168:F168"/>
    <mergeCell ref="G168:H168"/>
    <mergeCell ref="I168:K168"/>
    <mergeCell ref="O168:Q168"/>
    <mergeCell ref="R168:T168"/>
    <mergeCell ref="U168:W168"/>
    <mergeCell ref="X168:Z168"/>
    <mergeCell ref="AA166:AC166"/>
    <mergeCell ref="AD166:AF166"/>
    <mergeCell ref="AG166:AJ166"/>
    <mergeCell ref="AK166:AQ166"/>
    <mergeCell ref="E167:F167"/>
    <mergeCell ref="G167:H167"/>
    <mergeCell ref="I167:K167"/>
    <mergeCell ref="O167:Q167"/>
    <mergeCell ref="R167:T167"/>
    <mergeCell ref="U167:W167"/>
    <mergeCell ref="AD165:AF165"/>
    <mergeCell ref="AG165:AJ165"/>
    <mergeCell ref="AK165:AQ165"/>
    <mergeCell ref="E166:F166"/>
    <mergeCell ref="G166:H166"/>
    <mergeCell ref="I166:K166"/>
    <mergeCell ref="O166:Q166"/>
    <mergeCell ref="R166:T166"/>
    <mergeCell ref="U166:W166"/>
    <mergeCell ref="X166:Z166"/>
    <mergeCell ref="AA164:AC164"/>
    <mergeCell ref="AD164:AF164"/>
    <mergeCell ref="AG164:AJ164"/>
    <mergeCell ref="AK164:AQ164"/>
    <mergeCell ref="E165:F165"/>
    <mergeCell ref="G165:H165"/>
    <mergeCell ref="I165:K165"/>
    <mergeCell ref="O165:Q165"/>
    <mergeCell ref="R165:T165"/>
    <mergeCell ref="U165:W165"/>
    <mergeCell ref="AD163:AF163"/>
    <mergeCell ref="AG163:AJ163"/>
    <mergeCell ref="AK163:AQ163"/>
    <mergeCell ref="E164:F164"/>
    <mergeCell ref="G164:H164"/>
    <mergeCell ref="I164:K164"/>
    <mergeCell ref="O164:Q164"/>
    <mergeCell ref="R164:T164"/>
    <mergeCell ref="U164:W164"/>
    <mergeCell ref="X164:Z164"/>
    <mergeCell ref="AA162:AC162"/>
    <mergeCell ref="AD162:AF162"/>
    <mergeCell ref="AG162:AJ162"/>
    <mergeCell ref="AK162:AQ162"/>
    <mergeCell ref="E163:F163"/>
    <mergeCell ref="G163:H163"/>
    <mergeCell ref="I163:K163"/>
    <mergeCell ref="O163:Q163"/>
    <mergeCell ref="R163:T163"/>
    <mergeCell ref="U163:W163"/>
    <mergeCell ref="AD161:AF161"/>
    <mergeCell ref="AG161:AJ161"/>
    <mergeCell ref="AK161:AQ161"/>
    <mergeCell ref="E162:F162"/>
    <mergeCell ref="G162:H162"/>
    <mergeCell ref="I162:K162"/>
    <mergeCell ref="O162:Q162"/>
    <mergeCell ref="R162:T162"/>
    <mergeCell ref="U162:W162"/>
    <mergeCell ref="X162:Z162"/>
    <mergeCell ref="AA160:AC160"/>
    <mergeCell ref="AD160:AF160"/>
    <mergeCell ref="AG160:AJ160"/>
    <mergeCell ref="AK160:AQ160"/>
    <mergeCell ref="E161:F161"/>
    <mergeCell ref="G161:H161"/>
    <mergeCell ref="I161:K161"/>
    <mergeCell ref="O161:Q161"/>
    <mergeCell ref="R161:T161"/>
    <mergeCell ref="U161:W161"/>
    <mergeCell ref="AD159:AF159"/>
    <mergeCell ref="AG159:AJ159"/>
    <mergeCell ref="AK159:AQ159"/>
    <mergeCell ref="E160:F160"/>
    <mergeCell ref="G160:H160"/>
    <mergeCell ref="I160:K160"/>
    <mergeCell ref="O160:Q160"/>
    <mergeCell ref="R160:T160"/>
    <mergeCell ref="U160:W160"/>
    <mergeCell ref="X160:Z160"/>
    <mergeCell ref="AA158:AC158"/>
    <mergeCell ref="AD158:AF158"/>
    <mergeCell ref="AG158:AJ158"/>
    <mergeCell ref="AK158:AQ158"/>
    <mergeCell ref="E159:F159"/>
    <mergeCell ref="G159:H159"/>
    <mergeCell ref="I159:K159"/>
    <mergeCell ref="O159:Q159"/>
    <mergeCell ref="R159:T159"/>
    <mergeCell ref="U159:W159"/>
    <mergeCell ref="AD157:AF157"/>
    <mergeCell ref="AG157:AJ157"/>
    <mergeCell ref="AK157:AQ157"/>
    <mergeCell ref="E158:F158"/>
    <mergeCell ref="G158:H158"/>
    <mergeCell ref="I158:K158"/>
    <mergeCell ref="O158:Q158"/>
    <mergeCell ref="R158:T158"/>
    <mergeCell ref="U158:W158"/>
    <mergeCell ref="X158:Z158"/>
    <mergeCell ref="AA156:AC156"/>
    <mergeCell ref="AD156:AF156"/>
    <mergeCell ref="AG156:AJ156"/>
    <mergeCell ref="AK156:AQ156"/>
    <mergeCell ref="E157:F157"/>
    <mergeCell ref="G157:H157"/>
    <mergeCell ref="I157:K157"/>
    <mergeCell ref="O157:Q157"/>
    <mergeCell ref="R157:T157"/>
    <mergeCell ref="U157:W157"/>
    <mergeCell ref="AD155:AF155"/>
    <mergeCell ref="AG155:AJ155"/>
    <mergeCell ref="AK155:AQ155"/>
    <mergeCell ref="E156:F156"/>
    <mergeCell ref="G156:H156"/>
    <mergeCell ref="I156:K156"/>
    <mergeCell ref="O156:Q156"/>
    <mergeCell ref="R156:T156"/>
    <mergeCell ref="U156:W156"/>
    <mergeCell ref="X156:Z156"/>
    <mergeCell ref="AA154:AC154"/>
    <mergeCell ref="AD154:AF154"/>
    <mergeCell ref="AG154:AJ154"/>
    <mergeCell ref="AK154:AQ154"/>
    <mergeCell ref="E155:F155"/>
    <mergeCell ref="G155:H155"/>
    <mergeCell ref="I155:K155"/>
    <mergeCell ref="O155:Q155"/>
    <mergeCell ref="R155:T155"/>
    <mergeCell ref="U155:W155"/>
    <mergeCell ref="AD153:AF153"/>
    <mergeCell ref="AG153:AJ153"/>
    <mergeCell ref="AK153:AQ153"/>
    <mergeCell ref="E154:F154"/>
    <mergeCell ref="G154:H154"/>
    <mergeCell ref="I154:K154"/>
    <mergeCell ref="O154:Q154"/>
    <mergeCell ref="R154:T154"/>
    <mergeCell ref="U154:W154"/>
    <mergeCell ref="X154:Z154"/>
    <mergeCell ref="AA152:AC152"/>
    <mergeCell ref="AD152:AF152"/>
    <mergeCell ref="AG152:AJ152"/>
    <mergeCell ref="AK152:AQ152"/>
    <mergeCell ref="E153:F153"/>
    <mergeCell ref="G153:H153"/>
    <mergeCell ref="I153:K153"/>
    <mergeCell ref="O153:Q153"/>
    <mergeCell ref="R153:T153"/>
    <mergeCell ref="U153:W153"/>
    <mergeCell ref="AD151:AF151"/>
    <mergeCell ref="AG151:AJ151"/>
    <mergeCell ref="AK151:AQ151"/>
    <mergeCell ref="E152:F152"/>
    <mergeCell ref="G152:H152"/>
    <mergeCell ref="I152:K152"/>
    <mergeCell ref="O152:Q152"/>
    <mergeCell ref="R152:T152"/>
    <mergeCell ref="U152:W152"/>
    <mergeCell ref="X152:Z152"/>
    <mergeCell ref="AA150:AC150"/>
    <mergeCell ref="AD150:AF150"/>
    <mergeCell ref="AG150:AJ150"/>
    <mergeCell ref="AK150:AQ150"/>
    <mergeCell ref="E151:F151"/>
    <mergeCell ref="G151:H151"/>
    <mergeCell ref="I151:K151"/>
    <mergeCell ref="O151:Q151"/>
    <mergeCell ref="R151:T151"/>
    <mergeCell ref="U151:W151"/>
    <mergeCell ref="AD149:AF149"/>
    <mergeCell ref="AG149:AJ149"/>
    <mergeCell ref="AK149:AQ149"/>
    <mergeCell ref="E150:F150"/>
    <mergeCell ref="G150:H150"/>
    <mergeCell ref="I150:K150"/>
    <mergeCell ref="O150:Q150"/>
    <mergeCell ref="R150:T150"/>
    <mergeCell ref="U150:W150"/>
    <mergeCell ref="X150:Z150"/>
    <mergeCell ref="AA148:AC148"/>
    <mergeCell ref="AD148:AF148"/>
    <mergeCell ref="AG148:AJ148"/>
    <mergeCell ref="AK148:AQ148"/>
    <mergeCell ref="E149:F149"/>
    <mergeCell ref="G149:H149"/>
    <mergeCell ref="I149:K149"/>
    <mergeCell ref="O149:Q149"/>
    <mergeCell ref="R149:T149"/>
    <mergeCell ref="U149:W149"/>
    <mergeCell ref="AD147:AF147"/>
    <mergeCell ref="AG147:AJ147"/>
    <mergeCell ref="AK147:AQ147"/>
    <mergeCell ref="E148:F148"/>
    <mergeCell ref="G148:H148"/>
    <mergeCell ref="I148:K148"/>
    <mergeCell ref="O148:Q148"/>
    <mergeCell ref="R148:T148"/>
    <mergeCell ref="U148:W148"/>
    <mergeCell ref="X148:Z148"/>
    <mergeCell ref="AA146:AC146"/>
    <mergeCell ref="AD146:AF146"/>
    <mergeCell ref="AG146:AJ146"/>
    <mergeCell ref="AK146:AQ146"/>
    <mergeCell ref="E147:F147"/>
    <mergeCell ref="G147:H147"/>
    <mergeCell ref="I147:K147"/>
    <mergeCell ref="O147:Q147"/>
    <mergeCell ref="R147:T147"/>
    <mergeCell ref="U147:W147"/>
    <mergeCell ref="AD145:AF145"/>
    <mergeCell ref="AG145:AJ145"/>
    <mergeCell ref="AK145:AQ145"/>
    <mergeCell ref="E146:F146"/>
    <mergeCell ref="G146:H146"/>
    <mergeCell ref="I146:K146"/>
    <mergeCell ref="O146:Q146"/>
    <mergeCell ref="R146:T146"/>
    <mergeCell ref="U146:W146"/>
    <mergeCell ref="X146:Z146"/>
    <mergeCell ref="AA144:AC144"/>
    <mergeCell ref="AD144:AF144"/>
    <mergeCell ref="AG144:AJ144"/>
    <mergeCell ref="AK144:AQ144"/>
    <mergeCell ref="E145:F145"/>
    <mergeCell ref="G145:H145"/>
    <mergeCell ref="I145:K145"/>
    <mergeCell ref="O145:Q145"/>
    <mergeCell ref="R145:T145"/>
    <mergeCell ref="U145:W145"/>
    <mergeCell ref="AK143:AQ143"/>
    <mergeCell ref="E144:F144"/>
    <mergeCell ref="G144:H144"/>
    <mergeCell ref="I144:K144"/>
    <mergeCell ref="O144:Q144"/>
    <mergeCell ref="R144:T144"/>
    <mergeCell ref="U144:W144"/>
    <mergeCell ref="X144:Z144"/>
    <mergeCell ref="X142:Z142"/>
    <mergeCell ref="AA142:AC142"/>
    <mergeCell ref="AD142:AF142"/>
    <mergeCell ref="AG142:AJ142"/>
    <mergeCell ref="AK142:AQ142"/>
    <mergeCell ref="E143:F143"/>
    <mergeCell ref="G143:H143"/>
    <mergeCell ref="I143:K143"/>
    <mergeCell ref="O143:Q143"/>
    <mergeCell ref="R143:T143"/>
    <mergeCell ref="E142:F142"/>
    <mergeCell ref="G142:H142"/>
    <mergeCell ref="I142:K142"/>
    <mergeCell ref="O142:Q142"/>
    <mergeCell ref="R142:T142"/>
    <mergeCell ref="U142:W142"/>
    <mergeCell ref="AD143:AF143"/>
    <mergeCell ref="AG143:AJ143"/>
    <mergeCell ref="AK130:AQ130"/>
    <mergeCell ref="C141:D141"/>
    <mergeCell ref="E141:F141"/>
    <mergeCell ref="G141:H141"/>
    <mergeCell ref="I141:K141"/>
    <mergeCell ref="O141:AF141"/>
    <mergeCell ref="AG141:AQ141"/>
    <mergeCell ref="AD129:AF129"/>
    <mergeCell ref="AG129:AJ129"/>
    <mergeCell ref="AK129:AQ129"/>
    <mergeCell ref="E130:F130"/>
    <mergeCell ref="G130:H130"/>
    <mergeCell ref="I130:K130"/>
    <mergeCell ref="O130:Q130"/>
    <mergeCell ref="R130:T130"/>
    <mergeCell ref="U130:W130"/>
    <mergeCell ref="X130:Z130"/>
    <mergeCell ref="AO135:AQ136"/>
    <mergeCell ref="C136:F136"/>
    <mergeCell ref="G136:N136"/>
    <mergeCell ref="O136:X136"/>
    <mergeCell ref="Y136:AF136"/>
    <mergeCell ref="AA135:AB135"/>
    <mergeCell ref="AC135:AD135"/>
    <mergeCell ref="AE135:AF135"/>
    <mergeCell ref="AG135:AH136"/>
    <mergeCell ref="AI135:AK136"/>
    <mergeCell ref="AL135:AN136"/>
    <mergeCell ref="O135:P135"/>
    <mergeCell ref="Q135:R135"/>
    <mergeCell ref="S135:T135"/>
    <mergeCell ref="U135:V135"/>
    <mergeCell ref="AK128:AQ128"/>
    <mergeCell ref="E129:F129"/>
    <mergeCell ref="G129:H129"/>
    <mergeCell ref="I129:K129"/>
    <mergeCell ref="O129:Q129"/>
    <mergeCell ref="R129:T129"/>
    <mergeCell ref="U129:W129"/>
    <mergeCell ref="AD127:AF127"/>
    <mergeCell ref="AG127:AJ127"/>
    <mergeCell ref="AK127:AQ127"/>
    <mergeCell ref="E128:F128"/>
    <mergeCell ref="G128:H128"/>
    <mergeCell ref="I128:K128"/>
    <mergeCell ref="O128:Q128"/>
    <mergeCell ref="R128:T128"/>
    <mergeCell ref="U128:W128"/>
    <mergeCell ref="X128:Z128"/>
    <mergeCell ref="AK126:AQ126"/>
    <mergeCell ref="E127:F127"/>
    <mergeCell ref="G127:H127"/>
    <mergeCell ref="I127:K127"/>
    <mergeCell ref="O127:Q127"/>
    <mergeCell ref="R127:T127"/>
    <mergeCell ref="U127:W127"/>
    <mergeCell ref="AD125:AF125"/>
    <mergeCell ref="AG125:AJ125"/>
    <mergeCell ref="AK125:AQ125"/>
    <mergeCell ref="E126:F126"/>
    <mergeCell ref="G126:H126"/>
    <mergeCell ref="I126:K126"/>
    <mergeCell ref="O126:Q126"/>
    <mergeCell ref="R126:T126"/>
    <mergeCell ref="U126:W126"/>
    <mergeCell ref="X126:Z126"/>
    <mergeCell ref="AD124:AF124"/>
    <mergeCell ref="AG124:AJ124"/>
    <mergeCell ref="AK124:AQ124"/>
    <mergeCell ref="E125:F125"/>
    <mergeCell ref="G125:H125"/>
    <mergeCell ref="I125:K125"/>
    <mergeCell ref="O125:Q125"/>
    <mergeCell ref="R125:T125"/>
    <mergeCell ref="U125:W125"/>
    <mergeCell ref="AD123:AF123"/>
    <mergeCell ref="AG123:AJ123"/>
    <mergeCell ref="AK123:AQ123"/>
    <mergeCell ref="E124:F124"/>
    <mergeCell ref="G124:H124"/>
    <mergeCell ref="I124:K124"/>
    <mergeCell ref="O124:Q124"/>
    <mergeCell ref="R124:T124"/>
    <mergeCell ref="U124:W124"/>
    <mergeCell ref="X124:Z124"/>
    <mergeCell ref="AD122:AF122"/>
    <mergeCell ref="AG122:AJ122"/>
    <mergeCell ref="AK122:AQ122"/>
    <mergeCell ref="E123:F123"/>
    <mergeCell ref="G123:H123"/>
    <mergeCell ref="I123:K123"/>
    <mergeCell ref="O123:Q123"/>
    <mergeCell ref="R123:T123"/>
    <mergeCell ref="U123:W123"/>
    <mergeCell ref="AD121:AF121"/>
    <mergeCell ref="AG121:AJ121"/>
    <mergeCell ref="AK121:AQ121"/>
    <mergeCell ref="E122:F122"/>
    <mergeCell ref="G122:H122"/>
    <mergeCell ref="I122:K122"/>
    <mergeCell ref="O122:Q122"/>
    <mergeCell ref="R122:T122"/>
    <mergeCell ref="U122:W122"/>
    <mergeCell ref="X122:Z122"/>
    <mergeCell ref="AD120:AF120"/>
    <mergeCell ref="AG120:AJ120"/>
    <mergeCell ref="AK120:AQ120"/>
    <mergeCell ref="E121:F121"/>
    <mergeCell ref="G121:H121"/>
    <mergeCell ref="I121:K121"/>
    <mergeCell ref="O121:Q121"/>
    <mergeCell ref="R121:T121"/>
    <mergeCell ref="U121:W121"/>
    <mergeCell ref="AD119:AF119"/>
    <mergeCell ref="AG119:AJ119"/>
    <mergeCell ref="AK119:AQ119"/>
    <mergeCell ref="E120:F120"/>
    <mergeCell ref="G120:H120"/>
    <mergeCell ref="I120:K120"/>
    <mergeCell ref="O120:Q120"/>
    <mergeCell ref="R120:T120"/>
    <mergeCell ref="U120:W120"/>
    <mergeCell ref="X120:Z120"/>
    <mergeCell ref="AD118:AF118"/>
    <mergeCell ref="AG118:AJ118"/>
    <mergeCell ref="AK118:AQ118"/>
    <mergeCell ref="E119:F119"/>
    <mergeCell ref="G119:H119"/>
    <mergeCell ref="I119:K119"/>
    <mergeCell ref="O119:Q119"/>
    <mergeCell ref="R119:T119"/>
    <mergeCell ref="U119:W119"/>
    <mergeCell ref="AD117:AF117"/>
    <mergeCell ref="AG117:AJ117"/>
    <mergeCell ref="AK117:AQ117"/>
    <mergeCell ref="E118:F118"/>
    <mergeCell ref="G118:H118"/>
    <mergeCell ref="I118:K118"/>
    <mergeCell ref="O118:Q118"/>
    <mergeCell ref="R118:T118"/>
    <mergeCell ref="U118:W118"/>
    <mergeCell ref="X118:Z118"/>
    <mergeCell ref="AD116:AF116"/>
    <mergeCell ref="AG116:AJ116"/>
    <mergeCell ref="AK116:AQ116"/>
    <mergeCell ref="E117:F117"/>
    <mergeCell ref="G117:H117"/>
    <mergeCell ref="I117:K117"/>
    <mergeCell ref="O117:Q117"/>
    <mergeCell ref="R117:T117"/>
    <mergeCell ref="U117:W117"/>
    <mergeCell ref="AD115:AF115"/>
    <mergeCell ref="AG115:AJ115"/>
    <mergeCell ref="AK115:AQ115"/>
    <mergeCell ref="E116:F116"/>
    <mergeCell ref="G116:H116"/>
    <mergeCell ref="I116:K116"/>
    <mergeCell ref="O116:Q116"/>
    <mergeCell ref="R116:T116"/>
    <mergeCell ref="U116:W116"/>
    <mergeCell ref="X116:Z116"/>
    <mergeCell ref="AD114:AF114"/>
    <mergeCell ref="AG114:AJ114"/>
    <mergeCell ref="AK114:AQ114"/>
    <mergeCell ref="E115:F115"/>
    <mergeCell ref="G115:H115"/>
    <mergeCell ref="I115:K115"/>
    <mergeCell ref="O115:Q115"/>
    <mergeCell ref="R115:T115"/>
    <mergeCell ref="U115:W115"/>
    <mergeCell ref="AD113:AF113"/>
    <mergeCell ref="AG113:AJ113"/>
    <mergeCell ref="AK113:AQ113"/>
    <mergeCell ref="E114:F114"/>
    <mergeCell ref="G114:H114"/>
    <mergeCell ref="I114:K114"/>
    <mergeCell ref="O114:Q114"/>
    <mergeCell ref="R114:T114"/>
    <mergeCell ref="U114:W114"/>
    <mergeCell ref="X114:Z114"/>
    <mergeCell ref="AD112:AF112"/>
    <mergeCell ref="AG112:AJ112"/>
    <mergeCell ref="AK112:AQ112"/>
    <mergeCell ref="E113:F113"/>
    <mergeCell ref="G113:H113"/>
    <mergeCell ref="I113:K113"/>
    <mergeCell ref="O113:Q113"/>
    <mergeCell ref="R113:T113"/>
    <mergeCell ref="U113:W113"/>
    <mergeCell ref="AD111:AF111"/>
    <mergeCell ref="AG111:AJ111"/>
    <mergeCell ref="AK111:AQ111"/>
    <mergeCell ref="E112:F112"/>
    <mergeCell ref="G112:H112"/>
    <mergeCell ref="I112:K112"/>
    <mergeCell ref="O112:Q112"/>
    <mergeCell ref="R112:T112"/>
    <mergeCell ref="U112:W112"/>
    <mergeCell ref="X112:Z112"/>
    <mergeCell ref="AD110:AF110"/>
    <mergeCell ref="AG110:AJ110"/>
    <mergeCell ref="AK110:AQ110"/>
    <mergeCell ref="E111:F111"/>
    <mergeCell ref="G111:H111"/>
    <mergeCell ref="I111:K111"/>
    <mergeCell ref="O111:Q111"/>
    <mergeCell ref="R111:T111"/>
    <mergeCell ref="U111:W111"/>
    <mergeCell ref="AD109:AF109"/>
    <mergeCell ref="AG109:AJ109"/>
    <mergeCell ref="AK109:AQ109"/>
    <mergeCell ref="E110:F110"/>
    <mergeCell ref="G110:H110"/>
    <mergeCell ref="I110:K110"/>
    <mergeCell ref="O110:Q110"/>
    <mergeCell ref="R110:T110"/>
    <mergeCell ref="U110:W110"/>
    <mergeCell ref="X110:Z110"/>
    <mergeCell ref="AD108:AF108"/>
    <mergeCell ref="AG108:AJ108"/>
    <mergeCell ref="AK108:AQ108"/>
    <mergeCell ref="E109:F109"/>
    <mergeCell ref="G109:H109"/>
    <mergeCell ref="I109:K109"/>
    <mergeCell ref="O109:Q109"/>
    <mergeCell ref="R109:T109"/>
    <mergeCell ref="U109:W109"/>
    <mergeCell ref="AD107:AF107"/>
    <mergeCell ref="AG107:AJ107"/>
    <mergeCell ref="AK107:AQ107"/>
    <mergeCell ref="E108:F108"/>
    <mergeCell ref="G108:H108"/>
    <mergeCell ref="I108:K108"/>
    <mergeCell ref="O108:Q108"/>
    <mergeCell ref="R108:T108"/>
    <mergeCell ref="U108:W108"/>
    <mergeCell ref="X108:Z108"/>
    <mergeCell ref="AD106:AF106"/>
    <mergeCell ref="AG106:AJ106"/>
    <mergeCell ref="AK106:AQ106"/>
    <mergeCell ref="E107:F107"/>
    <mergeCell ref="G107:H107"/>
    <mergeCell ref="I107:K107"/>
    <mergeCell ref="O107:Q107"/>
    <mergeCell ref="R107:T107"/>
    <mergeCell ref="U107:W107"/>
    <mergeCell ref="AD105:AF105"/>
    <mergeCell ref="AG105:AJ105"/>
    <mergeCell ref="AK105:AQ105"/>
    <mergeCell ref="E106:F106"/>
    <mergeCell ref="G106:H106"/>
    <mergeCell ref="I106:K106"/>
    <mergeCell ref="O106:Q106"/>
    <mergeCell ref="R106:T106"/>
    <mergeCell ref="U106:W106"/>
    <mergeCell ref="X106:Z106"/>
    <mergeCell ref="AD104:AF104"/>
    <mergeCell ref="AG104:AJ104"/>
    <mergeCell ref="AK104:AQ104"/>
    <mergeCell ref="E105:F105"/>
    <mergeCell ref="G105:H105"/>
    <mergeCell ref="I105:K105"/>
    <mergeCell ref="O105:Q105"/>
    <mergeCell ref="R105:T105"/>
    <mergeCell ref="U105:W105"/>
    <mergeCell ref="AD103:AF103"/>
    <mergeCell ref="AG103:AJ103"/>
    <mergeCell ref="AK103:AQ103"/>
    <mergeCell ref="E104:F104"/>
    <mergeCell ref="G104:H104"/>
    <mergeCell ref="I104:K104"/>
    <mergeCell ref="O104:Q104"/>
    <mergeCell ref="R104:T104"/>
    <mergeCell ref="U104:W104"/>
    <mergeCell ref="X104:Z104"/>
    <mergeCell ref="AD102:AF102"/>
    <mergeCell ref="AG102:AJ102"/>
    <mergeCell ref="AK102:AQ102"/>
    <mergeCell ref="E103:F103"/>
    <mergeCell ref="G103:H103"/>
    <mergeCell ref="I103:K103"/>
    <mergeCell ref="O103:Q103"/>
    <mergeCell ref="R103:T103"/>
    <mergeCell ref="U103:W103"/>
    <mergeCell ref="AD101:AF101"/>
    <mergeCell ref="AG101:AJ101"/>
    <mergeCell ref="AK101:AQ101"/>
    <mergeCell ref="E102:F102"/>
    <mergeCell ref="G102:H102"/>
    <mergeCell ref="I102:K102"/>
    <mergeCell ref="O102:Q102"/>
    <mergeCell ref="R102:T102"/>
    <mergeCell ref="U102:W102"/>
    <mergeCell ref="X102:Z102"/>
    <mergeCell ref="AD100:AF100"/>
    <mergeCell ref="AG100:AJ100"/>
    <mergeCell ref="AK100:AQ100"/>
    <mergeCell ref="E101:F101"/>
    <mergeCell ref="G101:H101"/>
    <mergeCell ref="I101:K101"/>
    <mergeCell ref="O101:Q101"/>
    <mergeCell ref="R101:T101"/>
    <mergeCell ref="U101:W101"/>
    <mergeCell ref="AD99:AF99"/>
    <mergeCell ref="AG99:AJ99"/>
    <mergeCell ref="AK99:AQ99"/>
    <mergeCell ref="E100:F100"/>
    <mergeCell ref="G100:H100"/>
    <mergeCell ref="I100:K100"/>
    <mergeCell ref="O100:Q100"/>
    <mergeCell ref="R100:T100"/>
    <mergeCell ref="U100:W100"/>
    <mergeCell ref="X100:Z100"/>
    <mergeCell ref="AA98:AC98"/>
    <mergeCell ref="AD98:AF98"/>
    <mergeCell ref="AG98:AJ98"/>
    <mergeCell ref="AK98:AQ98"/>
    <mergeCell ref="E99:F99"/>
    <mergeCell ref="G99:H99"/>
    <mergeCell ref="I99:K99"/>
    <mergeCell ref="O99:Q99"/>
    <mergeCell ref="R99:T99"/>
    <mergeCell ref="U99:W99"/>
    <mergeCell ref="AD97:AF97"/>
    <mergeCell ref="AG97:AJ97"/>
    <mergeCell ref="AK97:AQ97"/>
    <mergeCell ref="E98:F98"/>
    <mergeCell ref="G98:H98"/>
    <mergeCell ref="I98:K98"/>
    <mergeCell ref="O98:Q98"/>
    <mergeCell ref="R98:T98"/>
    <mergeCell ref="U98:W98"/>
    <mergeCell ref="X98:Z98"/>
    <mergeCell ref="I97:K97"/>
    <mergeCell ref="O97:Q97"/>
    <mergeCell ref="R97:T97"/>
    <mergeCell ref="E96:F96"/>
    <mergeCell ref="G96:H96"/>
    <mergeCell ref="I96:K96"/>
    <mergeCell ref="O96:Q96"/>
    <mergeCell ref="R96:T96"/>
    <mergeCell ref="U96:W96"/>
    <mergeCell ref="AK52:AQ52"/>
    <mergeCell ref="E83:F83"/>
    <mergeCell ref="G83:H83"/>
    <mergeCell ref="I83:K83"/>
    <mergeCell ref="O83:Q83"/>
    <mergeCell ref="R83:T83"/>
    <mergeCell ref="U83:W83"/>
    <mergeCell ref="X83:Z83"/>
    <mergeCell ref="AD81:AF81"/>
    <mergeCell ref="AG81:AJ81"/>
    <mergeCell ref="AK81:AQ81"/>
    <mergeCell ref="E82:F82"/>
    <mergeCell ref="G82:H82"/>
    <mergeCell ref="I82:K82"/>
    <mergeCell ref="O82:Q82"/>
    <mergeCell ref="R82:T82"/>
    <mergeCell ref="AK80:AQ80"/>
    <mergeCell ref="E81:F81"/>
    <mergeCell ref="G81:H81"/>
    <mergeCell ref="I81:K81"/>
    <mergeCell ref="O81:Q81"/>
    <mergeCell ref="R81:T81"/>
    <mergeCell ref="U81:W81"/>
    <mergeCell ref="X81:Z81"/>
    <mergeCell ref="AD79:AF79"/>
    <mergeCell ref="AG79:AJ79"/>
    <mergeCell ref="I7:K7"/>
    <mergeCell ref="I53:K53"/>
    <mergeCell ref="C95:D95"/>
    <mergeCell ref="E95:F95"/>
    <mergeCell ref="G95:H95"/>
    <mergeCell ref="I95:K95"/>
    <mergeCell ref="O95:AF95"/>
    <mergeCell ref="AG95:AQ95"/>
    <mergeCell ref="AF93:AG93"/>
    <mergeCell ref="AD84:AF84"/>
    <mergeCell ref="AG84:AJ84"/>
    <mergeCell ref="AK84:AQ84"/>
    <mergeCell ref="AG6:AJ6"/>
    <mergeCell ref="AK6:AQ6"/>
    <mergeCell ref="AG5:AJ5"/>
    <mergeCell ref="AK5:AQ5"/>
    <mergeCell ref="AG51:AJ51"/>
    <mergeCell ref="AK51:AQ51"/>
    <mergeCell ref="AG52:AJ52"/>
    <mergeCell ref="AD83:AF83"/>
    <mergeCell ref="AG83:AJ83"/>
    <mergeCell ref="AK83:AQ83"/>
    <mergeCell ref="E84:F84"/>
    <mergeCell ref="G84:H84"/>
    <mergeCell ref="I84:K84"/>
    <mergeCell ref="O84:Q84"/>
    <mergeCell ref="R84:T84"/>
    <mergeCell ref="U84:W84"/>
    <mergeCell ref="X84:Z84"/>
    <mergeCell ref="AD82:AF82"/>
    <mergeCell ref="AG82:AJ82"/>
    <mergeCell ref="AK82:AQ82"/>
    <mergeCell ref="AK79:AQ79"/>
    <mergeCell ref="E80:F80"/>
    <mergeCell ref="G80:H80"/>
    <mergeCell ref="I80:K80"/>
    <mergeCell ref="O80:Q80"/>
    <mergeCell ref="R80:T80"/>
    <mergeCell ref="U80:W80"/>
    <mergeCell ref="X80:Z80"/>
    <mergeCell ref="AD78:AF78"/>
    <mergeCell ref="AG78:AJ78"/>
    <mergeCell ref="AK78:AQ78"/>
    <mergeCell ref="E79:F79"/>
    <mergeCell ref="G79:H79"/>
    <mergeCell ref="I79:K79"/>
    <mergeCell ref="O79:Q79"/>
    <mergeCell ref="R79:T79"/>
    <mergeCell ref="U79:W79"/>
    <mergeCell ref="X79:Z79"/>
    <mergeCell ref="AD77:AF77"/>
    <mergeCell ref="AG77:AJ77"/>
    <mergeCell ref="AK77:AQ77"/>
    <mergeCell ref="E78:F78"/>
    <mergeCell ref="G78:H78"/>
    <mergeCell ref="I78:K78"/>
    <mergeCell ref="O78:Q78"/>
    <mergeCell ref="R78:T78"/>
    <mergeCell ref="U78:W78"/>
    <mergeCell ref="X78:Z78"/>
    <mergeCell ref="AD76:AF76"/>
    <mergeCell ref="AG76:AJ76"/>
    <mergeCell ref="AK76:AQ76"/>
    <mergeCell ref="E77:F77"/>
    <mergeCell ref="G77:H77"/>
    <mergeCell ref="I77:K77"/>
    <mergeCell ref="O77:Q77"/>
    <mergeCell ref="R77:T77"/>
    <mergeCell ref="U77:W77"/>
    <mergeCell ref="X77:Z77"/>
    <mergeCell ref="AD75:AF75"/>
    <mergeCell ref="AG75:AJ75"/>
    <mergeCell ref="AK75:AQ75"/>
    <mergeCell ref="E76:F76"/>
    <mergeCell ref="G76:H76"/>
    <mergeCell ref="I76:K76"/>
    <mergeCell ref="O76:Q76"/>
    <mergeCell ref="R76:T76"/>
    <mergeCell ref="U76:W76"/>
    <mergeCell ref="X76:Z76"/>
    <mergeCell ref="AD74:AF74"/>
    <mergeCell ref="AG74:AJ74"/>
    <mergeCell ref="AK74:AQ74"/>
    <mergeCell ref="E75:F75"/>
    <mergeCell ref="G75:H75"/>
    <mergeCell ref="I75:K75"/>
    <mergeCell ref="O75:Q75"/>
    <mergeCell ref="R75:T75"/>
    <mergeCell ref="U75:W75"/>
    <mergeCell ref="X75:Z75"/>
    <mergeCell ref="AD73:AF73"/>
    <mergeCell ref="AG73:AJ73"/>
    <mergeCell ref="AK73:AQ73"/>
    <mergeCell ref="E74:F74"/>
    <mergeCell ref="G74:H74"/>
    <mergeCell ref="I74:K74"/>
    <mergeCell ref="O74:Q74"/>
    <mergeCell ref="R74:T74"/>
    <mergeCell ref="U74:W74"/>
    <mergeCell ref="X74:Z74"/>
    <mergeCell ref="AD72:AF72"/>
    <mergeCell ref="AG72:AJ72"/>
    <mergeCell ref="AK72:AQ72"/>
    <mergeCell ref="E73:F73"/>
    <mergeCell ref="G73:H73"/>
    <mergeCell ref="I73:K73"/>
    <mergeCell ref="O73:Q73"/>
    <mergeCell ref="R73:T73"/>
    <mergeCell ref="U73:W73"/>
    <mergeCell ref="X73:Z73"/>
    <mergeCell ref="AD71:AF71"/>
    <mergeCell ref="AG71:AJ71"/>
    <mergeCell ref="AK71:AQ71"/>
    <mergeCell ref="E72:F72"/>
    <mergeCell ref="G72:H72"/>
    <mergeCell ref="I72:K72"/>
    <mergeCell ref="O72:Q72"/>
    <mergeCell ref="R72:T72"/>
    <mergeCell ref="U72:W72"/>
    <mergeCell ref="X72:Z72"/>
    <mergeCell ref="AD70:AF70"/>
    <mergeCell ref="AG70:AJ70"/>
    <mergeCell ref="AK70:AQ70"/>
    <mergeCell ref="E71:F71"/>
    <mergeCell ref="G71:H71"/>
    <mergeCell ref="I71:K71"/>
    <mergeCell ref="O71:Q71"/>
    <mergeCell ref="R71:T71"/>
    <mergeCell ref="U71:W71"/>
    <mergeCell ref="X71:Z71"/>
    <mergeCell ref="AD69:AF69"/>
    <mergeCell ref="AG69:AJ69"/>
    <mergeCell ref="AK69:AQ69"/>
    <mergeCell ref="E70:F70"/>
    <mergeCell ref="G70:H70"/>
    <mergeCell ref="I70:K70"/>
    <mergeCell ref="O70:Q70"/>
    <mergeCell ref="R70:T70"/>
    <mergeCell ref="U70:W70"/>
    <mergeCell ref="X70:Z70"/>
    <mergeCell ref="AD68:AF68"/>
    <mergeCell ref="AG68:AJ68"/>
    <mergeCell ref="AK68:AQ68"/>
    <mergeCell ref="E69:F69"/>
    <mergeCell ref="G69:H69"/>
    <mergeCell ref="I69:K69"/>
    <mergeCell ref="O69:Q69"/>
    <mergeCell ref="R69:T69"/>
    <mergeCell ref="U69:W69"/>
    <mergeCell ref="X69:Z69"/>
    <mergeCell ref="AD67:AF67"/>
    <mergeCell ref="AG67:AJ67"/>
    <mergeCell ref="AK67:AQ67"/>
    <mergeCell ref="E68:F68"/>
    <mergeCell ref="G68:H68"/>
    <mergeCell ref="I68:K68"/>
    <mergeCell ref="O68:Q68"/>
    <mergeCell ref="R68:T68"/>
    <mergeCell ref="U68:W68"/>
    <mergeCell ref="X68:Z68"/>
    <mergeCell ref="AD66:AF66"/>
    <mergeCell ref="AG66:AJ66"/>
    <mergeCell ref="AK66:AQ66"/>
    <mergeCell ref="E67:F67"/>
    <mergeCell ref="G67:H67"/>
    <mergeCell ref="I67:K67"/>
    <mergeCell ref="O67:Q67"/>
    <mergeCell ref="R67:T67"/>
    <mergeCell ref="U67:W67"/>
    <mergeCell ref="X67:Z67"/>
    <mergeCell ref="AD65:AF65"/>
    <mergeCell ref="AG65:AJ65"/>
    <mergeCell ref="AK65:AQ65"/>
    <mergeCell ref="E66:F66"/>
    <mergeCell ref="G66:H66"/>
    <mergeCell ref="I66:K66"/>
    <mergeCell ref="O66:Q66"/>
    <mergeCell ref="R66:T66"/>
    <mergeCell ref="U66:W66"/>
    <mergeCell ref="X66:Z66"/>
    <mergeCell ref="AD64:AF64"/>
    <mergeCell ref="AG64:AJ64"/>
    <mergeCell ref="AK64:AQ64"/>
    <mergeCell ref="E65:F65"/>
    <mergeCell ref="G65:H65"/>
    <mergeCell ref="I65:K65"/>
    <mergeCell ref="O65:Q65"/>
    <mergeCell ref="R65:T65"/>
    <mergeCell ref="U65:W65"/>
    <mergeCell ref="X65:Z65"/>
    <mergeCell ref="AD63:AF63"/>
    <mergeCell ref="AG63:AJ63"/>
    <mergeCell ref="AK63:AQ63"/>
    <mergeCell ref="E64:F64"/>
    <mergeCell ref="G64:H64"/>
    <mergeCell ref="I64:K64"/>
    <mergeCell ref="O64:Q64"/>
    <mergeCell ref="R64:T64"/>
    <mergeCell ref="U64:W64"/>
    <mergeCell ref="X64:Z64"/>
    <mergeCell ref="AD62:AF62"/>
    <mergeCell ref="AG62:AJ62"/>
    <mergeCell ref="AK62:AQ62"/>
    <mergeCell ref="E63:F63"/>
    <mergeCell ref="G63:H63"/>
    <mergeCell ref="I63:K63"/>
    <mergeCell ref="O63:Q63"/>
    <mergeCell ref="R63:T63"/>
    <mergeCell ref="U63:W63"/>
    <mergeCell ref="X63:Z63"/>
    <mergeCell ref="AD61:AF61"/>
    <mergeCell ref="AG61:AJ61"/>
    <mergeCell ref="AK61:AQ61"/>
    <mergeCell ref="E62:F62"/>
    <mergeCell ref="G62:H62"/>
    <mergeCell ref="I62:K62"/>
    <mergeCell ref="O62:Q62"/>
    <mergeCell ref="R62:T62"/>
    <mergeCell ref="U62:W62"/>
    <mergeCell ref="X62:Z62"/>
    <mergeCell ref="AD60:AF60"/>
    <mergeCell ref="AG60:AJ60"/>
    <mergeCell ref="AK60:AQ60"/>
    <mergeCell ref="E61:F61"/>
    <mergeCell ref="G61:H61"/>
    <mergeCell ref="I61:K61"/>
    <mergeCell ref="O61:Q61"/>
    <mergeCell ref="R61:T61"/>
    <mergeCell ref="U61:W61"/>
    <mergeCell ref="X61:Z61"/>
    <mergeCell ref="AD59:AF59"/>
    <mergeCell ref="AG59:AJ59"/>
    <mergeCell ref="AK59:AQ59"/>
    <mergeCell ref="E60:F60"/>
    <mergeCell ref="G60:H60"/>
    <mergeCell ref="I60:K60"/>
    <mergeCell ref="O60:Q60"/>
    <mergeCell ref="R60:T60"/>
    <mergeCell ref="U60:W60"/>
    <mergeCell ref="X60:Z60"/>
    <mergeCell ref="AD58:AF58"/>
    <mergeCell ref="AG58:AJ58"/>
    <mergeCell ref="AK58:AQ58"/>
    <mergeCell ref="E59:F59"/>
    <mergeCell ref="G59:H59"/>
    <mergeCell ref="I59:K59"/>
    <mergeCell ref="O59:Q59"/>
    <mergeCell ref="R59:T59"/>
    <mergeCell ref="U59:W59"/>
    <mergeCell ref="X59:Z59"/>
    <mergeCell ref="AD57:AF57"/>
    <mergeCell ref="AG57:AJ57"/>
    <mergeCell ref="AK57:AQ57"/>
    <mergeCell ref="E58:F58"/>
    <mergeCell ref="G58:H58"/>
    <mergeCell ref="I58:K58"/>
    <mergeCell ref="O58:Q58"/>
    <mergeCell ref="R58:T58"/>
    <mergeCell ref="U58:W58"/>
    <mergeCell ref="X58:Z58"/>
    <mergeCell ref="AD56:AF56"/>
    <mergeCell ref="AG56:AJ56"/>
    <mergeCell ref="AK56:AQ56"/>
    <mergeCell ref="E57:F57"/>
    <mergeCell ref="G57:H57"/>
    <mergeCell ref="I57:K57"/>
    <mergeCell ref="O57:Q57"/>
    <mergeCell ref="R57:T57"/>
    <mergeCell ref="U57:W57"/>
    <mergeCell ref="X57:Z57"/>
    <mergeCell ref="AD55:AF55"/>
    <mergeCell ref="AG55:AJ55"/>
    <mergeCell ref="AK55:AQ55"/>
    <mergeCell ref="E56:F56"/>
    <mergeCell ref="G56:H56"/>
    <mergeCell ref="I56:K56"/>
    <mergeCell ref="O56:Q56"/>
    <mergeCell ref="R56:T56"/>
    <mergeCell ref="U56:W56"/>
    <mergeCell ref="X56:Z56"/>
    <mergeCell ref="AD54:AF54"/>
    <mergeCell ref="AG54:AJ54"/>
    <mergeCell ref="AK54:AQ54"/>
    <mergeCell ref="E55:F55"/>
    <mergeCell ref="G55:H55"/>
    <mergeCell ref="I55:K55"/>
    <mergeCell ref="O55:Q55"/>
    <mergeCell ref="R55:T55"/>
    <mergeCell ref="U55:W55"/>
    <mergeCell ref="X55:Z55"/>
    <mergeCell ref="AG53:AJ53"/>
    <mergeCell ref="AK53:AQ53"/>
    <mergeCell ref="E54:F54"/>
    <mergeCell ref="G54:H54"/>
    <mergeCell ref="I54:K54"/>
    <mergeCell ref="O54:Q54"/>
    <mergeCell ref="R54:T54"/>
    <mergeCell ref="U54:W54"/>
    <mergeCell ref="X54:Z54"/>
    <mergeCell ref="AA54:AC54"/>
    <mergeCell ref="U50:W50"/>
    <mergeCell ref="X50:Z50"/>
    <mergeCell ref="AA50:AC50"/>
    <mergeCell ref="AD50:AF50"/>
    <mergeCell ref="C49:D49"/>
    <mergeCell ref="E49:F49"/>
    <mergeCell ref="G49:H49"/>
    <mergeCell ref="I49:K49"/>
    <mergeCell ref="O49:AF49"/>
    <mergeCell ref="AG49:AQ49"/>
    <mergeCell ref="E50:F50"/>
    <mergeCell ref="AD52:AF52"/>
    <mergeCell ref="E53:F53"/>
    <mergeCell ref="G53:H53"/>
    <mergeCell ref="O53:Q53"/>
    <mergeCell ref="R53:T53"/>
    <mergeCell ref="U53:W53"/>
    <mergeCell ref="X53:Z53"/>
    <mergeCell ref="AA53:AC53"/>
    <mergeCell ref="AD53:AF53"/>
    <mergeCell ref="AD51:AF51"/>
    <mergeCell ref="E52:F52"/>
    <mergeCell ref="AG275:AQ275"/>
    <mergeCell ref="AA273:AB273"/>
    <mergeCell ref="AC273:AD273"/>
    <mergeCell ref="AE273:AF273"/>
    <mergeCell ref="O273:P273"/>
    <mergeCell ref="Q273:R273"/>
    <mergeCell ref="S273:T273"/>
    <mergeCell ref="U273:V273"/>
    <mergeCell ref="W273:X273"/>
    <mergeCell ref="Y273:Z273"/>
    <mergeCell ref="G273:H273"/>
    <mergeCell ref="I273:J273"/>
    <mergeCell ref="K273:L273"/>
    <mergeCell ref="U281:W281"/>
    <mergeCell ref="X281:Z281"/>
    <mergeCell ref="AG279:AQ279"/>
    <mergeCell ref="R283:T283"/>
    <mergeCell ref="AA281:AC281"/>
    <mergeCell ref="AD281:AF281"/>
    <mergeCell ref="AG281:AJ281"/>
    <mergeCell ref="AG273:AH274"/>
    <mergeCell ref="AI273:AK274"/>
    <mergeCell ref="AL273:AN274"/>
    <mergeCell ref="AO273:AQ274"/>
    <mergeCell ref="G274:N274"/>
    <mergeCell ref="O274:X274"/>
    <mergeCell ref="Y274:AF274"/>
    <mergeCell ref="G280:H280"/>
    <mergeCell ref="I280:K280"/>
    <mergeCell ref="O280:Q280"/>
    <mergeCell ref="R280:T280"/>
    <mergeCell ref="U280:W280"/>
    <mergeCell ref="A319:B320"/>
    <mergeCell ref="AI317:AK318"/>
    <mergeCell ref="C318:D318"/>
    <mergeCell ref="E318:F318"/>
    <mergeCell ref="G318:H318"/>
    <mergeCell ref="I318:J318"/>
    <mergeCell ref="K318:L318"/>
    <mergeCell ref="M318:N318"/>
    <mergeCell ref="O318:P318"/>
    <mergeCell ref="Q318:R318"/>
    <mergeCell ref="A317:B318"/>
    <mergeCell ref="C317:F317"/>
    <mergeCell ref="G317:N317"/>
    <mergeCell ref="O317:X317"/>
    <mergeCell ref="Y317:AF317"/>
    <mergeCell ref="AG317:AH318"/>
    <mergeCell ref="S318:T318"/>
    <mergeCell ref="U318:V318"/>
    <mergeCell ref="W318:X318"/>
    <mergeCell ref="Y318:Z318"/>
    <mergeCell ref="S319:T319"/>
    <mergeCell ref="U319:V319"/>
    <mergeCell ref="W319:X319"/>
    <mergeCell ref="Y319:Z319"/>
    <mergeCell ref="E319:F319"/>
    <mergeCell ref="G319:H319"/>
    <mergeCell ref="I319:J319"/>
    <mergeCell ref="K319:L319"/>
    <mergeCell ref="M319:N319"/>
    <mergeCell ref="C320:F320"/>
    <mergeCell ref="G320:N320"/>
    <mergeCell ref="O320:X320"/>
    <mergeCell ref="A312:B312"/>
    <mergeCell ref="A311:B311"/>
    <mergeCell ref="X311:Z311"/>
    <mergeCell ref="AA311:AC311"/>
    <mergeCell ref="A310:B310"/>
    <mergeCell ref="A309:B309"/>
    <mergeCell ref="X309:Z309"/>
    <mergeCell ref="AA309:AC309"/>
    <mergeCell ref="A308:B308"/>
    <mergeCell ref="A307:B307"/>
    <mergeCell ref="X307:Z307"/>
    <mergeCell ref="AA307:AC307"/>
    <mergeCell ref="A306:B306"/>
    <mergeCell ref="A305:B305"/>
    <mergeCell ref="X305:Z305"/>
    <mergeCell ref="AA305:AC305"/>
    <mergeCell ref="A304:B304"/>
    <mergeCell ref="AA304:AC304"/>
    <mergeCell ref="AA306:AC306"/>
    <mergeCell ref="AA308:AC308"/>
    <mergeCell ref="AA310:AC310"/>
    <mergeCell ref="AA312:AC312"/>
    <mergeCell ref="A303:B303"/>
    <mergeCell ref="X303:Z303"/>
    <mergeCell ref="AA303:AC303"/>
    <mergeCell ref="A302:B302"/>
    <mergeCell ref="A301:B301"/>
    <mergeCell ref="X301:Z301"/>
    <mergeCell ref="AA301:AC301"/>
    <mergeCell ref="A300:B300"/>
    <mergeCell ref="A299:B299"/>
    <mergeCell ref="X299:Z299"/>
    <mergeCell ref="AA299:AC299"/>
    <mergeCell ref="A298:B298"/>
    <mergeCell ref="A297:B297"/>
    <mergeCell ref="X297:Z297"/>
    <mergeCell ref="AA297:AC297"/>
    <mergeCell ref="A296:B296"/>
    <mergeCell ref="A295:B295"/>
    <mergeCell ref="X295:Z295"/>
    <mergeCell ref="AA295:AC295"/>
    <mergeCell ref="AA296:AC296"/>
    <mergeCell ref="AA298:AC298"/>
    <mergeCell ref="AA300:AC300"/>
    <mergeCell ref="AA302:AC302"/>
    <mergeCell ref="A294:B294"/>
    <mergeCell ref="A293:B293"/>
    <mergeCell ref="X293:Z293"/>
    <mergeCell ref="AA293:AC293"/>
    <mergeCell ref="A292:B292"/>
    <mergeCell ref="A291:B291"/>
    <mergeCell ref="X291:Z291"/>
    <mergeCell ref="AA291:AC291"/>
    <mergeCell ref="A290:B290"/>
    <mergeCell ref="A289:B289"/>
    <mergeCell ref="X289:Z289"/>
    <mergeCell ref="AA289:AC289"/>
    <mergeCell ref="A288:B288"/>
    <mergeCell ref="A287:B287"/>
    <mergeCell ref="X287:Z287"/>
    <mergeCell ref="AA287:AC287"/>
    <mergeCell ref="A286:B286"/>
    <mergeCell ref="E287:F287"/>
    <mergeCell ref="G287:H287"/>
    <mergeCell ref="I287:K287"/>
    <mergeCell ref="O287:Q287"/>
    <mergeCell ref="R287:T287"/>
    <mergeCell ref="U287:W287"/>
    <mergeCell ref="AA288:AC288"/>
    <mergeCell ref="AA290:AC290"/>
    <mergeCell ref="AA292:AC292"/>
    <mergeCell ref="AA294:AC294"/>
    <mergeCell ref="A285:B285"/>
    <mergeCell ref="X285:Z285"/>
    <mergeCell ref="AA285:AC285"/>
    <mergeCell ref="A284:B284"/>
    <mergeCell ref="A283:B283"/>
    <mergeCell ref="U283:W283"/>
    <mergeCell ref="X283:Z283"/>
    <mergeCell ref="AA283:AC283"/>
    <mergeCell ref="A282:B282"/>
    <mergeCell ref="A281:B281"/>
    <mergeCell ref="AL277:AM277"/>
    <mergeCell ref="AP277:AQ277"/>
    <mergeCell ref="A278:AQ278"/>
    <mergeCell ref="W276:X276"/>
    <mergeCell ref="Y276:AD276"/>
    <mergeCell ref="AE276:AF276"/>
    <mergeCell ref="AG276:AQ276"/>
    <mergeCell ref="A276:F276"/>
    <mergeCell ref="G276:H276"/>
    <mergeCell ref="I276:N276"/>
    <mergeCell ref="O276:P276"/>
    <mergeCell ref="Q276:V276"/>
    <mergeCell ref="A280:B280"/>
    <mergeCell ref="A279:B279"/>
    <mergeCell ref="C279:D279"/>
    <mergeCell ref="X282:Z282"/>
    <mergeCell ref="AA282:AC282"/>
    <mergeCell ref="AD282:AF282"/>
    <mergeCell ref="AG282:AJ282"/>
    <mergeCell ref="AK282:AQ282"/>
    <mergeCell ref="E283:F283"/>
    <mergeCell ref="G283:H283"/>
    <mergeCell ref="A266:B266"/>
    <mergeCell ref="X266:Z266"/>
    <mergeCell ref="AA266:AC266"/>
    <mergeCell ref="A265:B265"/>
    <mergeCell ref="A264:B264"/>
    <mergeCell ref="X264:Z264"/>
    <mergeCell ref="AA264:AC264"/>
    <mergeCell ref="A263:B263"/>
    <mergeCell ref="AD264:AF264"/>
    <mergeCell ref="AG264:AJ264"/>
    <mergeCell ref="AK264:AQ264"/>
    <mergeCell ref="E265:F265"/>
    <mergeCell ref="G265:H265"/>
    <mergeCell ref="I265:K265"/>
    <mergeCell ref="O265:Q265"/>
    <mergeCell ref="R265:T265"/>
    <mergeCell ref="U265:W265"/>
    <mergeCell ref="X265:Z265"/>
    <mergeCell ref="E264:F264"/>
    <mergeCell ref="G264:H264"/>
    <mergeCell ref="I264:K264"/>
    <mergeCell ref="O264:Q264"/>
    <mergeCell ref="R264:T264"/>
    <mergeCell ref="U264:W264"/>
    <mergeCell ref="AD266:AF266"/>
    <mergeCell ref="AG266:AJ266"/>
    <mergeCell ref="AK266:AQ266"/>
    <mergeCell ref="A262:B262"/>
    <mergeCell ref="X262:Z262"/>
    <mergeCell ref="AA262:AC262"/>
    <mergeCell ref="A261:B261"/>
    <mergeCell ref="A260:B260"/>
    <mergeCell ref="X260:Z260"/>
    <mergeCell ref="AA260:AC260"/>
    <mergeCell ref="A259:B259"/>
    <mergeCell ref="A258:B258"/>
    <mergeCell ref="X258:Z258"/>
    <mergeCell ref="AA258:AC258"/>
    <mergeCell ref="A257:B257"/>
    <mergeCell ref="A256:B256"/>
    <mergeCell ref="X256:Z256"/>
    <mergeCell ref="AA256:AC256"/>
    <mergeCell ref="A255:B255"/>
    <mergeCell ref="A254:B254"/>
    <mergeCell ref="X254:Z254"/>
    <mergeCell ref="AA254:AC254"/>
    <mergeCell ref="A253:B253"/>
    <mergeCell ref="A252:B252"/>
    <mergeCell ref="X252:Z252"/>
    <mergeCell ref="AA252:AC252"/>
    <mergeCell ref="A251:B251"/>
    <mergeCell ref="A250:B250"/>
    <mergeCell ref="X250:Z250"/>
    <mergeCell ref="AA250:AC250"/>
    <mergeCell ref="A249:B249"/>
    <mergeCell ref="A248:B248"/>
    <mergeCell ref="X248:Z248"/>
    <mergeCell ref="AA248:AC248"/>
    <mergeCell ref="A247:B247"/>
    <mergeCell ref="A246:B246"/>
    <mergeCell ref="X246:Z246"/>
    <mergeCell ref="AA246:AC246"/>
    <mergeCell ref="A245:B245"/>
    <mergeCell ref="A244:B244"/>
    <mergeCell ref="X244:Z244"/>
    <mergeCell ref="AA244:AC244"/>
    <mergeCell ref="A243:B243"/>
    <mergeCell ref="A242:B242"/>
    <mergeCell ref="X242:Z242"/>
    <mergeCell ref="AA242:AC242"/>
    <mergeCell ref="A241:B241"/>
    <mergeCell ref="A240:B240"/>
    <mergeCell ref="X240:Z240"/>
    <mergeCell ref="AA240:AC240"/>
    <mergeCell ref="A239:B239"/>
    <mergeCell ref="A238:B238"/>
    <mergeCell ref="X238:Z238"/>
    <mergeCell ref="AA238:AC238"/>
    <mergeCell ref="A237:B237"/>
    <mergeCell ref="A236:B236"/>
    <mergeCell ref="AA236:AC236"/>
    <mergeCell ref="E237:F237"/>
    <mergeCell ref="G237:H237"/>
    <mergeCell ref="I237:K237"/>
    <mergeCell ref="O237:Q237"/>
    <mergeCell ref="R237:T237"/>
    <mergeCell ref="U237:W237"/>
    <mergeCell ref="X237:Z237"/>
    <mergeCell ref="A235:B235"/>
    <mergeCell ref="A234:B234"/>
    <mergeCell ref="Y230:AD230"/>
    <mergeCell ref="AE230:AF230"/>
    <mergeCell ref="AG230:AQ230"/>
    <mergeCell ref="A232:AQ232"/>
    <mergeCell ref="W229:X229"/>
    <mergeCell ref="Y229:AD229"/>
    <mergeCell ref="AE229:AF229"/>
    <mergeCell ref="AG229:AQ229"/>
    <mergeCell ref="A230:F230"/>
    <mergeCell ref="G230:H230"/>
    <mergeCell ref="I230:N230"/>
    <mergeCell ref="O230:P230"/>
    <mergeCell ref="Q230:V230"/>
    <mergeCell ref="W230:X230"/>
    <mergeCell ref="A229:F229"/>
    <mergeCell ref="G229:H229"/>
    <mergeCell ref="I229:N229"/>
    <mergeCell ref="O229:P229"/>
    <mergeCell ref="Q229:V229"/>
    <mergeCell ref="A233:B233"/>
    <mergeCell ref="C233:D233"/>
    <mergeCell ref="E233:F233"/>
    <mergeCell ref="G233:H233"/>
    <mergeCell ref="AG234:AJ234"/>
    <mergeCell ref="AK234:AQ234"/>
    <mergeCell ref="E235:F235"/>
    <mergeCell ref="G235:H235"/>
    <mergeCell ref="I235:K235"/>
    <mergeCell ref="O235:Q235"/>
    <mergeCell ref="R235:T235"/>
    <mergeCell ref="Y227:Z227"/>
    <mergeCell ref="AA226:AB226"/>
    <mergeCell ref="AC226:AD226"/>
    <mergeCell ref="AE226:AF226"/>
    <mergeCell ref="A227:B228"/>
    <mergeCell ref="C227:D227"/>
    <mergeCell ref="E227:F227"/>
    <mergeCell ref="G227:H227"/>
    <mergeCell ref="I227:J227"/>
    <mergeCell ref="K227:L227"/>
    <mergeCell ref="M227:N227"/>
    <mergeCell ref="O226:P226"/>
    <mergeCell ref="Q226:R226"/>
    <mergeCell ref="S226:T226"/>
    <mergeCell ref="U226:V226"/>
    <mergeCell ref="W226:X226"/>
    <mergeCell ref="Y226:Z226"/>
    <mergeCell ref="AG225:AH226"/>
    <mergeCell ref="AI225:AK226"/>
    <mergeCell ref="AL225:AN226"/>
    <mergeCell ref="AO225:AQ226"/>
    <mergeCell ref="C226:D226"/>
    <mergeCell ref="E226:F226"/>
    <mergeCell ref="G226:H226"/>
    <mergeCell ref="I226:J226"/>
    <mergeCell ref="K226:L226"/>
    <mergeCell ref="M226:N226"/>
    <mergeCell ref="AA224:AB224"/>
    <mergeCell ref="AC224:AD224"/>
    <mergeCell ref="AE224:AF224"/>
    <mergeCell ref="AL224:AN224"/>
    <mergeCell ref="AO224:AQ224"/>
    <mergeCell ref="A225:B226"/>
    <mergeCell ref="C225:F225"/>
    <mergeCell ref="G225:N225"/>
    <mergeCell ref="O225:X225"/>
    <mergeCell ref="Y225:AF225"/>
    <mergeCell ref="AI223:AK224"/>
    <mergeCell ref="AL223:AQ223"/>
    <mergeCell ref="C224:D224"/>
    <mergeCell ref="E224:F224"/>
    <mergeCell ref="G224:H224"/>
    <mergeCell ref="I224:J224"/>
    <mergeCell ref="K224:L224"/>
    <mergeCell ref="M224:N224"/>
    <mergeCell ref="O224:P224"/>
    <mergeCell ref="Q224:R224"/>
    <mergeCell ref="A223:B224"/>
    <mergeCell ref="C223:F223"/>
    <mergeCell ref="G223:N223"/>
    <mergeCell ref="O223:X223"/>
    <mergeCell ref="Y223:AF223"/>
    <mergeCell ref="AG223:AH224"/>
    <mergeCell ref="S224:T224"/>
    <mergeCell ref="U224:V224"/>
    <mergeCell ref="W224:X224"/>
    <mergeCell ref="Y224:Z224"/>
    <mergeCell ref="A222:B222"/>
    <mergeCell ref="A221:B221"/>
    <mergeCell ref="X221:Z221"/>
    <mergeCell ref="AA221:AC221"/>
    <mergeCell ref="A220:B220"/>
    <mergeCell ref="A219:B219"/>
    <mergeCell ref="X219:Z219"/>
    <mergeCell ref="AA219:AC219"/>
    <mergeCell ref="A218:B218"/>
    <mergeCell ref="AA222:AC222"/>
    <mergeCell ref="AD222:AF222"/>
    <mergeCell ref="AG222:AJ222"/>
    <mergeCell ref="A217:B217"/>
    <mergeCell ref="X217:Z217"/>
    <mergeCell ref="AA217:AC217"/>
    <mergeCell ref="AA218:AC218"/>
    <mergeCell ref="AD218:AF218"/>
    <mergeCell ref="AG218:AJ218"/>
    <mergeCell ref="AA220:AC220"/>
    <mergeCell ref="AD220:AF220"/>
    <mergeCell ref="AG220:AJ220"/>
    <mergeCell ref="A216:B216"/>
    <mergeCell ref="A215:B215"/>
    <mergeCell ref="X215:Z215"/>
    <mergeCell ref="AA215:AC215"/>
    <mergeCell ref="A214:B214"/>
    <mergeCell ref="A213:B213"/>
    <mergeCell ref="X213:Z213"/>
    <mergeCell ref="AA213:AC213"/>
    <mergeCell ref="AD214:AF214"/>
    <mergeCell ref="AG214:AJ214"/>
    <mergeCell ref="AD216:AF216"/>
    <mergeCell ref="AG216:AJ216"/>
    <mergeCell ref="A212:B212"/>
    <mergeCell ref="A211:B211"/>
    <mergeCell ref="X211:Z211"/>
    <mergeCell ref="AA211:AC211"/>
    <mergeCell ref="A210:B210"/>
    <mergeCell ref="A209:B209"/>
    <mergeCell ref="X209:Z209"/>
    <mergeCell ref="AA209:AC209"/>
    <mergeCell ref="A208:B208"/>
    <mergeCell ref="AA208:AC208"/>
    <mergeCell ref="AA210:AC210"/>
    <mergeCell ref="AA212:AC212"/>
    <mergeCell ref="AA214:AC214"/>
    <mergeCell ref="AA216:AC216"/>
    <mergeCell ref="A207:B207"/>
    <mergeCell ref="X207:Z207"/>
    <mergeCell ref="AA207:AC207"/>
    <mergeCell ref="A206:B206"/>
    <mergeCell ref="A205:B205"/>
    <mergeCell ref="X205:Z205"/>
    <mergeCell ref="AA205:AC205"/>
    <mergeCell ref="A204:B204"/>
    <mergeCell ref="A203:B203"/>
    <mergeCell ref="X203:Z203"/>
    <mergeCell ref="AA203:AC203"/>
    <mergeCell ref="A202:B202"/>
    <mergeCell ref="A201:B201"/>
    <mergeCell ref="X201:Z201"/>
    <mergeCell ref="AA201:AC201"/>
    <mergeCell ref="A200:B200"/>
    <mergeCell ref="A199:B199"/>
    <mergeCell ref="X199:Z199"/>
    <mergeCell ref="AA199:AC199"/>
    <mergeCell ref="AA200:AC200"/>
    <mergeCell ref="AA202:AC202"/>
    <mergeCell ref="AA204:AC204"/>
    <mergeCell ref="AA206:AC206"/>
    <mergeCell ref="A198:B198"/>
    <mergeCell ref="A197:B197"/>
    <mergeCell ref="X197:Z197"/>
    <mergeCell ref="AA197:AC197"/>
    <mergeCell ref="A196:B196"/>
    <mergeCell ref="A195:B195"/>
    <mergeCell ref="X195:Z195"/>
    <mergeCell ref="AA195:AC195"/>
    <mergeCell ref="A194:B194"/>
    <mergeCell ref="A193:B193"/>
    <mergeCell ref="X193:Z193"/>
    <mergeCell ref="AA193:AC193"/>
    <mergeCell ref="A192:B192"/>
    <mergeCell ref="A191:B191"/>
    <mergeCell ref="X191:Z191"/>
    <mergeCell ref="AA191:AC191"/>
    <mergeCell ref="A190:B190"/>
    <mergeCell ref="AA190:AC190"/>
    <mergeCell ref="AA192:AC192"/>
    <mergeCell ref="AA194:AC194"/>
    <mergeCell ref="AA196:AC196"/>
    <mergeCell ref="AA198:AC198"/>
    <mergeCell ref="A189:B189"/>
    <mergeCell ref="U189:W189"/>
    <mergeCell ref="X189:Z189"/>
    <mergeCell ref="AA189:AC189"/>
    <mergeCell ref="A188:B188"/>
    <mergeCell ref="A186:AQ186"/>
    <mergeCell ref="A187:B187"/>
    <mergeCell ref="Y184:AD184"/>
    <mergeCell ref="AE184:AF184"/>
    <mergeCell ref="AG184:AQ184"/>
    <mergeCell ref="AL185:AM185"/>
    <mergeCell ref="AP185:AQ185"/>
    <mergeCell ref="AF185:AG185"/>
    <mergeCell ref="AI185:AK185"/>
    <mergeCell ref="AN185:AO185"/>
    <mergeCell ref="W183:X183"/>
    <mergeCell ref="Y183:AD183"/>
    <mergeCell ref="AE183:AF183"/>
    <mergeCell ref="AG183:AQ183"/>
    <mergeCell ref="A184:F184"/>
    <mergeCell ref="G184:H184"/>
    <mergeCell ref="I184:N184"/>
    <mergeCell ref="O184:P184"/>
    <mergeCell ref="Q184:V184"/>
    <mergeCell ref="W184:X184"/>
    <mergeCell ref="A183:F183"/>
    <mergeCell ref="G183:H183"/>
    <mergeCell ref="I183:N183"/>
    <mergeCell ref="O183:P183"/>
    <mergeCell ref="Q183:V183"/>
    <mergeCell ref="C187:D187"/>
    <mergeCell ref="E187:F187"/>
    <mergeCell ref="A181:B182"/>
    <mergeCell ref="C181:D181"/>
    <mergeCell ref="E181:F181"/>
    <mergeCell ref="G181:H181"/>
    <mergeCell ref="I181:J181"/>
    <mergeCell ref="K181:L181"/>
    <mergeCell ref="M181:N181"/>
    <mergeCell ref="O180:P180"/>
    <mergeCell ref="Q180:R180"/>
    <mergeCell ref="S180:T180"/>
    <mergeCell ref="U180:V180"/>
    <mergeCell ref="W180:X180"/>
    <mergeCell ref="Y180:Z180"/>
    <mergeCell ref="AG179:AH180"/>
    <mergeCell ref="AI179:AK180"/>
    <mergeCell ref="AL179:AN180"/>
    <mergeCell ref="AO179:AQ180"/>
    <mergeCell ref="C180:D180"/>
    <mergeCell ref="E180:F180"/>
    <mergeCell ref="G180:H180"/>
    <mergeCell ref="I180:J180"/>
    <mergeCell ref="K180:L180"/>
    <mergeCell ref="M180:N180"/>
    <mergeCell ref="AA178:AB178"/>
    <mergeCell ref="AC178:AD178"/>
    <mergeCell ref="AE178:AF178"/>
    <mergeCell ref="AL178:AN178"/>
    <mergeCell ref="AO178:AQ178"/>
    <mergeCell ref="A179:B180"/>
    <mergeCell ref="C179:F179"/>
    <mergeCell ref="G179:N179"/>
    <mergeCell ref="O179:X179"/>
    <mergeCell ref="Y179:AF179"/>
    <mergeCell ref="AI177:AK178"/>
    <mergeCell ref="AL177:AQ177"/>
    <mergeCell ref="C178:D178"/>
    <mergeCell ref="E178:F178"/>
    <mergeCell ref="G178:H178"/>
    <mergeCell ref="I178:J178"/>
    <mergeCell ref="K178:L178"/>
    <mergeCell ref="M178:N178"/>
    <mergeCell ref="O178:P178"/>
    <mergeCell ref="Q178:R178"/>
    <mergeCell ref="A177:B178"/>
    <mergeCell ref="C177:F177"/>
    <mergeCell ref="G177:N177"/>
    <mergeCell ref="O177:X177"/>
    <mergeCell ref="Y177:AF177"/>
    <mergeCell ref="AG177:AH178"/>
    <mergeCell ref="S178:T178"/>
    <mergeCell ref="U178:V178"/>
    <mergeCell ref="W178:X178"/>
    <mergeCell ref="Y178:Z178"/>
    <mergeCell ref="A176:B176"/>
    <mergeCell ref="A175:B175"/>
    <mergeCell ref="X175:Z175"/>
    <mergeCell ref="AA175:AC175"/>
    <mergeCell ref="A174:B174"/>
    <mergeCell ref="A173:B173"/>
    <mergeCell ref="X173:Z173"/>
    <mergeCell ref="AA173:AC173"/>
    <mergeCell ref="A172:B172"/>
    <mergeCell ref="A171:B171"/>
    <mergeCell ref="X171:Z171"/>
    <mergeCell ref="AA171:AC171"/>
    <mergeCell ref="AD171:AF171"/>
    <mergeCell ref="AG171:AJ171"/>
    <mergeCell ref="AD173:AF173"/>
    <mergeCell ref="AG173:AJ173"/>
    <mergeCell ref="A170:B170"/>
    <mergeCell ref="A169:B169"/>
    <mergeCell ref="X169:Z169"/>
    <mergeCell ref="AA169:AC169"/>
    <mergeCell ref="A168:B168"/>
    <mergeCell ref="A167:B167"/>
    <mergeCell ref="X167:Z167"/>
    <mergeCell ref="AA167:AC167"/>
    <mergeCell ref="A166:B166"/>
    <mergeCell ref="A165:B165"/>
    <mergeCell ref="X165:Z165"/>
    <mergeCell ref="AA165:AC165"/>
    <mergeCell ref="A164:B164"/>
    <mergeCell ref="A163:B163"/>
    <mergeCell ref="X163:Z163"/>
    <mergeCell ref="AA163:AC163"/>
    <mergeCell ref="A162:B162"/>
    <mergeCell ref="A161:B161"/>
    <mergeCell ref="X161:Z161"/>
    <mergeCell ref="AA161:AC161"/>
    <mergeCell ref="A160:B160"/>
    <mergeCell ref="A159:B159"/>
    <mergeCell ref="X159:Z159"/>
    <mergeCell ref="AA159:AC159"/>
    <mergeCell ref="A158:B158"/>
    <mergeCell ref="A157:B157"/>
    <mergeCell ref="X157:Z157"/>
    <mergeCell ref="AA157:AC157"/>
    <mergeCell ref="A156:B156"/>
    <mergeCell ref="A155:B155"/>
    <mergeCell ref="X155:Z155"/>
    <mergeCell ref="AA155:AC155"/>
    <mergeCell ref="A154:B154"/>
    <mergeCell ref="A153:B153"/>
    <mergeCell ref="X153:Z153"/>
    <mergeCell ref="AA153:AC153"/>
    <mergeCell ref="A152:B152"/>
    <mergeCell ref="A151:B151"/>
    <mergeCell ref="X151:Z151"/>
    <mergeCell ref="AA151:AC151"/>
    <mergeCell ref="A150:B150"/>
    <mergeCell ref="A149:B149"/>
    <mergeCell ref="X149:Z149"/>
    <mergeCell ref="AA149:AC149"/>
    <mergeCell ref="A148:B148"/>
    <mergeCell ref="A147:B147"/>
    <mergeCell ref="X147:Z147"/>
    <mergeCell ref="AA147:AC147"/>
    <mergeCell ref="A146:B146"/>
    <mergeCell ref="A145:B145"/>
    <mergeCell ref="X145:Z145"/>
    <mergeCell ref="AA145:AC145"/>
    <mergeCell ref="A144:B144"/>
    <mergeCell ref="A143:B143"/>
    <mergeCell ref="U143:W143"/>
    <mergeCell ref="X143:Z143"/>
    <mergeCell ref="AA143:AC143"/>
    <mergeCell ref="A142:B142"/>
    <mergeCell ref="A140:AQ140"/>
    <mergeCell ref="A141:B141"/>
    <mergeCell ref="Y138:AD138"/>
    <mergeCell ref="AE138:AF138"/>
    <mergeCell ref="AG138:AQ138"/>
    <mergeCell ref="AL139:AM139"/>
    <mergeCell ref="AP139:AQ139"/>
    <mergeCell ref="AF139:AG139"/>
    <mergeCell ref="AI139:AK139"/>
    <mergeCell ref="AN139:AO139"/>
    <mergeCell ref="W137:X137"/>
    <mergeCell ref="Y137:AD137"/>
    <mergeCell ref="AE137:AF137"/>
    <mergeCell ref="AG137:AQ137"/>
    <mergeCell ref="A138:F138"/>
    <mergeCell ref="G138:H138"/>
    <mergeCell ref="I138:N138"/>
    <mergeCell ref="O138:P138"/>
    <mergeCell ref="Q138:V138"/>
    <mergeCell ref="W138:X138"/>
    <mergeCell ref="A137:F137"/>
    <mergeCell ref="G137:H137"/>
    <mergeCell ref="I137:N137"/>
    <mergeCell ref="O137:P137"/>
    <mergeCell ref="Q137:V137"/>
    <mergeCell ref="W135:X135"/>
    <mergeCell ref="Y135:Z135"/>
    <mergeCell ref="AA134:AB134"/>
    <mergeCell ref="AC134:AD134"/>
    <mergeCell ref="AE134:AF134"/>
    <mergeCell ref="A135:B136"/>
    <mergeCell ref="C135:D135"/>
    <mergeCell ref="E135:F135"/>
    <mergeCell ref="G135:H135"/>
    <mergeCell ref="I135:J135"/>
    <mergeCell ref="K135:L135"/>
    <mergeCell ref="M135:N135"/>
    <mergeCell ref="O134:P134"/>
    <mergeCell ref="Q134:R134"/>
    <mergeCell ref="S134:T134"/>
    <mergeCell ref="U134:V134"/>
    <mergeCell ref="W134:X134"/>
    <mergeCell ref="Y134:Z134"/>
    <mergeCell ref="AG133:AH134"/>
    <mergeCell ref="AI133:AK134"/>
    <mergeCell ref="AL133:AN134"/>
    <mergeCell ref="AO133:AQ134"/>
    <mergeCell ref="C134:D134"/>
    <mergeCell ref="E134:F134"/>
    <mergeCell ref="G134:H134"/>
    <mergeCell ref="I134:J134"/>
    <mergeCell ref="K134:L134"/>
    <mergeCell ref="M134:N134"/>
    <mergeCell ref="AA132:AB132"/>
    <mergeCell ref="AC132:AD132"/>
    <mergeCell ref="AE132:AF132"/>
    <mergeCell ref="AL132:AN132"/>
    <mergeCell ref="AO132:AQ132"/>
    <mergeCell ref="A133:B134"/>
    <mergeCell ref="C133:F133"/>
    <mergeCell ref="G133:N133"/>
    <mergeCell ref="O133:X133"/>
    <mergeCell ref="Y133:AF133"/>
    <mergeCell ref="AI131:AK132"/>
    <mergeCell ref="AL131:AQ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131:B132"/>
    <mergeCell ref="C131:F131"/>
    <mergeCell ref="G131:N131"/>
    <mergeCell ref="O131:X131"/>
    <mergeCell ref="Y131:AF131"/>
    <mergeCell ref="AG131:AH132"/>
    <mergeCell ref="S132:T132"/>
    <mergeCell ref="U132:V132"/>
    <mergeCell ref="W132:X132"/>
    <mergeCell ref="Y132:Z132"/>
    <mergeCell ref="A130:B130"/>
    <mergeCell ref="A129:B129"/>
    <mergeCell ref="X129:Z129"/>
    <mergeCell ref="AA129:AC129"/>
    <mergeCell ref="A128:B128"/>
    <mergeCell ref="A127:B127"/>
    <mergeCell ref="X127:Z127"/>
    <mergeCell ref="AA127:AC127"/>
    <mergeCell ref="A126:B126"/>
    <mergeCell ref="AA126:AC126"/>
    <mergeCell ref="AD126:AF126"/>
    <mergeCell ref="AG126:AJ126"/>
    <mergeCell ref="AA128:AC128"/>
    <mergeCell ref="AD128:AF128"/>
    <mergeCell ref="AG128:AJ128"/>
    <mergeCell ref="AA130:AC130"/>
    <mergeCell ref="AD130:AF130"/>
    <mergeCell ref="AG130:AJ130"/>
    <mergeCell ref="A125:B125"/>
    <mergeCell ref="X125:Z125"/>
    <mergeCell ref="AA125:AC125"/>
    <mergeCell ref="A124:B124"/>
    <mergeCell ref="A123:B123"/>
    <mergeCell ref="X123:Z123"/>
    <mergeCell ref="AA123:AC123"/>
    <mergeCell ref="A122:B122"/>
    <mergeCell ref="A121:B121"/>
    <mergeCell ref="X121:Z121"/>
    <mergeCell ref="AA121:AC121"/>
    <mergeCell ref="A120:B120"/>
    <mergeCell ref="A119:B119"/>
    <mergeCell ref="X119:Z119"/>
    <mergeCell ref="AA119:AC119"/>
    <mergeCell ref="A118:B118"/>
    <mergeCell ref="A117:B117"/>
    <mergeCell ref="X117:Z117"/>
    <mergeCell ref="AA117:AC117"/>
    <mergeCell ref="AA118:AC118"/>
    <mergeCell ref="AA120:AC120"/>
    <mergeCell ref="AA122:AC122"/>
    <mergeCell ref="AA124:AC124"/>
    <mergeCell ref="A116:B116"/>
    <mergeCell ref="A115:B115"/>
    <mergeCell ref="X115:Z115"/>
    <mergeCell ref="AA115:AC115"/>
    <mergeCell ref="A114:B114"/>
    <mergeCell ref="A113:B113"/>
    <mergeCell ref="X113:Z113"/>
    <mergeCell ref="AA113:AC113"/>
    <mergeCell ref="A112:B112"/>
    <mergeCell ref="A111:B111"/>
    <mergeCell ref="X111:Z111"/>
    <mergeCell ref="AA111:AC111"/>
    <mergeCell ref="A110:B110"/>
    <mergeCell ref="A109:B109"/>
    <mergeCell ref="X109:Z109"/>
    <mergeCell ref="AA109:AC109"/>
    <mergeCell ref="A108:B108"/>
    <mergeCell ref="AA108:AC108"/>
    <mergeCell ref="AA110:AC110"/>
    <mergeCell ref="AA112:AC112"/>
    <mergeCell ref="AA114:AC114"/>
    <mergeCell ref="AA116:AC116"/>
    <mergeCell ref="A107:B107"/>
    <mergeCell ref="X107:Z107"/>
    <mergeCell ref="AA107:AC107"/>
    <mergeCell ref="A106:B106"/>
    <mergeCell ref="A105:B105"/>
    <mergeCell ref="X105:Z105"/>
    <mergeCell ref="AA105:AC105"/>
    <mergeCell ref="A104:B104"/>
    <mergeCell ref="A103:B103"/>
    <mergeCell ref="X103:Z103"/>
    <mergeCell ref="AA103:AC103"/>
    <mergeCell ref="A102:B102"/>
    <mergeCell ref="A101:B101"/>
    <mergeCell ref="X101:Z101"/>
    <mergeCell ref="AA101:AC101"/>
    <mergeCell ref="A100:B100"/>
    <mergeCell ref="A99:B99"/>
    <mergeCell ref="X99:Z99"/>
    <mergeCell ref="AA99:AC99"/>
    <mergeCell ref="AA100:AC100"/>
    <mergeCell ref="AA102:AC102"/>
    <mergeCell ref="AA104:AC104"/>
    <mergeCell ref="AA106:AC106"/>
    <mergeCell ref="A98:B98"/>
    <mergeCell ref="A97:B97"/>
    <mergeCell ref="U97:W97"/>
    <mergeCell ref="X97:Z97"/>
    <mergeCell ref="AA97:AC97"/>
    <mergeCell ref="A96:B96"/>
    <mergeCell ref="A94:AQ94"/>
    <mergeCell ref="A95:B95"/>
    <mergeCell ref="Y92:AD92"/>
    <mergeCell ref="AE92:AF92"/>
    <mergeCell ref="AG92:AQ92"/>
    <mergeCell ref="AL93:AM93"/>
    <mergeCell ref="AP93:AQ93"/>
    <mergeCell ref="AI93:AK93"/>
    <mergeCell ref="AN93:AO93"/>
    <mergeCell ref="W91:X91"/>
    <mergeCell ref="Y91:AD91"/>
    <mergeCell ref="AE91:AF91"/>
    <mergeCell ref="AG91:AQ91"/>
    <mergeCell ref="A92:F92"/>
    <mergeCell ref="G92:H92"/>
    <mergeCell ref="I92:N92"/>
    <mergeCell ref="O92:P92"/>
    <mergeCell ref="Q92:V92"/>
    <mergeCell ref="W92:X92"/>
    <mergeCell ref="X96:Z96"/>
    <mergeCell ref="AA96:AC96"/>
    <mergeCell ref="AD96:AF96"/>
    <mergeCell ref="AG96:AJ96"/>
    <mergeCell ref="AK96:AQ96"/>
    <mergeCell ref="E97:F97"/>
    <mergeCell ref="G97:H97"/>
    <mergeCell ref="AO89:AQ90"/>
    <mergeCell ref="C90:F90"/>
    <mergeCell ref="G90:N90"/>
    <mergeCell ref="O90:X90"/>
    <mergeCell ref="Y90:AF90"/>
    <mergeCell ref="A91:F91"/>
    <mergeCell ref="G91:H91"/>
    <mergeCell ref="I91:N91"/>
    <mergeCell ref="O91:P91"/>
    <mergeCell ref="Q91:V91"/>
    <mergeCell ref="AA89:AB89"/>
    <mergeCell ref="AC89:AD89"/>
    <mergeCell ref="AE89:AF89"/>
    <mergeCell ref="AG89:AH90"/>
    <mergeCell ref="AI89:AK90"/>
    <mergeCell ref="AL89:AN90"/>
    <mergeCell ref="O89:P89"/>
    <mergeCell ref="Q89:R89"/>
    <mergeCell ref="S89:T89"/>
    <mergeCell ref="U89:V89"/>
    <mergeCell ref="W89:X89"/>
    <mergeCell ref="Y89:Z89"/>
    <mergeCell ref="AA88:AB88"/>
    <mergeCell ref="AC88:AD88"/>
    <mergeCell ref="AE88:AF88"/>
    <mergeCell ref="A89:B90"/>
    <mergeCell ref="C89:D89"/>
    <mergeCell ref="E89:F89"/>
    <mergeCell ref="G89:H89"/>
    <mergeCell ref="I89:J89"/>
    <mergeCell ref="K89:L89"/>
    <mergeCell ref="M89:N89"/>
    <mergeCell ref="O88:P88"/>
    <mergeCell ref="Q88:R88"/>
    <mergeCell ref="S88:T88"/>
    <mergeCell ref="U88:V88"/>
    <mergeCell ref="W88:X88"/>
    <mergeCell ref="Y88:Z88"/>
    <mergeCell ref="AG87:AH88"/>
    <mergeCell ref="AI87:AK88"/>
    <mergeCell ref="AL87:AN88"/>
    <mergeCell ref="AO87:AQ88"/>
    <mergeCell ref="C88:D88"/>
    <mergeCell ref="E88:F88"/>
    <mergeCell ref="G88:H88"/>
    <mergeCell ref="I88:J88"/>
    <mergeCell ref="K88:L88"/>
    <mergeCell ref="M88:N88"/>
    <mergeCell ref="AA86:AB86"/>
    <mergeCell ref="AC86:AD86"/>
    <mergeCell ref="AE86:AF86"/>
    <mergeCell ref="AL86:AN86"/>
    <mergeCell ref="AO86:AQ86"/>
    <mergeCell ref="A87:B88"/>
    <mergeCell ref="C87:F87"/>
    <mergeCell ref="G87:N87"/>
    <mergeCell ref="O87:X87"/>
    <mergeCell ref="Y87:AF87"/>
    <mergeCell ref="AI85:AK86"/>
    <mergeCell ref="AL85:AQ85"/>
    <mergeCell ref="C86:D86"/>
    <mergeCell ref="E86:F86"/>
    <mergeCell ref="G86:H86"/>
    <mergeCell ref="I86:J86"/>
    <mergeCell ref="K86:L86"/>
    <mergeCell ref="M86:N86"/>
    <mergeCell ref="O86:P86"/>
    <mergeCell ref="Q86:R86"/>
    <mergeCell ref="A85:B86"/>
    <mergeCell ref="C85:F85"/>
    <mergeCell ref="G85:N85"/>
    <mergeCell ref="O85:X85"/>
    <mergeCell ref="Y85:AF85"/>
    <mergeCell ref="AG85:AH86"/>
    <mergeCell ref="S86:T86"/>
    <mergeCell ref="U86:V86"/>
    <mergeCell ref="W86:X86"/>
    <mergeCell ref="Y86:Z86"/>
    <mergeCell ref="A84:B84"/>
    <mergeCell ref="AA84:AC84"/>
    <mergeCell ref="A83:B83"/>
    <mergeCell ref="AA83:AC83"/>
    <mergeCell ref="A82:B82"/>
    <mergeCell ref="AA82:AC82"/>
    <mergeCell ref="A81:B81"/>
    <mergeCell ref="AA81:AC81"/>
    <mergeCell ref="A80:B80"/>
    <mergeCell ref="AA80:AC80"/>
    <mergeCell ref="U82:W82"/>
    <mergeCell ref="X82:Z82"/>
    <mergeCell ref="AD80:AF80"/>
    <mergeCell ref="AG80:AJ80"/>
    <mergeCell ref="A79:B79"/>
    <mergeCell ref="AA79:AC79"/>
    <mergeCell ref="A78:B78"/>
    <mergeCell ref="AA78:AC78"/>
    <mergeCell ref="A77:B77"/>
    <mergeCell ref="AA77:AC77"/>
    <mergeCell ref="A76:B76"/>
    <mergeCell ref="AA76:AC76"/>
    <mergeCell ref="A75:B75"/>
    <mergeCell ref="AA75:AC75"/>
    <mergeCell ref="A74:B74"/>
    <mergeCell ref="AA74:AC74"/>
    <mergeCell ref="A73:B73"/>
    <mergeCell ref="AA73:AC73"/>
    <mergeCell ref="A72:B72"/>
    <mergeCell ref="AA72:AC72"/>
    <mergeCell ref="A71:B71"/>
    <mergeCell ref="AA71:AC71"/>
    <mergeCell ref="A70:B70"/>
    <mergeCell ref="AA70:AC70"/>
    <mergeCell ref="A69:B69"/>
    <mergeCell ref="AA69:AC69"/>
    <mergeCell ref="A68:B68"/>
    <mergeCell ref="AA68:AC68"/>
    <mergeCell ref="A67:B67"/>
    <mergeCell ref="AA67:AC67"/>
    <mergeCell ref="A66:B66"/>
    <mergeCell ref="AA66:AC66"/>
    <mergeCell ref="A65:B65"/>
    <mergeCell ref="AA65:AC65"/>
    <mergeCell ref="A64:B64"/>
    <mergeCell ref="AA64:AC64"/>
    <mergeCell ref="A63:B63"/>
    <mergeCell ref="AA63:AC63"/>
    <mergeCell ref="A62:B62"/>
    <mergeCell ref="AA62:AC62"/>
    <mergeCell ref="A61:B61"/>
    <mergeCell ref="AA61:AC61"/>
    <mergeCell ref="A60:B60"/>
    <mergeCell ref="AA60:AC60"/>
    <mergeCell ref="A59:B59"/>
    <mergeCell ref="AA59:AC59"/>
    <mergeCell ref="A58:B58"/>
    <mergeCell ref="AA58:AC58"/>
    <mergeCell ref="A57:B57"/>
    <mergeCell ref="AA57:AC57"/>
    <mergeCell ref="A56:B56"/>
    <mergeCell ref="AA56:AC56"/>
    <mergeCell ref="A55:B55"/>
    <mergeCell ref="AA55:AC55"/>
    <mergeCell ref="A54:B54"/>
    <mergeCell ref="A53:B53"/>
    <mergeCell ref="A52:B52"/>
    <mergeCell ref="G52:H52"/>
    <mergeCell ref="I52:K52"/>
    <mergeCell ref="O52:Q52"/>
    <mergeCell ref="R52:T52"/>
    <mergeCell ref="U52:W52"/>
    <mergeCell ref="X52:Z52"/>
    <mergeCell ref="AA52:AC52"/>
    <mergeCell ref="A51:B51"/>
    <mergeCell ref="A50:B50"/>
    <mergeCell ref="G50:H50"/>
    <mergeCell ref="I50:K50"/>
    <mergeCell ref="A48:AQ48"/>
    <mergeCell ref="A49:B49"/>
    <mergeCell ref="AE46:AF46"/>
    <mergeCell ref="AG46:AQ46"/>
    <mergeCell ref="AL47:AM47"/>
    <mergeCell ref="AP47:AQ47"/>
    <mergeCell ref="Y45:AD45"/>
    <mergeCell ref="AE45:AF45"/>
    <mergeCell ref="AG45:AQ45"/>
    <mergeCell ref="A46:F46"/>
    <mergeCell ref="G46:H46"/>
    <mergeCell ref="I46:N46"/>
    <mergeCell ref="O46:P46"/>
    <mergeCell ref="Q46:V46"/>
    <mergeCell ref="W46:X46"/>
    <mergeCell ref="Y46:AD46"/>
    <mergeCell ref="AG50:AJ50"/>
    <mergeCell ref="AK50:AQ50"/>
    <mergeCell ref="E51:F51"/>
    <mergeCell ref="G51:H51"/>
    <mergeCell ref="I51:K51"/>
    <mergeCell ref="O51:Q51"/>
    <mergeCell ref="R51:T51"/>
    <mergeCell ref="U51:W51"/>
    <mergeCell ref="X51:Z51"/>
    <mergeCell ref="AA51:AC51"/>
    <mergeCell ref="O50:Q50"/>
    <mergeCell ref="R50:T50"/>
    <mergeCell ref="A45:F45"/>
    <mergeCell ref="G45:H45"/>
    <mergeCell ref="I45:N45"/>
    <mergeCell ref="O45:P45"/>
    <mergeCell ref="Q45:V45"/>
    <mergeCell ref="W45:X45"/>
    <mergeCell ref="AC43:AD43"/>
    <mergeCell ref="AE43:AF43"/>
    <mergeCell ref="AG43:AH44"/>
    <mergeCell ref="AI43:AK44"/>
    <mergeCell ref="AL43:AN44"/>
    <mergeCell ref="AO43:AQ44"/>
    <mergeCell ref="Q43:R43"/>
    <mergeCell ref="S43:T43"/>
    <mergeCell ref="U43:V43"/>
    <mergeCell ref="W43:X43"/>
    <mergeCell ref="Y43:Z43"/>
    <mergeCell ref="AA43:AB43"/>
    <mergeCell ref="AE42:AF42"/>
    <mergeCell ref="A43:B44"/>
    <mergeCell ref="C43:D43"/>
    <mergeCell ref="E43:F43"/>
    <mergeCell ref="G43:H43"/>
    <mergeCell ref="I43:J43"/>
    <mergeCell ref="K43:L43"/>
    <mergeCell ref="M43:N43"/>
    <mergeCell ref="O43:P43"/>
    <mergeCell ref="Q42:R42"/>
    <mergeCell ref="S42:T42"/>
    <mergeCell ref="U42:V42"/>
    <mergeCell ref="W42:X42"/>
    <mergeCell ref="Y42:Z42"/>
    <mergeCell ref="AA42:AB42"/>
    <mergeCell ref="AI41:AK42"/>
    <mergeCell ref="C44:F44"/>
    <mergeCell ref="G44:N44"/>
    <mergeCell ref="O44:X44"/>
    <mergeCell ref="Y44:AF44"/>
    <mergeCell ref="AL41:AN42"/>
    <mergeCell ref="AO41:AQ42"/>
    <mergeCell ref="C42:D42"/>
    <mergeCell ref="E42:F42"/>
    <mergeCell ref="G42:H42"/>
    <mergeCell ref="I42:J42"/>
    <mergeCell ref="K42:L42"/>
    <mergeCell ref="M42:N42"/>
    <mergeCell ref="O42:P42"/>
    <mergeCell ref="AC40:AD40"/>
    <mergeCell ref="AE40:AF40"/>
    <mergeCell ref="AL40:AN40"/>
    <mergeCell ref="AO40:AQ40"/>
    <mergeCell ref="A41:B42"/>
    <mergeCell ref="C41:F41"/>
    <mergeCell ref="G41:N41"/>
    <mergeCell ref="O41:X41"/>
    <mergeCell ref="Y41:AF41"/>
    <mergeCell ref="AG41:AH42"/>
    <mergeCell ref="Q40:R40"/>
    <mergeCell ref="S40:T40"/>
    <mergeCell ref="U40:V40"/>
    <mergeCell ref="W40:X40"/>
    <mergeCell ref="Y40:Z40"/>
    <mergeCell ref="AA40:AB40"/>
    <mergeCell ref="E40:F40"/>
    <mergeCell ref="G40:H40"/>
    <mergeCell ref="I40:J40"/>
    <mergeCell ref="K40:L40"/>
    <mergeCell ref="M40:N40"/>
    <mergeCell ref="O40:P40"/>
    <mergeCell ref="AC42:AD42"/>
    <mergeCell ref="AK38:AQ38"/>
    <mergeCell ref="A39:B40"/>
    <mergeCell ref="C39:F39"/>
    <mergeCell ref="G39:N39"/>
    <mergeCell ref="O39:X39"/>
    <mergeCell ref="Y39:AF39"/>
    <mergeCell ref="AG39:AH40"/>
    <mergeCell ref="AI39:AK40"/>
    <mergeCell ref="AL39:AQ39"/>
    <mergeCell ref="C40:D40"/>
    <mergeCell ref="R38:T38"/>
    <mergeCell ref="U38:W38"/>
    <mergeCell ref="X38:Z38"/>
    <mergeCell ref="AA38:AC38"/>
    <mergeCell ref="AD38:AF38"/>
    <mergeCell ref="AG38:AJ38"/>
    <mergeCell ref="X37:Z37"/>
    <mergeCell ref="AA37:AC37"/>
    <mergeCell ref="AD37:AF37"/>
    <mergeCell ref="AG37:AJ37"/>
    <mergeCell ref="AK37:AQ37"/>
    <mergeCell ref="A38:B38"/>
    <mergeCell ref="E38:F38"/>
    <mergeCell ref="G38:H38"/>
    <mergeCell ref="I38:K38"/>
    <mergeCell ref="O38:Q38"/>
    <mergeCell ref="AD36:AF36"/>
    <mergeCell ref="AG36:AJ36"/>
    <mergeCell ref="AK36:AQ36"/>
    <mergeCell ref="A37:B37"/>
    <mergeCell ref="E37:F37"/>
    <mergeCell ref="G37:H37"/>
    <mergeCell ref="I37:K37"/>
    <mergeCell ref="O37:Q37"/>
    <mergeCell ref="R37:T37"/>
    <mergeCell ref="U37:W37"/>
    <mergeCell ref="AK35:AQ35"/>
    <mergeCell ref="A36:B36"/>
    <mergeCell ref="E36:F36"/>
    <mergeCell ref="G36:H36"/>
    <mergeCell ref="I36:K36"/>
    <mergeCell ref="O36:Q36"/>
    <mergeCell ref="R36:T36"/>
    <mergeCell ref="U36:W36"/>
    <mergeCell ref="X36:Z36"/>
    <mergeCell ref="AA36:AC36"/>
    <mergeCell ref="R35:T35"/>
    <mergeCell ref="U35:W35"/>
    <mergeCell ref="X35:Z35"/>
    <mergeCell ref="AA35:AC35"/>
    <mergeCell ref="AD35:AF35"/>
    <mergeCell ref="AG35:AJ35"/>
    <mergeCell ref="X34:Z34"/>
    <mergeCell ref="AA34:AC34"/>
    <mergeCell ref="AD34:AF34"/>
    <mergeCell ref="AG34:AJ34"/>
    <mergeCell ref="AK34:AQ34"/>
    <mergeCell ref="A35:B35"/>
    <mergeCell ref="E35:F35"/>
    <mergeCell ref="G35:H35"/>
    <mergeCell ref="I35:K35"/>
    <mergeCell ref="O35:Q35"/>
    <mergeCell ref="AD33:AF33"/>
    <mergeCell ref="AG33:AJ33"/>
    <mergeCell ref="AK33:AQ33"/>
    <mergeCell ref="A34:B34"/>
    <mergeCell ref="E34:F34"/>
    <mergeCell ref="G34:H34"/>
    <mergeCell ref="I34:K34"/>
    <mergeCell ref="O34:Q34"/>
    <mergeCell ref="R34:T34"/>
    <mergeCell ref="U34:W34"/>
    <mergeCell ref="AK32:AQ32"/>
    <mergeCell ref="A33:B33"/>
    <mergeCell ref="E33:F33"/>
    <mergeCell ref="G33:H33"/>
    <mergeCell ref="I33:K33"/>
    <mergeCell ref="O33:Q33"/>
    <mergeCell ref="R33:T33"/>
    <mergeCell ref="U33:W33"/>
    <mergeCell ref="X33:Z33"/>
    <mergeCell ref="AA33:AC33"/>
    <mergeCell ref="R32:T32"/>
    <mergeCell ref="U32:W32"/>
    <mergeCell ref="X32:Z32"/>
    <mergeCell ref="AA32:AC32"/>
    <mergeCell ref="AD32:AF32"/>
    <mergeCell ref="AG32:AJ32"/>
    <mergeCell ref="X31:Z31"/>
    <mergeCell ref="AA31:AC31"/>
    <mergeCell ref="AD31:AF31"/>
    <mergeCell ref="AG31:AJ31"/>
    <mergeCell ref="AK31:AQ31"/>
    <mergeCell ref="A32:B32"/>
    <mergeCell ref="E32:F32"/>
    <mergeCell ref="G32:H32"/>
    <mergeCell ref="I32:K32"/>
    <mergeCell ref="O32:Q32"/>
    <mergeCell ref="AD30:AF30"/>
    <mergeCell ref="AG30:AJ30"/>
    <mergeCell ref="AK30:AQ30"/>
    <mergeCell ref="A31:B31"/>
    <mergeCell ref="E31:F31"/>
    <mergeCell ref="G31:H31"/>
    <mergeCell ref="I31:K31"/>
    <mergeCell ref="O31:Q31"/>
    <mergeCell ref="R31:T31"/>
    <mergeCell ref="U31:W31"/>
    <mergeCell ref="AK29:AQ29"/>
    <mergeCell ref="A30:B30"/>
    <mergeCell ref="E30:F30"/>
    <mergeCell ref="G30:H30"/>
    <mergeCell ref="I30:K30"/>
    <mergeCell ref="O30:Q30"/>
    <mergeCell ref="R30:T30"/>
    <mergeCell ref="U30:W30"/>
    <mergeCell ref="X30:Z30"/>
    <mergeCell ref="AA30:AC30"/>
    <mergeCell ref="R29:T29"/>
    <mergeCell ref="U29:W29"/>
    <mergeCell ref="X29:Z29"/>
    <mergeCell ref="AA29:AC29"/>
    <mergeCell ref="AD29:AF29"/>
    <mergeCell ref="AG29:AJ29"/>
    <mergeCell ref="X28:Z28"/>
    <mergeCell ref="AA28:AC28"/>
    <mergeCell ref="AD28:AF28"/>
    <mergeCell ref="AG28:AJ28"/>
    <mergeCell ref="AK28:AQ28"/>
    <mergeCell ref="A29:B29"/>
    <mergeCell ref="E29:F29"/>
    <mergeCell ref="G29:H29"/>
    <mergeCell ref="I29:K29"/>
    <mergeCell ref="O29:Q29"/>
    <mergeCell ref="AD27:AF27"/>
    <mergeCell ref="AG27:AJ27"/>
    <mergeCell ref="AK27:AQ27"/>
    <mergeCell ref="A28:B28"/>
    <mergeCell ref="E28:F28"/>
    <mergeCell ref="G28:H28"/>
    <mergeCell ref="I28:K28"/>
    <mergeCell ref="O28:Q28"/>
    <mergeCell ref="R28:T28"/>
    <mergeCell ref="U28:W28"/>
    <mergeCell ref="AK26:AQ26"/>
    <mergeCell ref="A27:B27"/>
    <mergeCell ref="E27:F27"/>
    <mergeCell ref="G27:H27"/>
    <mergeCell ref="I27:K27"/>
    <mergeCell ref="O27:Q27"/>
    <mergeCell ref="R27:T27"/>
    <mergeCell ref="U27:W27"/>
    <mergeCell ref="X27:Z27"/>
    <mergeCell ref="AA27:AC27"/>
    <mergeCell ref="R26:T26"/>
    <mergeCell ref="U26:W26"/>
    <mergeCell ref="X26:Z26"/>
    <mergeCell ref="AA26:AC26"/>
    <mergeCell ref="AD26:AF26"/>
    <mergeCell ref="AG26:AJ26"/>
    <mergeCell ref="X25:Z25"/>
    <mergeCell ref="AA25:AC25"/>
    <mergeCell ref="AD25:AF25"/>
    <mergeCell ref="AG25:AJ25"/>
    <mergeCell ref="AK25:AQ25"/>
    <mergeCell ref="A26:B26"/>
    <mergeCell ref="E26:F26"/>
    <mergeCell ref="G26:H26"/>
    <mergeCell ref="I26:K26"/>
    <mergeCell ref="O26:Q26"/>
    <mergeCell ref="AD24:AF24"/>
    <mergeCell ref="AG24:AJ24"/>
    <mergeCell ref="AK24:AQ24"/>
    <mergeCell ref="A25:B25"/>
    <mergeCell ref="E25:F25"/>
    <mergeCell ref="G25:H25"/>
    <mergeCell ref="I25:K25"/>
    <mergeCell ref="O25:Q25"/>
    <mergeCell ref="R25:T25"/>
    <mergeCell ref="U25:W25"/>
    <mergeCell ref="AK23:AQ23"/>
    <mergeCell ref="A24:B24"/>
    <mergeCell ref="E24:F24"/>
    <mergeCell ref="G24:H24"/>
    <mergeCell ref="I24:K24"/>
    <mergeCell ref="O24:Q24"/>
    <mergeCell ref="R24:T24"/>
    <mergeCell ref="U24:W24"/>
    <mergeCell ref="X24:Z24"/>
    <mergeCell ref="AA24:AC24"/>
    <mergeCell ref="R23:T23"/>
    <mergeCell ref="U23:W23"/>
    <mergeCell ref="X23:Z23"/>
    <mergeCell ref="AA23:AC23"/>
    <mergeCell ref="AD23:AF23"/>
    <mergeCell ref="AG23:AJ23"/>
    <mergeCell ref="X22:Z22"/>
    <mergeCell ref="AA22:AC22"/>
    <mergeCell ref="AD22:AF22"/>
    <mergeCell ref="AG22:AJ22"/>
    <mergeCell ref="AK22:AQ22"/>
    <mergeCell ref="A23:B23"/>
    <mergeCell ref="E23:F23"/>
    <mergeCell ref="G23:H23"/>
    <mergeCell ref="I23:K23"/>
    <mergeCell ref="O23:Q23"/>
    <mergeCell ref="AD21:AF21"/>
    <mergeCell ref="AG21:AJ21"/>
    <mergeCell ref="AK21:AQ21"/>
    <mergeCell ref="A22:B22"/>
    <mergeCell ref="E22:F22"/>
    <mergeCell ref="G22:H22"/>
    <mergeCell ref="I22:K22"/>
    <mergeCell ref="O22:Q22"/>
    <mergeCell ref="R22:T22"/>
    <mergeCell ref="U22:W22"/>
    <mergeCell ref="AK20:AQ20"/>
    <mergeCell ref="A21:B21"/>
    <mergeCell ref="E21:F21"/>
    <mergeCell ref="G21:H21"/>
    <mergeCell ref="I21:K21"/>
    <mergeCell ref="O21:Q21"/>
    <mergeCell ref="R21:T21"/>
    <mergeCell ref="U21:W21"/>
    <mergeCell ref="X21:Z21"/>
    <mergeCell ref="AA21:AC21"/>
    <mergeCell ref="R20:T20"/>
    <mergeCell ref="U20:W20"/>
    <mergeCell ref="X20:Z20"/>
    <mergeCell ref="AA20:AC20"/>
    <mergeCell ref="AD20:AF20"/>
    <mergeCell ref="AG20:AJ20"/>
    <mergeCell ref="X19:Z19"/>
    <mergeCell ref="AA19:AC19"/>
    <mergeCell ref="AD19:AF19"/>
    <mergeCell ref="AG19:AJ19"/>
    <mergeCell ref="AK19:AQ19"/>
    <mergeCell ref="A20:B20"/>
    <mergeCell ref="E20:F20"/>
    <mergeCell ref="G20:H20"/>
    <mergeCell ref="I20:K20"/>
    <mergeCell ref="O20:Q20"/>
    <mergeCell ref="AD18:AF18"/>
    <mergeCell ref="AG18:AJ18"/>
    <mergeCell ref="AK18:AQ18"/>
    <mergeCell ref="A19:B19"/>
    <mergeCell ref="E19:F19"/>
    <mergeCell ref="G19:H19"/>
    <mergeCell ref="I19:K19"/>
    <mergeCell ref="O19:Q19"/>
    <mergeCell ref="R19:T19"/>
    <mergeCell ref="U19:W19"/>
    <mergeCell ref="AK17:AQ17"/>
    <mergeCell ref="A18:B18"/>
    <mergeCell ref="E18:F18"/>
    <mergeCell ref="G18:H18"/>
    <mergeCell ref="I18:K18"/>
    <mergeCell ref="O18:Q18"/>
    <mergeCell ref="R18:T18"/>
    <mergeCell ref="U18:W18"/>
    <mergeCell ref="X18:Z18"/>
    <mergeCell ref="AA18:AC18"/>
    <mergeCell ref="R17:T17"/>
    <mergeCell ref="U17:W17"/>
    <mergeCell ref="X17:Z17"/>
    <mergeCell ref="AA17:AC17"/>
    <mergeCell ref="AD17:AF17"/>
    <mergeCell ref="AG17:AJ17"/>
    <mergeCell ref="X16:Z16"/>
    <mergeCell ref="AA16:AC16"/>
    <mergeCell ref="AD16:AF16"/>
    <mergeCell ref="AG16:AJ16"/>
    <mergeCell ref="AK16:AQ16"/>
    <mergeCell ref="A17:B17"/>
    <mergeCell ref="E17:F17"/>
    <mergeCell ref="G17:H17"/>
    <mergeCell ref="I17:K17"/>
    <mergeCell ref="O17:Q17"/>
    <mergeCell ref="AD15:AF15"/>
    <mergeCell ref="AG15:AJ15"/>
    <mergeCell ref="AK15:AQ15"/>
    <mergeCell ref="A16:B16"/>
    <mergeCell ref="E16:F16"/>
    <mergeCell ref="G16:H16"/>
    <mergeCell ref="I16:K16"/>
    <mergeCell ref="O16:Q16"/>
    <mergeCell ref="R16:T16"/>
    <mergeCell ref="U16:W16"/>
    <mergeCell ref="AK14:AQ14"/>
    <mergeCell ref="A15:B15"/>
    <mergeCell ref="E15:F15"/>
    <mergeCell ref="G15:H15"/>
    <mergeCell ref="I15:K15"/>
    <mergeCell ref="O15:Q15"/>
    <mergeCell ref="R15:T15"/>
    <mergeCell ref="U15:W15"/>
    <mergeCell ref="X15:Z15"/>
    <mergeCell ref="AA15:AC15"/>
    <mergeCell ref="R14:T14"/>
    <mergeCell ref="U14:W14"/>
    <mergeCell ref="X14:Z14"/>
    <mergeCell ref="AA14:AC14"/>
    <mergeCell ref="AD14:AF14"/>
    <mergeCell ref="AG14:AJ14"/>
    <mergeCell ref="X13:Z13"/>
    <mergeCell ref="AA13:AC13"/>
    <mergeCell ref="AD13:AF13"/>
    <mergeCell ref="AG13:AJ13"/>
    <mergeCell ref="AK13:AQ13"/>
    <mergeCell ref="A14:B14"/>
    <mergeCell ref="E14:F14"/>
    <mergeCell ref="G14:H14"/>
    <mergeCell ref="I14:K14"/>
    <mergeCell ref="O14:Q14"/>
    <mergeCell ref="AD12:AF12"/>
    <mergeCell ref="AG12:AJ12"/>
    <mergeCell ref="AK12:AQ12"/>
    <mergeCell ref="A13:B13"/>
    <mergeCell ref="E13:F13"/>
    <mergeCell ref="G13:H13"/>
    <mergeCell ref="I13:K13"/>
    <mergeCell ref="O13:Q13"/>
    <mergeCell ref="R13:T13"/>
    <mergeCell ref="U13:W13"/>
    <mergeCell ref="AK11:AQ11"/>
    <mergeCell ref="A12:B12"/>
    <mergeCell ref="E12:F12"/>
    <mergeCell ref="G12:H12"/>
    <mergeCell ref="I12:K12"/>
    <mergeCell ref="O12:Q12"/>
    <mergeCell ref="R12:T12"/>
    <mergeCell ref="U12:W12"/>
    <mergeCell ref="X12:Z12"/>
    <mergeCell ref="AA12:AC12"/>
    <mergeCell ref="R11:T11"/>
    <mergeCell ref="U11:W11"/>
    <mergeCell ref="X11:Z11"/>
    <mergeCell ref="AA11:AC11"/>
    <mergeCell ref="AD11:AF11"/>
    <mergeCell ref="AG11:AJ11"/>
    <mergeCell ref="X10:Z10"/>
    <mergeCell ref="AA10:AC10"/>
    <mergeCell ref="AD10:AF10"/>
    <mergeCell ref="AG10:AJ10"/>
    <mergeCell ref="AK10:AQ10"/>
    <mergeCell ref="A11:B11"/>
    <mergeCell ref="E11:F11"/>
    <mergeCell ref="G11:H11"/>
    <mergeCell ref="I11:K11"/>
    <mergeCell ref="O11:Q11"/>
    <mergeCell ref="AD9:AF9"/>
    <mergeCell ref="AG9:AJ9"/>
    <mergeCell ref="AK9:AQ9"/>
    <mergeCell ref="A10:B10"/>
    <mergeCell ref="E10:F10"/>
    <mergeCell ref="G10:H10"/>
    <mergeCell ref="I10:K10"/>
    <mergeCell ref="O10:Q10"/>
    <mergeCell ref="R10:T10"/>
    <mergeCell ref="U10:W10"/>
    <mergeCell ref="AK8:AQ8"/>
    <mergeCell ref="A9:B9"/>
    <mergeCell ref="E9:F9"/>
    <mergeCell ref="G9:H9"/>
    <mergeCell ref="I9:K9"/>
    <mergeCell ref="O9:Q9"/>
    <mergeCell ref="R9:T9"/>
    <mergeCell ref="U9:W9"/>
    <mergeCell ref="X9:Z9"/>
    <mergeCell ref="AA9:AC9"/>
    <mergeCell ref="R8:T8"/>
    <mergeCell ref="U8:W8"/>
    <mergeCell ref="X8:Z8"/>
    <mergeCell ref="AA8:AC8"/>
    <mergeCell ref="AD8:AF8"/>
    <mergeCell ref="AG8:AJ8"/>
    <mergeCell ref="X7:Z7"/>
    <mergeCell ref="AA7:AC7"/>
    <mergeCell ref="AD7:AF7"/>
    <mergeCell ref="AG7:AJ7"/>
    <mergeCell ref="AK7:AQ7"/>
    <mergeCell ref="A8:B8"/>
    <mergeCell ref="E8:F8"/>
    <mergeCell ref="G8:H8"/>
    <mergeCell ref="I8:K8"/>
    <mergeCell ref="O8:Q8"/>
    <mergeCell ref="A7:B7"/>
    <mergeCell ref="E7:F7"/>
    <mergeCell ref="G7:H7"/>
    <mergeCell ref="O7:Q7"/>
    <mergeCell ref="R7:T7"/>
    <mergeCell ref="U7:W7"/>
    <mergeCell ref="R6:T6"/>
    <mergeCell ref="U6:W6"/>
    <mergeCell ref="X6:Z6"/>
    <mergeCell ref="AA6:AC6"/>
    <mergeCell ref="AD6:AF6"/>
    <mergeCell ref="U5:W5"/>
    <mergeCell ref="X5:Z5"/>
    <mergeCell ref="AA5:AC5"/>
    <mergeCell ref="AD5:AF5"/>
    <mergeCell ref="A6:B6"/>
    <mergeCell ref="E6:F6"/>
    <mergeCell ref="G6:H6"/>
    <mergeCell ref="I6:K6"/>
    <mergeCell ref="O6:Q6"/>
    <mergeCell ref="A5:B5"/>
    <mergeCell ref="E5:F5"/>
    <mergeCell ref="G5:H5"/>
    <mergeCell ref="I5:K5"/>
    <mergeCell ref="O5:Q5"/>
    <mergeCell ref="R5:T5"/>
    <mergeCell ref="U4:W4"/>
    <mergeCell ref="X4:Z4"/>
    <mergeCell ref="AA4:AC4"/>
    <mergeCell ref="AD4:AF4"/>
    <mergeCell ref="AG4:AJ4"/>
    <mergeCell ref="AK4:AQ4"/>
    <mergeCell ref="A4:B4"/>
    <mergeCell ref="E4:F4"/>
    <mergeCell ref="G4:H4"/>
    <mergeCell ref="I4:K4"/>
    <mergeCell ref="O4:Q4"/>
    <mergeCell ref="R4:T4"/>
    <mergeCell ref="AL1:AM1"/>
    <mergeCell ref="AP1:AQ1"/>
    <mergeCell ref="A2:AQ2"/>
    <mergeCell ref="A3:B3"/>
    <mergeCell ref="C3:D3"/>
    <mergeCell ref="E3:F3"/>
    <mergeCell ref="G3:H3"/>
    <mergeCell ref="I3:K3"/>
    <mergeCell ref="O3:AF3"/>
    <mergeCell ref="AG3:AQ3"/>
    <mergeCell ref="AF1:AG1"/>
  </mergeCells>
  <phoneticPr fontId="4"/>
  <printOptions horizontalCentered="1" verticalCentered="1"/>
  <pageMargins left="0.19685039370078741" right="0.19685039370078741" top="0.19685039370078741" bottom="0.19685039370078741" header="0" footer="0"/>
  <pageSetup paperSize="9" scale="80" orientation="portrait" horizontalDpi="4294967293" verticalDpi="300" r:id="rId1"/>
  <headerFooter alignWithMargins="0"/>
  <rowBreaks count="6" manualBreakCount="6">
    <brk id="46" max="16383" man="1"/>
    <brk id="92" max="16383" man="1"/>
    <brk id="138" max="16383" man="1"/>
    <brk id="184" max="16383" man="1"/>
    <brk id="230" max="42" man="1"/>
    <brk id="276" max="42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DU102"/>
  <sheetViews>
    <sheetView zoomScale="85" zoomScaleNormal="85" workbookViewId="0">
      <selection activeCell="CM3" sqref="CM3"/>
    </sheetView>
  </sheetViews>
  <sheetFormatPr defaultColWidth="9" defaultRowHeight="11.1" customHeight="1"/>
  <cols>
    <col min="1" max="1" width="2.5" style="330" customWidth="1"/>
    <col min="2" max="2" width="3.25" style="330" bestFit="1" customWidth="1"/>
    <col min="3" max="3" width="16.125" style="330" bestFit="1" customWidth="1"/>
    <col min="4" max="4" width="5.875" style="331" bestFit="1" customWidth="1"/>
    <col min="5" max="16" width="4.625" style="330" hidden="1" customWidth="1"/>
    <col min="17" max="17" width="4.625" style="330" customWidth="1"/>
    <col min="18" max="18" width="3.25" style="359" bestFit="1" customWidth="1"/>
    <col min="19" max="19" width="9.625" style="359" bestFit="1" customWidth="1"/>
    <col min="20" max="20" width="5" style="359" bestFit="1" customWidth="1"/>
    <col min="21" max="21" width="13.125" style="330" bestFit="1" customWidth="1"/>
    <col min="22" max="22" width="10.25" style="330" bestFit="1" customWidth="1"/>
    <col min="23" max="23" width="11.75" style="330" bestFit="1" customWidth="1"/>
    <col min="24" max="24" width="4.625" style="330" customWidth="1"/>
    <col min="25" max="25" width="4" style="330" hidden="1" customWidth="1"/>
    <col min="26" max="26" width="16.875" style="330" hidden="1" customWidth="1"/>
    <col min="27" max="30" width="3.25" style="330" hidden="1" customWidth="1"/>
    <col min="31" max="31" width="4.125" style="330" hidden="1" customWidth="1"/>
    <col min="32" max="35" width="2.375" style="330" hidden="1" customWidth="1"/>
    <col min="36" max="38" width="4.625" style="330" hidden="1" customWidth="1"/>
    <col min="39" max="39" width="3.25" style="330" hidden="1" customWidth="1"/>
    <col min="40" max="40" width="23.875" style="330" hidden="1" customWidth="1"/>
    <col min="41" max="41" width="6.875" style="330" hidden="1" customWidth="1"/>
    <col min="42" max="45" width="7.75" style="330" hidden="1" customWidth="1"/>
    <col min="46" max="47" width="2.625" style="330" hidden="1" customWidth="1"/>
    <col min="48" max="48" width="13.75" style="331" hidden="1" customWidth="1"/>
    <col min="49" max="49" width="10.75" style="359" hidden="1" customWidth="1"/>
    <col min="50" max="53" width="4.25" style="359" hidden="1" customWidth="1"/>
    <col min="54" max="55" width="4.25" style="359" customWidth="1"/>
    <col min="56" max="56" width="7.75" style="359" bestFit="1" customWidth="1"/>
    <col min="57" max="64" width="7.75" style="359" customWidth="1"/>
    <col min="65" max="66" width="4.25" style="359" customWidth="1"/>
    <col min="67" max="67" width="14" style="379" customWidth="1"/>
    <col min="68" max="69" width="9.375" style="379" customWidth="1"/>
    <col min="70" max="71" width="14" style="379" hidden="1" customWidth="1"/>
    <col min="72" max="72" width="9.5" style="379" hidden="1" customWidth="1"/>
    <col min="73" max="73" width="11.25" style="379" hidden="1" customWidth="1"/>
    <col min="74" max="74" width="7" style="330" hidden="1" customWidth="1"/>
    <col min="75" max="75" width="17.875" style="330" hidden="1" customWidth="1"/>
    <col min="76" max="77" width="4.25" style="330" hidden="1" customWidth="1"/>
    <col min="78" max="79" width="4.25" style="330" customWidth="1"/>
    <col min="80" max="80" width="11.375" style="330" bestFit="1" customWidth="1"/>
    <col min="81" max="81" width="9.875" style="330" bestFit="1" customWidth="1"/>
    <col min="82" max="82" width="8.625" style="330" bestFit="1" customWidth="1"/>
    <col min="83" max="85" width="7.75" style="330" bestFit="1" customWidth="1"/>
    <col min="86" max="87" width="2.375" style="330" bestFit="1" customWidth="1"/>
    <col min="88" max="88" width="4.375" style="330" bestFit="1" customWidth="1"/>
    <col min="89" max="89" width="2.375" style="330" bestFit="1" customWidth="1"/>
    <col min="90" max="90" width="12.5" style="330" bestFit="1" customWidth="1"/>
    <col min="91" max="91" width="8.375" style="330" bestFit="1" customWidth="1"/>
    <col min="92" max="93" width="9" style="330" hidden="1" customWidth="1"/>
    <col min="94" max="94" width="20.375" style="330" hidden="1" customWidth="1"/>
    <col min="95" max="97" width="9" style="330" hidden="1" customWidth="1"/>
    <col min="98" max="98" width="14.875" style="330" hidden="1" customWidth="1"/>
    <col min="99" max="111" width="9" style="330" hidden="1" customWidth="1"/>
    <col min="112" max="113" width="9" style="330"/>
    <col min="114" max="114" width="12.875" style="330" bestFit="1" customWidth="1"/>
    <col min="115" max="115" width="8.625" style="330" bestFit="1" customWidth="1"/>
    <col min="116" max="116" width="8.5" style="330" bestFit="1" customWidth="1"/>
    <col min="117" max="117" width="12.75" style="330" bestFit="1" customWidth="1"/>
    <col min="118" max="118" width="12.625" style="330" bestFit="1" customWidth="1"/>
    <col min="119" max="119" width="21.25" style="330" bestFit="1" customWidth="1"/>
    <col min="120" max="120" width="7.125" style="330" bestFit="1" customWidth="1"/>
    <col min="121" max="121" width="10.25" style="330" bestFit="1" customWidth="1"/>
    <col min="122" max="122" width="17.5" style="330" bestFit="1" customWidth="1"/>
    <col min="123" max="123" width="38.75" style="330" customWidth="1"/>
    <col min="124" max="124" width="10.875" style="330" bestFit="1" customWidth="1"/>
    <col min="125" max="16384" width="9" style="330"/>
  </cols>
  <sheetData>
    <row r="1" spans="2:125" ht="11.1" customHeight="1" thickBot="1">
      <c r="R1" s="332"/>
      <c r="S1" s="332"/>
      <c r="T1" s="332"/>
      <c r="AV1" s="330"/>
      <c r="AW1" s="330"/>
      <c r="AX1" s="330"/>
      <c r="AY1" s="330"/>
      <c r="AZ1" s="330"/>
      <c r="BA1" s="330"/>
      <c r="BB1" s="333"/>
      <c r="BC1" s="333"/>
      <c r="BD1" s="333"/>
      <c r="BE1" s="333"/>
      <c r="BF1" s="333"/>
      <c r="BG1" s="333"/>
      <c r="BH1" s="333"/>
      <c r="BI1" s="333"/>
      <c r="BJ1" s="333"/>
      <c r="BK1" s="330"/>
      <c r="BL1" s="330"/>
      <c r="BM1" s="330"/>
      <c r="BN1" s="330"/>
      <c r="BO1" s="330"/>
      <c r="BP1" s="330"/>
      <c r="BQ1" s="330"/>
      <c r="BR1" s="330"/>
      <c r="BS1" s="330"/>
      <c r="BT1" s="330"/>
      <c r="BU1" s="330"/>
      <c r="CJ1" s="331"/>
      <c r="CK1" s="332"/>
      <c r="CL1" s="332"/>
      <c r="CM1" s="332"/>
      <c r="CN1" s="332"/>
      <c r="CO1" s="332"/>
      <c r="CP1" s="332"/>
      <c r="DI1" s="332"/>
      <c r="DJ1" s="379"/>
      <c r="DK1" s="379"/>
      <c r="DL1" s="379"/>
      <c r="DM1" s="379"/>
      <c r="DN1" s="379"/>
      <c r="DO1" s="379"/>
      <c r="DP1" s="379"/>
    </row>
    <row r="2" spans="2:125" ht="11.1" customHeight="1" thickBot="1">
      <c r="B2" s="621" t="s">
        <v>15</v>
      </c>
      <c r="C2" s="622"/>
      <c r="D2" s="623"/>
      <c r="R2" s="626" t="s">
        <v>424</v>
      </c>
      <c r="S2" s="627"/>
      <c r="T2" s="627"/>
      <c r="U2" s="627"/>
      <c r="V2" s="627"/>
      <c r="W2" s="628"/>
      <c r="AV2" s="330"/>
      <c r="AW2" s="330"/>
      <c r="AX2" s="330"/>
      <c r="AY2" s="330"/>
      <c r="AZ2" s="330"/>
      <c r="BA2" s="330"/>
      <c r="BB2" s="629" t="s">
        <v>436</v>
      </c>
      <c r="BC2" s="630"/>
      <c r="BD2" s="630"/>
      <c r="BE2" s="630"/>
      <c r="BF2" s="630"/>
      <c r="BG2" s="630"/>
      <c r="BH2" s="630"/>
      <c r="BI2" s="630"/>
      <c r="BJ2" s="630"/>
      <c r="BK2" s="630"/>
      <c r="BL2" s="631"/>
      <c r="BM2" s="330"/>
      <c r="BN2" s="621" t="s">
        <v>456</v>
      </c>
      <c r="BO2" s="622"/>
      <c r="BP2" s="622"/>
      <c r="BQ2" s="623"/>
      <c r="BR2" s="330"/>
      <c r="BS2" s="330"/>
      <c r="BT2" s="330"/>
      <c r="BU2" s="330"/>
      <c r="CA2" s="621" t="s">
        <v>423</v>
      </c>
      <c r="CB2" s="622"/>
      <c r="CC2" s="622"/>
      <c r="CD2" s="622"/>
      <c r="CE2" s="622"/>
      <c r="CF2" s="622"/>
      <c r="CG2" s="622"/>
      <c r="CH2" s="622"/>
      <c r="CI2" s="622"/>
      <c r="CJ2" s="622"/>
      <c r="CK2" s="623"/>
      <c r="CL2" s="332"/>
      <c r="CM2" s="332"/>
      <c r="CN2" s="332"/>
      <c r="CO2" s="332"/>
      <c r="CP2" s="332"/>
      <c r="DI2" s="621" t="s">
        <v>429</v>
      </c>
      <c r="DJ2" s="622"/>
      <c r="DK2" s="622"/>
      <c r="DL2" s="622"/>
      <c r="DM2" s="622"/>
      <c r="DN2" s="622"/>
      <c r="DO2" s="622"/>
      <c r="DP2" s="622"/>
      <c r="DQ2" s="622"/>
      <c r="DR2" s="622"/>
      <c r="DS2" s="622"/>
      <c r="DT2" s="622"/>
      <c r="DU2" s="623"/>
    </row>
    <row r="3" spans="2:125" ht="12.75" thickBot="1">
      <c r="B3" s="336" t="s">
        <v>18</v>
      </c>
      <c r="C3" s="337" t="s">
        <v>16</v>
      </c>
      <c r="D3" s="338" t="s">
        <v>17</v>
      </c>
      <c r="R3" s="336" t="s">
        <v>18</v>
      </c>
      <c r="S3" s="337" t="s">
        <v>426</v>
      </c>
      <c r="T3" s="338" t="s">
        <v>425</v>
      </c>
      <c r="U3" s="339" t="s">
        <v>427</v>
      </c>
      <c r="V3" s="340" t="s">
        <v>428</v>
      </c>
      <c r="W3" s="340" t="s">
        <v>169</v>
      </c>
      <c r="AV3" s="330"/>
      <c r="AW3" s="330"/>
      <c r="AX3" s="330"/>
      <c r="AY3" s="330"/>
      <c r="AZ3" s="330"/>
      <c r="BA3" s="330"/>
      <c r="BB3" s="386" t="s">
        <v>18</v>
      </c>
      <c r="BC3" s="370" t="s">
        <v>442</v>
      </c>
      <c r="BD3" s="370">
        <f>U4</f>
        <v>45</v>
      </c>
      <c r="BE3" s="370">
        <f>U5</f>
        <v>60</v>
      </c>
      <c r="BF3" s="370">
        <f>U6</f>
        <v>75</v>
      </c>
      <c r="BG3" s="370">
        <f>U7</f>
        <v>90</v>
      </c>
      <c r="BH3" s="370">
        <f>U8</f>
        <v>120</v>
      </c>
      <c r="BI3" s="370">
        <f>U9</f>
        <v>0</v>
      </c>
      <c r="BJ3" s="370">
        <f>U10</f>
        <v>0</v>
      </c>
      <c r="BK3" s="370">
        <f>U11</f>
        <v>0</v>
      </c>
      <c r="BL3" s="369">
        <f>U12</f>
        <v>0</v>
      </c>
      <c r="BM3" s="330"/>
      <c r="BN3" s="386" t="s">
        <v>18</v>
      </c>
      <c r="BO3" s="370" t="s">
        <v>442</v>
      </c>
      <c r="BP3" s="370" t="s">
        <v>17</v>
      </c>
      <c r="BQ3" s="369" t="s">
        <v>450</v>
      </c>
      <c r="BR3" s="330"/>
      <c r="BS3" s="330"/>
      <c r="BT3" s="330"/>
      <c r="BU3" s="330"/>
      <c r="CA3" s="340" t="s">
        <v>18</v>
      </c>
      <c r="CB3" s="340" t="s">
        <v>19</v>
      </c>
      <c r="CC3" s="406">
        <f>$U$4</f>
        <v>45</v>
      </c>
      <c r="CD3" s="407">
        <f>$U$5</f>
        <v>60</v>
      </c>
      <c r="CE3" s="407">
        <f>$U$6</f>
        <v>75</v>
      </c>
      <c r="CF3" s="407">
        <f>$U$7</f>
        <v>90</v>
      </c>
      <c r="CG3" s="407">
        <f>$U$8</f>
        <v>120</v>
      </c>
      <c r="CH3" s="337">
        <f>$U$9</f>
        <v>0</v>
      </c>
      <c r="CI3" s="337">
        <f>$U$10</f>
        <v>0</v>
      </c>
      <c r="CJ3" s="337">
        <f>$U$10</f>
        <v>0</v>
      </c>
      <c r="CK3" s="341">
        <f>$U$10</f>
        <v>0</v>
      </c>
      <c r="CL3" s="402" t="s">
        <v>432</v>
      </c>
      <c r="CM3" s="393" t="s">
        <v>290</v>
      </c>
      <c r="CN3" s="332"/>
      <c r="CO3" s="332"/>
      <c r="CP3" s="332"/>
      <c r="DI3" s="340" t="s">
        <v>18</v>
      </c>
      <c r="DJ3" s="337" t="s">
        <v>340</v>
      </c>
      <c r="DK3" s="337" t="s">
        <v>341</v>
      </c>
      <c r="DL3" s="337" t="s">
        <v>342</v>
      </c>
      <c r="DM3" s="337" t="s">
        <v>343</v>
      </c>
      <c r="DN3" s="337" t="s">
        <v>344</v>
      </c>
      <c r="DO3" s="414" t="s">
        <v>430</v>
      </c>
      <c r="DP3" s="415"/>
      <c r="DQ3" s="337" t="s">
        <v>444</v>
      </c>
      <c r="DR3" s="337" t="s">
        <v>431</v>
      </c>
      <c r="DS3" s="341" t="s">
        <v>448</v>
      </c>
      <c r="DT3" s="416" t="s">
        <v>449</v>
      </c>
      <c r="DU3" s="416" t="s">
        <v>450</v>
      </c>
    </row>
    <row r="4" spans="2:125" ht="11.1" customHeight="1">
      <c r="B4" s="342">
        <v>1</v>
      </c>
      <c r="C4" s="343" t="s">
        <v>252</v>
      </c>
      <c r="D4" s="344">
        <v>2000</v>
      </c>
      <c r="R4" s="342">
        <v>1</v>
      </c>
      <c r="S4" s="343">
        <v>1</v>
      </c>
      <c r="T4" s="345"/>
      <c r="U4" s="346">
        <v>45</v>
      </c>
      <c r="V4" s="346" t="s">
        <v>14</v>
      </c>
      <c r="W4" s="346" t="s">
        <v>433</v>
      </c>
      <c r="AV4" s="330"/>
      <c r="AW4" s="330"/>
      <c r="AX4" s="330"/>
      <c r="AY4" s="330"/>
      <c r="AZ4" s="330"/>
      <c r="BA4" s="330"/>
      <c r="BB4" s="349">
        <v>1</v>
      </c>
      <c r="BC4" s="385" t="s">
        <v>438</v>
      </c>
      <c r="BD4" s="374">
        <v>8500</v>
      </c>
      <c r="BE4" s="374">
        <v>11000</v>
      </c>
      <c r="BF4" s="374">
        <v>14000</v>
      </c>
      <c r="BG4" s="374">
        <v>16500</v>
      </c>
      <c r="BH4" s="374">
        <v>22000</v>
      </c>
      <c r="BI4" s="374"/>
      <c r="BJ4" s="374"/>
      <c r="BK4" s="374"/>
      <c r="BL4" s="375"/>
      <c r="BM4" s="330"/>
      <c r="BN4" s="349">
        <v>1</v>
      </c>
      <c r="BO4" s="385" t="s">
        <v>457</v>
      </c>
      <c r="BP4" s="374">
        <v>2000</v>
      </c>
      <c r="BQ4" s="351" t="s">
        <v>339</v>
      </c>
      <c r="BR4" s="330"/>
      <c r="BS4" s="330"/>
      <c r="BT4" s="330"/>
      <c r="BU4" s="330"/>
      <c r="CA4" s="404">
        <v>1</v>
      </c>
      <c r="CB4" s="346" t="s">
        <v>179</v>
      </c>
      <c r="CC4" s="397">
        <v>8000</v>
      </c>
      <c r="CD4" s="376">
        <v>10500</v>
      </c>
      <c r="CE4" s="376">
        <v>13000</v>
      </c>
      <c r="CF4" s="376">
        <v>15500</v>
      </c>
      <c r="CG4" s="376">
        <v>21000</v>
      </c>
      <c r="CH4" s="376"/>
      <c r="CI4" s="376"/>
      <c r="CJ4" s="376"/>
      <c r="CK4" s="405"/>
      <c r="CL4" s="352" t="s">
        <v>339</v>
      </c>
      <c r="CM4" s="362" t="s">
        <v>293</v>
      </c>
      <c r="CN4" s="332"/>
      <c r="CO4" s="332"/>
      <c r="CP4" s="332"/>
      <c r="DI4" s="346">
        <v>1</v>
      </c>
      <c r="DJ4" s="410">
        <v>100</v>
      </c>
      <c r="DK4" s="411">
        <v>0</v>
      </c>
      <c r="DL4" s="411">
        <v>170</v>
      </c>
      <c r="DM4" s="411"/>
      <c r="DN4" s="411"/>
      <c r="DO4" s="412" t="s">
        <v>202</v>
      </c>
      <c r="DP4" s="413" t="s">
        <v>349</v>
      </c>
      <c r="DQ4" s="624">
        <v>500</v>
      </c>
      <c r="DR4" s="343" t="s">
        <v>416</v>
      </c>
      <c r="DS4" s="618" t="s">
        <v>453</v>
      </c>
      <c r="DT4" s="417" t="s">
        <v>451</v>
      </c>
      <c r="DU4" s="418" t="s">
        <v>339</v>
      </c>
    </row>
    <row r="5" spans="2:125" ht="11.1" customHeight="1">
      <c r="B5" s="349">
        <v>2</v>
      </c>
      <c r="C5" s="348" t="s">
        <v>253</v>
      </c>
      <c r="D5" s="350">
        <v>2000</v>
      </c>
      <c r="R5" s="349">
        <v>2</v>
      </c>
      <c r="S5" s="348">
        <v>2</v>
      </c>
      <c r="T5" s="351"/>
      <c r="U5" s="352">
        <v>60</v>
      </c>
      <c r="V5" s="352" t="s">
        <v>5</v>
      </c>
      <c r="W5" s="352" t="s">
        <v>434</v>
      </c>
      <c r="AV5" s="330"/>
      <c r="AW5" s="330"/>
      <c r="AX5" s="330"/>
      <c r="AY5" s="330"/>
      <c r="AZ5" s="330"/>
      <c r="BA5" s="330"/>
      <c r="BB5" s="349">
        <v>2</v>
      </c>
      <c r="BC5" s="385" t="s">
        <v>437</v>
      </c>
      <c r="BD5" s="374">
        <v>9500</v>
      </c>
      <c r="BE5" s="374">
        <v>14500</v>
      </c>
      <c r="BF5" s="374">
        <v>19000</v>
      </c>
      <c r="BG5" s="374">
        <v>24000</v>
      </c>
      <c r="BH5" s="374">
        <v>29000</v>
      </c>
      <c r="BI5" s="374"/>
      <c r="BJ5" s="374"/>
      <c r="BK5" s="374"/>
      <c r="BL5" s="375"/>
      <c r="BM5" s="330"/>
      <c r="BN5" s="349">
        <v>2</v>
      </c>
      <c r="BO5" s="385" t="s">
        <v>458</v>
      </c>
      <c r="BP5" s="374">
        <v>3000</v>
      </c>
      <c r="BQ5" s="351" t="s">
        <v>339</v>
      </c>
      <c r="BR5" s="330"/>
      <c r="BS5" s="330"/>
      <c r="BT5" s="330"/>
      <c r="BU5" s="330"/>
      <c r="CA5" s="394">
        <v>2</v>
      </c>
      <c r="CB5" s="352" t="s">
        <v>391</v>
      </c>
      <c r="CC5" s="396">
        <v>0</v>
      </c>
      <c r="CD5" s="374">
        <v>5000</v>
      </c>
      <c r="CE5" s="374">
        <v>6000</v>
      </c>
      <c r="CF5" s="374">
        <v>7000</v>
      </c>
      <c r="CG5" s="374">
        <v>9000</v>
      </c>
      <c r="CH5" s="374"/>
      <c r="CI5" s="374"/>
      <c r="CJ5" s="374"/>
      <c r="CK5" s="391"/>
      <c r="CL5" s="352" t="s">
        <v>339</v>
      </c>
      <c r="CM5" s="353" t="s">
        <v>291</v>
      </c>
      <c r="CN5" s="332"/>
      <c r="CO5" s="332"/>
      <c r="CP5" s="332"/>
      <c r="DI5" s="352">
        <v>2</v>
      </c>
      <c r="DJ5" s="380"/>
      <c r="DK5" s="380"/>
      <c r="DL5" s="371"/>
      <c r="DM5" s="371"/>
      <c r="DN5" s="371"/>
      <c r="DO5" s="329" t="s">
        <v>203</v>
      </c>
      <c r="DP5" s="347" t="s">
        <v>445</v>
      </c>
      <c r="DQ5" s="624"/>
      <c r="DR5" s="348" t="s">
        <v>417</v>
      </c>
      <c r="DS5" s="619"/>
      <c r="DT5" s="419"/>
      <c r="DU5" s="420"/>
    </row>
    <row r="6" spans="2:125" ht="11.1" customHeight="1" thickBot="1">
      <c r="B6" s="349">
        <v>3</v>
      </c>
      <c r="C6" s="348" t="s">
        <v>306</v>
      </c>
      <c r="D6" s="350">
        <v>2000</v>
      </c>
      <c r="R6" s="349">
        <v>3</v>
      </c>
      <c r="S6" s="348">
        <v>3</v>
      </c>
      <c r="T6" s="351"/>
      <c r="U6" s="352">
        <v>75</v>
      </c>
      <c r="V6" s="352" t="s">
        <v>13</v>
      </c>
      <c r="W6" s="352"/>
      <c r="AV6" s="330"/>
      <c r="AW6" s="330"/>
      <c r="AX6" s="330"/>
      <c r="AY6" s="330"/>
      <c r="AZ6" s="330"/>
      <c r="BA6" s="330"/>
      <c r="BB6" s="356">
        <v>3</v>
      </c>
      <c r="BC6" s="387" t="s">
        <v>443</v>
      </c>
      <c r="BD6" s="388">
        <v>18000</v>
      </c>
      <c r="BE6" s="388">
        <v>25500</v>
      </c>
      <c r="BF6" s="388">
        <v>33000</v>
      </c>
      <c r="BG6" s="388">
        <v>40500</v>
      </c>
      <c r="BH6" s="388">
        <v>51000</v>
      </c>
      <c r="BI6" s="388"/>
      <c r="BJ6" s="388"/>
      <c r="BK6" s="388"/>
      <c r="BL6" s="389"/>
      <c r="BM6" s="330"/>
      <c r="BN6" s="349">
        <v>3</v>
      </c>
      <c r="BO6" s="385"/>
      <c r="BP6" s="374"/>
      <c r="BQ6" s="351"/>
      <c r="BR6" s="330"/>
      <c r="BS6" s="330"/>
      <c r="BT6" s="330"/>
      <c r="BU6" s="330"/>
      <c r="CA6" s="394">
        <v>3</v>
      </c>
      <c r="CB6" s="352" t="s">
        <v>254</v>
      </c>
      <c r="CC6" s="396">
        <v>0</v>
      </c>
      <c r="CD6" s="374">
        <v>5000</v>
      </c>
      <c r="CE6" s="374">
        <v>6000</v>
      </c>
      <c r="CF6" s="374">
        <v>7000</v>
      </c>
      <c r="CG6" s="374">
        <v>9000</v>
      </c>
      <c r="CH6" s="374"/>
      <c r="CI6" s="374"/>
      <c r="CJ6" s="374"/>
      <c r="CK6" s="391"/>
      <c r="CL6" s="352" t="s">
        <v>339</v>
      </c>
      <c r="CM6" s="353" t="s">
        <v>381</v>
      </c>
      <c r="CN6" s="332"/>
      <c r="CO6" s="332"/>
      <c r="CP6" s="332"/>
      <c r="DI6" s="352">
        <v>3</v>
      </c>
      <c r="DJ6" s="372"/>
      <c r="DK6" s="372"/>
      <c r="DL6" s="372"/>
      <c r="DM6" s="372"/>
      <c r="DN6" s="372"/>
      <c r="DO6" s="329" t="s">
        <v>204</v>
      </c>
      <c r="DP6" s="347" t="s">
        <v>349</v>
      </c>
      <c r="DQ6" s="624"/>
      <c r="DR6" s="348" t="s">
        <v>418</v>
      </c>
      <c r="DS6" s="619"/>
      <c r="DT6" s="419"/>
      <c r="DU6" s="420"/>
    </row>
    <row r="7" spans="2:125" ht="11.1" customHeight="1">
      <c r="B7" s="349">
        <v>4</v>
      </c>
      <c r="C7" s="348" t="s">
        <v>307</v>
      </c>
      <c r="D7" s="350">
        <v>2000</v>
      </c>
      <c r="R7" s="349">
        <v>4</v>
      </c>
      <c r="S7" s="348">
        <v>4</v>
      </c>
      <c r="T7" s="351"/>
      <c r="U7" s="352">
        <v>90</v>
      </c>
      <c r="V7" s="352" t="s">
        <v>0</v>
      </c>
      <c r="W7" s="352"/>
      <c r="AV7" s="330"/>
      <c r="AW7" s="330"/>
      <c r="AX7" s="330"/>
      <c r="AY7" s="330"/>
      <c r="AZ7" s="330"/>
      <c r="BA7" s="330"/>
      <c r="BB7" s="332"/>
      <c r="BC7" s="381"/>
      <c r="BD7" s="381"/>
      <c r="BE7" s="381"/>
      <c r="BF7" s="381"/>
      <c r="BG7" s="381"/>
      <c r="BH7" s="333"/>
      <c r="BI7" s="333"/>
      <c r="BJ7" s="333"/>
      <c r="BK7" s="330"/>
      <c r="BL7" s="330"/>
      <c r="BM7" s="330"/>
      <c r="BN7" s="349">
        <v>4</v>
      </c>
      <c r="BO7" s="385"/>
      <c r="BP7" s="374"/>
      <c r="BQ7" s="351"/>
      <c r="BR7" s="330"/>
      <c r="BS7" s="330"/>
      <c r="BT7" s="330"/>
      <c r="BU7" s="330"/>
      <c r="CA7" s="394">
        <v>4</v>
      </c>
      <c r="CB7" s="352" t="s">
        <v>421</v>
      </c>
      <c r="CC7" s="396">
        <v>3000</v>
      </c>
      <c r="CD7" s="374">
        <v>4000</v>
      </c>
      <c r="CE7" s="374">
        <v>5000</v>
      </c>
      <c r="CF7" s="374">
        <v>6000</v>
      </c>
      <c r="CG7" s="374">
        <v>7000</v>
      </c>
      <c r="CH7" s="374"/>
      <c r="CI7" s="374"/>
      <c r="CJ7" s="374"/>
      <c r="CK7" s="391"/>
      <c r="CL7" s="352" t="s">
        <v>338</v>
      </c>
      <c r="CM7" s="353" t="s">
        <v>292</v>
      </c>
      <c r="CN7" s="333"/>
      <c r="CO7" s="333"/>
      <c r="CP7" s="332"/>
      <c r="DI7" s="352">
        <v>4</v>
      </c>
      <c r="DJ7" s="380"/>
      <c r="DK7" s="380"/>
      <c r="DL7" s="373"/>
      <c r="DM7" s="373"/>
      <c r="DN7" s="373"/>
      <c r="DO7" s="329" t="s">
        <v>208</v>
      </c>
      <c r="DP7" s="347" t="s">
        <v>349</v>
      </c>
      <c r="DQ7" s="624"/>
      <c r="DR7" s="348" t="s">
        <v>419</v>
      </c>
      <c r="DS7" s="619"/>
      <c r="DT7" s="419"/>
      <c r="DU7" s="420"/>
    </row>
    <row r="8" spans="2:125" ht="11.1" customHeight="1">
      <c r="B8" s="349">
        <v>5</v>
      </c>
      <c r="C8" s="348" t="s">
        <v>298</v>
      </c>
      <c r="D8" s="350">
        <v>2000</v>
      </c>
      <c r="R8" s="349">
        <v>5</v>
      </c>
      <c r="S8" s="348">
        <v>5</v>
      </c>
      <c r="T8" s="351"/>
      <c r="U8" s="352">
        <v>120</v>
      </c>
      <c r="V8" s="352"/>
      <c r="W8" s="352"/>
      <c r="AV8" s="330"/>
      <c r="AW8" s="330"/>
      <c r="AX8" s="330"/>
      <c r="AY8" s="330"/>
      <c r="AZ8" s="330"/>
      <c r="BA8" s="330"/>
      <c r="BB8" s="332"/>
      <c r="BC8" s="381"/>
      <c r="BD8" s="381"/>
      <c r="BE8" s="381"/>
      <c r="BF8" s="381"/>
      <c r="BG8" s="381"/>
      <c r="BH8" s="333"/>
      <c r="BI8" s="333"/>
      <c r="BJ8" s="333"/>
      <c r="BK8" s="330"/>
      <c r="BL8" s="330"/>
      <c r="BM8" s="330"/>
      <c r="BN8" s="349">
        <v>5</v>
      </c>
      <c r="BO8" s="385"/>
      <c r="BP8" s="374"/>
      <c r="BQ8" s="351"/>
      <c r="BR8" s="330"/>
      <c r="BS8" s="330"/>
      <c r="BT8" s="330"/>
      <c r="BU8" s="330"/>
      <c r="CA8" s="394">
        <v>5</v>
      </c>
      <c r="CB8" s="352" t="s">
        <v>295</v>
      </c>
      <c r="CC8" s="396">
        <v>0</v>
      </c>
      <c r="CD8" s="374">
        <v>7000</v>
      </c>
      <c r="CE8" s="374">
        <v>8000</v>
      </c>
      <c r="CF8" s="374">
        <v>10000</v>
      </c>
      <c r="CG8" s="374">
        <v>10000</v>
      </c>
      <c r="CH8" s="374"/>
      <c r="CI8" s="374"/>
      <c r="CJ8" s="374"/>
      <c r="CK8" s="391"/>
      <c r="CL8" s="352" t="s">
        <v>338</v>
      </c>
      <c r="CM8" s="353" t="s">
        <v>325</v>
      </c>
      <c r="CN8" s="333"/>
      <c r="CO8" s="333"/>
      <c r="CP8" s="332"/>
      <c r="DI8" s="352">
        <v>5</v>
      </c>
      <c r="DJ8" s="380"/>
      <c r="DK8" s="380"/>
      <c r="DL8" s="380"/>
      <c r="DM8" s="380"/>
      <c r="DN8" s="380"/>
      <c r="DO8" s="329"/>
      <c r="DP8" s="347"/>
      <c r="DQ8" s="624"/>
      <c r="DR8" s="348" t="s">
        <v>439</v>
      </c>
      <c r="DS8" s="619"/>
      <c r="DT8" s="419"/>
      <c r="DU8" s="420"/>
    </row>
    <row r="9" spans="2:125" ht="11.1" customHeight="1">
      <c r="B9" s="349">
        <v>6</v>
      </c>
      <c r="C9" s="348" t="s">
        <v>299</v>
      </c>
      <c r="D9" s="350">
        <v>2000</v>
      </c>
      <c r="R9" s="349">
        <v>6</v>
      </c>
      <c r="S9" s="348">
        <v>6</v>
      </c>
      <c r="T9" s="351"/>
      <c r="U9" s="352"/>
      <c r="V9" s="352"/>
      <c r="W9" s="352"/>
      <c r="AV9" s="330"/>
      <c r="AW9" s="330"/>
      <c r="AX9" s="330"/>
      <c r="AY9" s="330"/>
      <c r="AZ9" s="330"/>
      <c r="BA9" s="330"/>
      <c r="BB9" s="332"/>
      <c r="BC9" s="381"/>
      <c r="BD9" s="381"/>
      <c r="BE9" s="381"/>
      <c r="BF9" s="381"/>
      <c r="BG9" s="381"/>
      <c r="BH9" s="333"/>
      <c r="BI9" s="333"/>
      <c r="BJ9" s="333"/>
      <c r="BK9" s="330"/>
      <c r="BL9" s="330"/>
      <c r="BM9" s="330"/>
      <c r="BN9" s="349">
        <v>6</v>
      </c>
      <c r="BO9" s="385"/>
      <c r="BP9" s="374"/>
      <c r="BQ9" s="351"/>
      <c r="BR9" s="330"/>
      <c r="BS9" s="330"/>
      <c r="BT9" s="330"/>
      <c r="BU9" s="330"/>
      <c r="CA9" s="394">
        <v>6</v>
      </c>
      <c r="CB9" s="352" t="s">
        <v>296</v>
      </c>
      <c r="CC9" s="396">
        <v>0</v>
      </c>
      <c r="CD9" s="374">
        <v>7000</v>
      </c>
      <c r="CE9" s="374">
        <v>6000</v>
      </c>
      <c r="CF9" s="374">
        <v>8000</v>
      </c>
      <c r="CG9" s="374">
        <v>10000</v>
      </c>
      <c r="CH9" s="374"/>
      <c r="CI9" s="374"/>
      <c r="CJ9" s="374"/>
      <c r="CK9" s="391"/>
      <c r="CL9" s="352" t="s">
        <v>338</v>
      </c>
      <c r="CM9" s="353" t="s">
        <v>455</v>
      </c>
      <c r="CN9" s="333"/>
      <c r="CO9" s="333"/>
      <c r="CP9" s="332"/>
      <c r="DI9" s="352">
        <v>6</v>
      </c>
      <c r="DJ9" s="380"/>
      <c r="DK9" s="380"/>
      <c r="DL9" s="380"/>
      <c r="DM9" s="380"/>
      <c r="DN9" s="380"/>
      <c r="DO9" s="382"/>
      <c r="DP9" s="347"/>
      <c r="DQ9" s="624"/>
      <c r="DR9" s="348" t="s">
        <v>439</v>
      </c>
      <c r="DS9" s="619"/>
      <c r="DT9" s="419"/>
      <c r="DU9" s="420"/>
    </row>
    <row r="10" spans="2:125" ht="11.1" customHeight="1">
      <c r="B10" s="349">
        <v>7</v>
      </c>
      <c r="C10" s="348" t="s">
        <v>300</v>
      </c>
      <c r="D10" s="350">
        <v>2000</v>
      </c>
      <c r="R10" s="349">
        <v>7</v>
      </c>
      <c r="S10" s="348">
        <v>7</v>
      </c>
      <c r="T10" s="351"/>
      <c r="U10" s="352"/>
      <c r="V10" s="352"/>
      <c r="W10" s="352"/>
      <c r="AV10" s="330"/>
      <c r="AW10" s="330"/>
      <c r="AX10" s="330"/>
      <c r="AY10" s="330"/>
      <c r="AZ10" s="330"/>
      <c r="BA10" s="330"/>
      <c r="BB10" s="332"/>
      <c r="BC10" s="381"/>
      <c r="BD10" s="381"/>
      <c r="BE10" s="381"/>
      <c r="BF10" s="381"/>
      <c r="BG10" s="381"/>
      <c r="BH10" s="333"/>
      <c r="BI10" s="333"/>
      <c r="BJ10" s="333"/>
      <c r="BK10" s="333"/>
      <c r="BL10" s="333"/>
      <c r="BM10" s="330"/>
      <c r="BN10" s="349">
        <v>7</v>
      </c>
      <c r="BO10" s="385"/>
      <c r="BP10" s="374"/>
      <c r="BQ10" s="351"/>
      <c r="BR10" s="330"/>
      <c r="BS10" s="330"/>
      <c r="BT10" s="330"/>
      <c r="BU10" s="330"/>
      <c r="CA10" s="394">
        <v>7</v>
      </c>
      <c r="CB10" s="352" t="s">
        <v>388</v>
      </c>
      <c r="CC10" s="397">
        <v>8000</v>
      </c>
      <c r="CD10" s="376">
        <v>10500</v>
      </c>
      <c r="CE10" s="376">
        <v>13000</v>
      </c>
      <c r="CF10" s="376">
        <v>15500</v>
      </c>
      <c r="CG10" s="376">
        <v>21000</v>
      </c>
      <c r="CH10" s="374"/>
      <c r="CI10" s="374"/>
      <c r="CJ10" s="374"/>
      <c r="CK10" s="391"/>
      <c r="CL10" s="352" t="s">
        <v>339</v>
      </c>
      <c r="CM10" s="353" t="s">
        <v>454</v>
      </c>
      <c r="CN10" s="333"/>
      <c r="CO10" s="333"/>
      <c r="CP10" s="332"/>
      <c r="DI10" s="352">
        <v>7</v>
      </c>
      <c r="DJ10" s="380"/>
      <c r="DK10" s="380"/>
      <c r="DL10" s="380"/>
      <c r="DM10" s="380"/>
      <c r="DN10" s="380"/>
      <c r="DO10" s="382"/>
      <c r="DP10" s="347"/>
      <c r="DQ10" s="624"/>
      <c r="DR10" s="348" t="s">
        <v>440</v>
      </c>
      <c r="DS10" s="619"/>
      <c r="DT10" s="419"/>
      <c r="DU10" s="420"/>
    </row>
    <row r="11" spans="2:125" ht="11.1" customHeight="1">
      <c r="B11" s="349">
        <v>8</v>
      </c>
      <c r="C11" s="348" t="s">
        <v>301</v>
      </c>
      <c r="D11" s="350">
        <v>2000</v>
      </c>
      <c r="R11" s="349">
        <v>8</v>
      </c>
      <c r="S11" s="348">
        <v>8</v>
      </c>
      <c r="T11" s="351"/>
      <c r="U11" s="352"/>
      <c r="V11" s="352"/>
      <c r="W11" s="352"/>
      <c r="AV11" s="330"/>
      <c r="AW11" s="330"/>
      <c r="AX11" s="330"/>
      <c r="AY11" s="330"/>
      <c r="AZ11" s="330"/>
      <c r="BA11" s="330"/>
      <c r="BB11" s="332"/>
      <c r="BC11" s="381"/>
      <c r="BD11" s="381"/>
      <c r="BE11" s="381"/>
      <c r="BF11" s="381"/>
      <c r="BG11" s="381"/>
      <c r="BH11" s="333"/>
      <c r="BI11" s="333"/>
      <c r="BJ11" s="333"/>
      <c r="BK11" s="333"/>
      <c r="BL11" s="333"/>
      <c r="BM11" s="330"/>
      <c r="BN11" s="349">
        <v>8</v>
      </c>
      <c r="BO11" s="385"/>
      <c r="BP11" s="374"/>
      <c r="BQ11" s="351"/>
      <c r="BR11" s="330"/>
      <c r="BS11" s="330"/>
      <c r="BT11" s="330"/>
      <c r="BU11" s="330"/>
      <c r="CA11" s="394">
        <v>8</v>
      </c>
      <c r="CB11" s="352" t="s">
        <v>395</v>
      </c>
      <c r="CC11" s="396">
        <v>0</v>
      </c>
      <c r="CD11" s="374">
        <v>2000</v>
      </c>
      <c r="CE11" s="374">
        <v>3000</v>
      </c>
      <c r="CF11" s="374">
        <v>4000</v>
      </c>
      <c r="CG11" s="374">
        <v>4000</v>
      </c>
      <c r="CH11" s="374"/>
      <c r="CI11" s="374"/>
      <c r="CJ11" s="374"/>
      <c r="CK11" s="391"/>
      <c r="CL11" s="352" t="s">
        <v>338</v>
      </c>
      <c r="CM11" s="353" t="s">
        <v>346</v>
      </c>
      <c r="CN11" s="333"/>
      <c r="CO11" s="333"/>
      <c r="CP11" s="332"/>
      <c r="DI11" s="352">
        <v>8</v>
      </c>
      <c r="DJ11" s="380"/>
      <c r="DK11" s="380"/>
      <c r="DL11" s="380"/>
      <c r="DM11" s="380"/>
      <c r="DN11" s="380"/>
      <c r="DO11" s="382"/>
      <c r="DP11" s="347"/>
      <c r="DQ11" s="624"/>
      <c r="DR11" s="348" t="s">
        <v>439</v>
      </c>
      <c r="DS11" s="619"/>
      <c r="DT11" s="419"/>
      <c r="DU11" s="420"/>
    </row>
    <row r="12" spans="2:125" ht="11.1" customHeight="1" thickBot="1">
      <c r="B12" s="349">
        <v>9</v>
      </c>
      <c r="C12" s="348" t="s">
        <v>302</v>
      </c>
      <c r="D12" s="350">
        <v>2000</v>
      </c>
      <c r="R12" s="349">
        <v>9</v>
      </c>
      <c r="S12" s="348">
        <v>9</v>
      </c>
      <c r="T12" s="351"/>
      <c r="U12" s="354"/>
      <c r="V12" s="354"/>
      <c r="W12" s="354"/>
      <c r="AV12" s="330"/>
      <c r="AW12" s="330"/>
      <c r="AX12" s="330"/>
      <c r="AY12" s="330"/>
      <c r="AZ12" s="330"/>
      <c r="BA12" s="330"/>
      <c r="BB12" s="332"/>
      <c r="BC12" s="381"/>
      <c r="BD12" s="381"/>
      <c r="BE12" s="381"/>
      <c r="BF12" s="381"/>
      <c r="BG12" s="381"/>
      <c r="BH12" s="333"/>
      <c r="BI12" s="333"/>
      <c r="BJ12" s="333"/>
      <c r="BK12" s="333"/>
      <c r="BL12" s="333"/>
      <c r="BM12" s="330"/>
      <c r="BN12" s="349">
        <v>9</v>
      </c>
      <c r="BO12" s="385"/>
      <c r="BP12" s="374"/>
      <c r="BQ12" s="351"/>
      <c r="BR12" s="330"/>
      <c r="BS12" s="330"/>
      <c r="BT12" s="330"/>
      <c r="BU12" s="330"/>
      <c r="CA12" s="394">
        <v>9</v>
      </c>
      <c r="CB12" s="352" t="s">
        <v>394</v>
      </c>
      <c r="CC12" s="396">
        <v>0</v>
      </c>
      <c r="CD12" s="374">
        <v>2000</v>
      </c>
      <c r="CE12" s="374">
        <v>3000</v>
      </c>
      <c r="CF12" s="374">
        <v>4000</v>
      </c>
      <c r="CG12" s="374">
        <v>4000</v>
      </c>
      <c r="CH12" s="374"/>
      <c r="CI12" s="374"/>
      <c r="CJ12" s="374"/>
      <c r="CK12" s="391"/>
      <c r="CL12" s="352" t="s">
        <v>338</v>
      </c>
      <c r="CM12" s="353" t="s">
        <v>382</v>
      </c>
      <c r="CN12" s="333"/>
      <c r="CO12" s="333"/>
      <c r="CP12" s="332"/>
      <c r="DI12" s="354">
        <v>9</v>
      </c>
      <c r="DJ12" s="383"/>
      <c r="DK12" s="383"/>
      <c r="DL12" s="383"/>
      <c r="DM12" s="383"/>
      <c r="DN12" s="383"/>
      <c r="DO12" s="384"/>
      <c r="DP12" s="408"/>
      <c r="DQ12" s="625"/>
      <c r="DR12" s="357" t="s">
        <v>439</v>
      </c>
      <c r="DS12" s="620"/>
      <c r="DT12" s="421"/>
      <c r="DU12" s="422"/>
    </row>
    <row r="13" spans="2:125" ht="11.1" customHeight="1">
      <c r="B13" s="349">
        <v>10</v>
      </c>
      <c r="C13" s="348" t="s">
        <v>303</v>
      </c>
      <c r="D13" s="350">
        <v>2000</v>
      </c>
      <c r="R13" s="349">
        <v>10</v>
      </c>
      <c r="S13" s="348">
        <v>10</v>
      </c>
      <c r="T13" s="351"/>
      <c r="AV13" s="330"/>
      <c r="AW13" s="330"/>
      <c r="AX13" s="330"/>
      <c r="AY13" s="330"/>
      <c r="AZ13" s="330"/>
      <c r="BA13" s="330"/>
      <c r="BB13" s="332"/>
      <c r="BC13" s="332"/>
      <c r="BD13" s="390"/>
      <c r="BE13" s="390"/>
      <c r="BF13" s="390"/>
      <c r="BG13" s="390"/>
      <c r="BH13" s="390"/>
      <c r="BI13" s="390"/>
      <c r="BJ13" s="390"/>
      <c r="BK13" s="390"/>
      <c r="BL13" s="390"/>
      <c r="BM13" s="330"/>
      <c r="BN13" s="349">
        <v>10</v>
      </c>
      <c r="BO13" s="385"/>
      <c r="BP13" s="374"/>
      <c r="BQ13" s="351"/>
      <c r="BR13" s="330"/>
      <c r="BS13" s="330"/>
      <c r="BT13" s="330"/>
      <c r="BU13" s="330"/>
      <c r="CA13" s="394">
        <v>10</v>
      </c>
      <c r="CB13" s="352"/>
      <c r="CC13" s="396"/>
      <c r="CD13" s="374"/>
      <c r="CE13" s="374"/>
      <c r="CF13" s="374"/>
      <c r="CG13" s="374"/>
      <c r="CH13" s="374"/>
      <c r="CI13" s="374"/>
      <c r="CJ13" s="374"/>
      <c r="CK13" s="391"/>
      <c r="CL13" s="352"/>
      <c r="CM13" s="353"/>
      <c r="CN13" s="333"/>
      <c r="CO13" s="333"/>
      <c r="CP13" s="332"/>
      <c r="CQ13" s="332"/>
      <c r="CR13" s="379"/>
      <c r="CS13" s="379"/>
      <c r="CT13" s="379"/>
      <c r="CU13" s="379"/>
      <c r="CV13" s="379"/>
      <c r="CW13" s="379"/>
      <c r="CX13" s="379"/>
    </row>
    <row r="14" spans="2:125" ht="11.1" customHeight="1">
      <c r="B14" s="349">
        <v>11</v>
      </c>
      <c r="C14" s="348" t="s">
        <v>304</v>
      </c>
      <c r="D14" s="350">
        <v>2000</v>
      </c>
      <c r="R14" s="349">
        <v>11</v>
      </c>
      <c r="S14" s="348">
        <v>11</v>
      </c>
      <c r="T14" s="351"/>
      <c r="AV14" s="330"/>
      <c r="AW14" s="330"/>
      <c r="AX14" s="330"/>
      <c r="AY14" s="330"/>
      <c r="AZ14" s="330"/>
      <c r="BA14" s="330"/>
      <c r="BB14" s="332"/>
      <c r="BC14" s="332"/>
      <c r="BD14" s="332"/>
      <c r="BE14" s="390"/>
      <c r="BF14" s="390"/>
      <c r="BG14" s="390"/>
      <c r="BH14" s="390"/>
      <c r="BI14" s="390"/>
      <c r="BJ14" s="390"/>
      <c r="BK14" s="390"/>
      <c r="BL14" s="333"/>
      <c r="BM14" s="330"/>
      <c r="BN14" s="349">
        <v>11</v>
      </c>
      <c r="BO14" s="385"/>
      <c r="BP14" s="374"/>
      <c r="BQ14" s="351"/>
      <c r="BR14" s="330"/>
      <c r="BS14" s="330"/>
      <c r="BT14" s="330"/>
      <c r="BU14" s="330"/>
      <c r="CA14" s="394">
        <v>11</v>
      </c>
      <c r="CB14" s="352"/>
      <c r="CC14" s="396"/>
      <c r="CD14" s="374"/>
      <c r="CE14" s="374"/>
      <c r="CF14" s="374"/>
      <c r="CG14" s="374"/>
      <c r="CH14" s="374"/>
      <c r="CI14" s="374"/>
      <c r="CJ14" s="374"/>
      <c r="CK14" s="391"/>
      <c r="CL14" s="352"/>
      <c r="CM14" s="353"/>
      <c r="CN14" s="333"/>
      <c r="CO14" s="333"/>
      <c r="CP14" s="332"/>
      <c r="CQ14" s="332"/>
      <c r="CR14" s="379"/>
      <c r="CS14" s="379"/>
      <c r="CT14" s="379"/>
      <c r="CU14" s="379"/>
      <c r="CV14" s="379"/>
      <c r="CW14" s="379"/>
      <c r="CX14" s="379"/>
    </row>
    <row r="15" spans="2:125" ht="11.1" customHeight="1">
      <c r="B15" s="349">
        <v>12</v>
      </c>
      <c r="C15" s="348" t="s">
        <v>305</v>
      </c>
      <c r="D15" s="350">
        <v>2000</v>
      </c>
      <c r="R15" s="349">
        <v>12</v>
      </c>
      <c r="S15" s="348">
        <v>12</v>
      </c>
      <c r="T15" s="351"/>
      <c r="AV15" s="330"/>
      <c r="AW15" s="330"/>
      <c r="AX15" s="330"/>
      <c r="AY15" s="330"/>
      <c r="AZ15" s="330"/>
      <c r="BA15" s="330"/>
      <c r="BB15" s="332"/>
      <c r="BC15" s="332"/>
      <c r="BD15" s="332"/>
      <c r="BE15" s="332"/>
      <c r="BF15" s="332"/>
      <c r="BG15" s="332"/>
      <c r="BH15" s="333"/>
      <c r="BI15" s="333"/>
      <c r="BJ15" s="333"/>
      <c r="BK15" s="333"/>
      <c r="BL15" s="333"/>
      <c r="BM15" s="330"/>
      <c r="BN15" s="349">
        <v>12</v>
      </c>
      <c r="BO15" s="385"/>
      <c r="BP15" s="374"/>
      <c r="BQ15" s="351"/>
      <c r="BR15" s="330"/>
      <c r="BS15" s="330"/>
      <c r="BT15" s="330"/>
      <c r="BU15" s="330"/>
      <c r="CA15" s="394">
        <v>12</v>
      </c>
      <c r="CB15" s="352"/>
      <c r="CC15" s="396"/>
      <c r="CD15" s="374"/>
      <c r="CE15" s="374"/>
      <c r="CF15" s="374"/>
      <c r="CG15" s="374"/>
      <c r="CH15" s="374"/>
      <c r="CI15" s="374"/>
      <c r="CJ15" s="374"/>
      <c r="CK15" s="391"/>
      <c r="CL15" s="352"/>
      <c r="CM15" s="353"/>
      <c r="CN15" s="333"/>
      <c r="CO15" s="333"/>
      <c r="CP15" s="332"/>
      <c r="CQ15" s="332"/>
      <c r="CR15" s="379"/>
      <c r="CS15" s="379"/>
      <c r="CT15" s="379"/>
      <c r="CU15" s="379"/>
      <c r="CV15" s="379"/>
      <c r="CW15" s="379"/>
      <c r="CX15" s="379"/>
    </row>
    <row r="16" spans="2:125" ht="11.1" customHeight="1">
      <c r="B16" s="349">
        <v>13</v>
      </c>
      <c r="C16" s="348"/>
      <c r="D16" s="350"/>
      <c r="R16" s="349">
        <v>13</v>
      </c>
      <c r="S16" s="348">
        <v>13</v>
      </c>
      <c r="T16" s="351"/>
      <c r="AV16" s="330"/>
      <c r="AW16" s="330"/>
      <c r="AX16" s="330"/>
      <c r="AY16" s="330"/>
      <c r="AZ16" s="330"/>
      <c r="BA16" s="330"/>
      <c r="BB16" s="332"/>
      <c r="BC16" s="332"/>
      <c r="BD16" s="332"/>
      <c r="BE16" s="332"/>
      <c r="BF16" s="332"/>
      <c r="BG16" s="332"/>
      <c r="BH16" s="333"/>
      <c r="BI16" s="333"/>
      <c r="BJ16" s="333"/>
      <c r="BK16" s="333"/>
      <c r="BL16" s="333"/>
      <c r="BM16" s="330"/>
      <c r="BN16" s="349">
        <v>13</v>
      </c>
      <c r="BO16" s="385"/>
      <c r="BP16" s="374"/>
      <c r="BQ16" s="351"/>
      <c r="BR16" s="330"/>
      <c r="BS16" s="330"/>
      <c r="BT16" s="330"/>
      <c r="BU16" s="330"/>
      <c r="CA16" s="394">
        <v>13</v>
      </c>
      <c r="CB16" s="352"/>
      <c r="CC16" s="396"/>
      <c r="CD16" s="374"/>
      <c r="CE16" s="374"/>
      <c r="CF16" s="374"/>
      <c r="CG16" s="374"/>
      <c r="CH16" s="374"/>
      <c r="CI16" s="374"/>
      <c r="CJ16" s="374"/>
      <c r="CK16" s="391"/>
      <c r="CL16" s="352"/>
      <c r="CM16" s="400"/>
      <c r="CN16" s="332"/>
      <c r="CO16" s="332"/>
      <c r="CP16" s="332"/>
      <c r="CQ16" s="332"/>
      <c r="CR16" s="379"/>
      <c r="CS16" s="379"/>
      <c r="CT16" s="379"/>
      <c r="CU16" s="379"/>
      <c r="CV16" s="379"/>
      <c r="CW16" s="379"/>
      <c r="CX16" s="379"/>
    </row>
    <row r="17" spans="2:123" ht="11.1" customHeight="1">
      <c r="B17" s="349">
        <v>14</v>
      </c>
      <c r="C17" s="348"/>
      <c r="D17" s="350"/>
      <c r="R17" s="349">
        <v>14</v>
      </c>
      <c r="S17" s="348">
        <v>14</v>
      </c>
      <c r="T17" s="351"/>
      <c r="AV17" s="330"/>
      <c r="AW17" s="330"/>
      <c r="AX17" s="330"/>
      <c r="AY17" s="330"/>
      <c r="AZ17" s="330"/>
      <c r="BA17" s="330"/>
      <c r="BB17" s="332"/>
      <c r="BC17" s="332"/>
      <c r="BD17" s="332"/>
      <c r="BE17" s="332"/>
      <c r="BF17" s="332"/>
      <c r="BG17" s="332"/>
      <c r="BH17" s="333"/>
      <c r="BI17" s="333"/>
      <c r="BJ17" s="333"/>
      <c r="BK17" s="333"/>
      <c r="BL17" s="333"/>
      <c r="BM17" s="330"/>
      <c r="BN17" s="349">
        <v>14</v>
      </c>
      <c r="BO17" s="385"/>
      <c r="BP17" s="374"/>
      <c r="BQ17" s="351"/>
      <c r="BR17" s="330"/>
      <c r="BS17" s="330"/>
      <c r="BT17" s="330"/>
      <c r="BU17" s="330"/>
      <c r="CA17" s="394">
        <v>14</v>
      </c>
      <c r="CB17" s="352"/>
      <c r="CC17" s="396"/>
      <c r="CD17" s="374"/>
      <c r="CE17" s="374"/>
      <c r="CF17" s="374"/>
      <c r="CG17" s="374"/>
      <c r="CH17" s="374"/>
      <c r="CI17" s="374"/>
      <c r="CJ17" s="374"/>
      <c r="CK17" s="391"/>
      <c r="CL17" s="352"/>
      <c r="CM17" s="400"/>
      <c r="CN17" s="332"/>
      <c r="CO17" s="332"/>
      <c r="CP17" s="332"/>
      <c r="CQ17" s="332"/>
      <c r="CR17" s="379"/>
      <c r="CS17" s="379"/>
      <c r="CT17" s="379"/>
      <c r="CU17" s="379"/>
      <c r="CV17" s="379"/>
      <c r="CW17" s="379"/>
      <c r="CX17" s="379"/>
    </row>
    <row r="18" spans="2:123" ht="11.1" customHeight="1">
      <c r="B18" s="349">
        <v>15</v>
      </c>
      <c r="C18" s="348"/>
      <c r="D18" s="350"/>
      <c r="R18" s="349">
        <v>15</v>
      </c>
      <c r="S18" s="348">
        <v>15</v>
      </c>
      <c r="T18" s="351"/>
      <c r="AV18" s="330"/>
      <c r="AW18" s="330"/>
      <c r="AX18" s="330"/>
      <c r="AY18" s="330"/>
      <c r="AZ18" s="330"/>
      <c r="BA18" s="330"/>
      <c r="BB18" s="332"/>
      <c r="BC18" s="332"/>
      <c r="BD18" s="332"/>
      <c r="BE18" s="332"/>
      <c r="BF18" s="332"/>
      <c r="BG18" s="332"/>
      <c r="BH18" s="333"/>
      <c r="BI18" s="333"/>
      <c r="BJ18" s="333"/>
      <c r="BK18" s="333"/>
      <c r="BL18" s="333"/>
      <c r="BM18" s="330"/>
      <c r="BN18" s="349">
        <v>15</v>
      </c>
      <c r="BO18" s="385"/>
      <c r="BP18" s="374"/>
      <c r="BQ18" s="351"/>
      <c r="BR18" s="330"/>
      <c r="BS18" s="330"/>
      <c r="BT18" s="330"/>
      <c r="BU18" s="330"/>
      <c r="CA18" s="394">
        <v>15</v>
      </c>
      <c r="CB18" s="352"/>
      <c r="CC18" s="396"/>
      <c r="CD18" s="374"/>
      <c r="CE18" s="374"/>
      <c r="CF18" s="374"/>
      <c r="CG18" s="374"/>
      <c r="CH18" s="374"/>
      <c r="CI18" s="374"/>
      <c r="CJ18" s="374"/>
      <c r="CK18" s="391"/>
      <c r="CL18" s="352"/>
      <c r="CM18" s="400"/>
      <c r="CN18" s="332"/>
      <c r="CO18" s="332"/>
      <c r="CP18" s="332"/>
      <c r="CQ18" s="332"/>
      <c r="CR18" s="379"/>
      <c r="CS18" s="379"/>
      <c r="CT18" s="379"/>
      <c r="CU18" s="379"/>
      <c r="CV18" s="379"/>
      <c r="CW18" s="379"/>
      <c r="CX18" s="379"/>
    </row>
    <row r="19" spans="2:123" ht="11.1" customHeight="1">
      <c r="B19" s="349">
        <v>16</v>
      </c>
      <c r="C19" s="348"/>
      <c r="D19" s="350"/>
      <c r="R19" s="349">
        <v>16</v>
      </c>
      <c r="S19" s="348">
        <v>16</v>
      </c>
      <c r="T19" s="351"/>
      <c r="AV19" s="330"/>
      <c r="AW19" s="330"/>
      <c r="AX19" s="330"/>
      <c r="AY19" s="330"/>
      <c r="AZ19" s="330"/>
      <c r="BA19" s="330"/>
      <c r="BB19" s="332"/>
      <c r="BC19" s="332"/>
      <c r="BD19" s="332"/>
      <c r="BE19" s="332"/>
      <c r="BF19" s="332"/>
      <c r="BG19" s="332"/>
      <c r="BH19" s="333"/>
      <c r="BI19" s="333"/>
      <c r="BJ19" s="333"/>
      <c r="BK19" s="333"/>
      <c r="BL19" s="333"/>
      <c r="BM19" s="330"/>
      <c r="BN19" s="349">
        <v>16</v>
      </c>
      <c r="BO19" s="385"/>
      <c r="BP19" s="374"/>
      <c r="BQ19" s="351"/>
      <c r="BR19" s="330"/>
      <c r="BS19" s="330"/>
      <c r="BT19" s="330"/>
      <c r="BU19" s="330"/>
      <c r="CA19" s="394">
        <v>16</v>
      </c>
      <c r="CB19" s="352"/>
      <c r="CC19" s="396"/>
      <c r="CD19" s="374"/>
      <c r="CE19" s="374"/>
      <c r="CF19" s="374"/>
      <c r="CG19" s="374"/>
      <c r="CH19" s="374"/>
      <c r="CI19" s="374"/>
      <c r="CJ19" s="374"/>
      <c r="CK19" s="391"/>
      <c r="CL19" s="352"/>
      <c r="CM19" s="400"/>
      <c r="CN19" s="332"/>
      <c r="CO19" s="332"/>
      <c r="CP19" s="332"/>
      <c r="CQ19" s="332"/>
      <c r="CR19" s="379"/>
      <c r="CS19" s="379"/>
      <c r="CT19" s="379"/>
      <c r="CU19" s="379"/>
      <c r="CV19" s="379"/>
      <c r="CW19" s="379"/>
      <c r="CX19" s="379"/>
      <c r="DS19" s="423"/>
    </row>
    <row r="20" spans="2:123" ht="11.1" customHeight="1">
      <c r="B20" s="349">
        <v>17</v>
      </c>
      <c r="C20" s="348"/>
      <c r="D20" s="350"/>
      <c r="R20" s="349">
        <v>17</v>
      </c>
      <c r="S20" s="348">
        <v>17</v>
      </c>
      <c r="T20" s="351"/>
      <c r="AV20" s="330"/>
      <c r="AW20" s="330"/>
      <c r="AX20" s="330"/>
      <c r="AY20" s="330"/>
      <c r="AZ20" s="330"/>
      <c r="BA20" s="330"/>
      <c r="BB20" s="332"/>
      <c r="BC20" s="332"/>
      <c r="BD20" s="332"/>
      <c r="BE20" s="332"/>
      <c r="BF20" s="332"/>
      <c r="BG20" s="332"/>
      <c r="BH20" s="333"/>
      <c r="BI20" s="333"/>
      <c r="BJ20" s="333"/>
      <c r="BK20" s="330"/>
      <c r="BL20" s="330"/>
      <c r="BM20" s="330"/>
      <c r="BN20" s="349">
        <v>17</v>
      </c>
      <c r="BO20" s="385"/>
      <c r="BP20" s="374"/>
      <c r="BQ20" s="351"/>
      <c r="BR20" s="330"/>
      <c r="BS20" s="330"/>
      <c r="BT20" s="330"/>
      <c r="BU20" s="330"/>
      <c r="CA20" s="394">
        <v>17</v>
      </c>
      <c r="CB20" s="352"/>
      <c r="CC20" s="396"/>
      <c r="CD20" s="374"/>
      <c r="CE20" s="374"/>
      <c r="CF20" s="374"/>
      <c r="CG20" s="374"/>
      <c r="CH20" s="374"/>
      <c r="CI20" s="374"/>
      <c r="CJ20" s="374"/>
      <c r="CK20" s="391"/>
      <c r="CL20" s="352"/>
      <c r="CM20" s="400"/>
      <c r="CN20" s="332"/>
      <c r="CO20" s="332"/>
      <c r="CP20" s="332"/>
      <c r="CQ20" s="332"/>
      <c r="CR20" s="379"/>
      <c r="CS20" s="379"/>
      <c r="CT20" s="379"/>
      <c r="CU20" s="379"/>
      <c r="CV20" s="379"/>
      <c r="CW20" s="379"/>
      <c r="CX20" s="379"/>
    </row>
    <row r="21" spans="2:123" ht="11.1" customHeight="1" thickBot="1">
      <c r="B21" s="349">
        <v>18</v>
      </c>
      <c r="C21" s="348"/>
      <c r="D21" s="350"/>
      <c r="R21" s="349">
        <v>18</v>
      </c>
      <c r="S21" s="348">
        <v>18</v>
      </c>
      <c r="T21" s="351"/>
      <c r="AV21" s="330"/>
      <c r="AW21" s="330"/>
      <c r="AX21" s="330"/>
      <c r="AY21" s="330"/>
      <c r="AZ21" s="330"/>
      <c r="BA21" s="330"/>
      <c r="BB21" s="332"/>
      <c r="BC21" s="332"/>
      <c r="BD21" s="332"/>
      <c r="BE21" s="332"/>
      <c r="BF21" s="332"/>
      <c r="BG21" s="332"/>
      <c r="BH21" s="333"/>
      <c r="BI21" s="333"/>
      <c r="BJ21" s="333"/>
      <c r="BK21" s="330"/>
      <c r="BL21" s="330"/>
      <c r="BM21" s="330"/>
      <c r="BN21" s="356">
        <v>18</v>
      </c>
      <c r="BO21" s="387"/>
      <c r="BP21" s="388"/>
      <c r="BQ21" s="358"/>
      <c r="BR21" s="330"/>
      <c r="BS21" s="330"/>
      <c r="BT21" s="330"/>
      <c r="BU21" s="330"/>
      <c r="CA21" s="394">
        <v>18</v>
      </c>
      <c r="CB21" s="352"/>
      <c r="CC21" s="396"/>
      <c r="CD21" s="374"/>
      <c r="CE21" s="374"/>
      <c r="CF21" s="374"/>
      <c r="CG21" s="374"/>
      <c r="CH21" s="374"/>
      <c r="CI21" s="374"/>
      <c r="CJ21" s="374"/>
      <c r="CK21" s="391"/>
      <c r="CL21" s="352"/>
      <c r="CM21" s="400"/>
      <c r="CN21" s="332"/>
      <c r="CO21" s="332"/>
      <c r="CP21" s="332"/>
      <c r="CQ21" s="332"/>
      <c r="CR21" s="379"/>
      <c r="CS21" s="379"/>
      <c r="CT21" s="379"/>
      <c r="CU21" s="379"/>
      <c r="CV21" s="379"/>
      <c r="CW21" s="379"/>
      <c r="CX21" s="379"/>
    </row>
    <row r="22" spans="2:123" ht="11.1" customHeight="1">
      <c r="B22" s="349">
        <v>19</v>
      </c>
      <c r="C22" s="348"/>
      <c r="D22" s="350"/>
      <c r="R22" s="349">
        <v>19</v>
      </c>
      <c r="S22" s="348">
        <v>19</v>
      </c>
      <c r="T22" s="351"/>
      <c r="AV22" s="330"/>
      <c r="AW22" s="330"/>
      <c r="AX22" s="330"/>
      <c r="AY22" s="330"/>
      <c r="AZ22" s="330"/>
      <c r="BA22" s="330"/>
      <c r="BB22" s="332"/>
      <c r="BC22" s="332"/>
      <c r="BD22" s="332"/>
      <c r="BE22" s="332"/>
      <c r="BF22" s="332"/>
      <c r="BG22" s="332"/>
      <c r="BH22" s="333"/>
      <c r="BI22" s="333"/>
      <c r="BJ22" s="333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CA22" s="394">
        <v>19</v>
      </c>
      <c r="CB22" s="352"/>
      <c r="CC22" s="396"/>
      <c r="CD22" s="374"/>
      <c r="CE22" s="374"/>
      <c r="CF22" s="374"/>
      <c r="CG22" s="374"/>
      <c r="CH22" s="374"/>
      <c r="CI22" s="374"/>
      <c r="CJ22" s="374"/>
      <c r="CK22" s="391"/>
      <c r="CL22" s="352"/>
      <c r="CM22" s="400"/>
      <c r="CN22" s="332"/>
      <c r="CO22" s="332"/>
      <c r="CP22" s="332"/>
      <c r="CQ22" s="332"/>
      <c r="CR22" s="379"/>
      <c r="CS22" s="379"/>
      <c r="CT22" s="379"/>
      <c r="CU22" s="379"/>
      <c r="CV22" s="379"/>
      <c r="CW22" s="379"/>
      <c r="CX22" s="379"/>
    </row>
    <row r="23" spans="2:123" ht="11.1" customHeight="1" thickBot="1">
      <c r="B23" s="349">
        <v>20</v>
      </c>
      <c r="C23" s="348"/>
      <c r="D23" s="350"/>
      <c r="R23" s="349">
        <v>20</v>
      </c>
      <c r="S23" s="348">
        <v>20</v>
      </c>
      <c r="T23" s="351"/>
      <c r="AV23" s="330"/>
      <c r="AW23" s="330"/>
      <c r="AX23" s="330"/>
      <c r="AY23" s="330"/>
      <c r="AZ23" s="330"/>
      <c r="BA23" s="330"/>
      <c r="BB23" s="332"/>
      <c r="BC23" s="332"/>
      <c r="BD23" s="332"/>
      <c r="BE23" s="332"/>
      <c r="BF23" s="332"/>
      <c r="BG23" s="332"/>
      <c r="BH23" s="333"/>
      <c r="BI23" s="333"/>
      <c r="BJ23" s="333"/>
      <c r="BK23" s="330"/>
      <c r="BL23" s="330"/>
      <c r="BM23" s="330"/>
      <c r="BN23" s="330"/>
      <c r="BO23" s="330"/>
      <c r="BP23" s="330"/>
      <c r="BQ23" s="330"/>
      <c r="BR23" s="330"/>
      <c r="BS23" s="330"/>
      <c r="BT23" s="330"/>
      <c r="BU23" s="330"/>
      <c r="CA23" s="395">
        <v>20</v>
      </c>
      <c r="CB23" s="366"/>
      <c r="CC23" s="398"/>
      <c r="CD23" s="377"/>
      <c r="CE23" s="377"/>
      <c r="CF23" s="377"/>
      <c r="CG23" s="377"/>
      <c r="CH23" s="377"/>
      <c r="CI23" s="377"/>
      <c r="CJ23" s="377"/>
      <c r="CK23" s="392"/>
      <c r="CL23" s="366"/>
      <c r="CM23" s="401"/>
      <c r="CN23" s="332"/>
      <c r="CO23" s="332"/>
      <c r="CP23" s="332"/>
      <c r="CQ23" s="332"/>
      <c r="CR23" s="379"/>
      <c r="CS23" s="379"/>
      <c r="CT23" s="379"/>
      <c r="CU23" s="379"/>
      <c r="CV23" s="379"/>
      <c r="CW23" s="379"/>
      <c r="CX23" s="379"/>
    </row>
    <row r="24" spans="2:123" ht="12.75" thickBot="1">
      <c r="B24" s="349">
        <v>21</v>
      </c>
      <c r="C24" s="348"/>
      <c r="D24" s="350"/>
      <c r="R24" s="349">
        <v>21</v>
      </c>
      <c r="S24" s="348">
        <v>21</v>
      </c>
      <c r="T24" s="351"/>
      <c r="U24" s="333"/>
      <c r="V24" s="333"/>
      <c r="AV24" s="330"/>
      <c r="AW24" s="330"/>
      <c r="AX24" s="330"/>
      <c r="AY24" s="330"/>
      <c r="AZ24" s="330"/>
      <c r="BA24" s="330"/>
      <c r="BB24" s="332"/>
      <c r="BC24" s="332"/>
      <c r="BD24" s="332"/>
      <c r="BE24" s="332"/>
      <c r="BF24" s="332"/>
      <c r="BG24" s="332"/>
      <c r="BH24" s="333"/>
      <c r="BI24" s="333"/>
      <c r="BJ24" s="333"/>
      <c r="BK24" s="330"/>
      <c r="BL24" s="330"/>
      <c r="BM24" s="330"/>
      <c r="BN24" s="330"/>
      <c r="BO24" s="330"/>
      <c r="BP24" s="330"/>
      <c r="BQ24" s="330"/>
      <c r="BR24" s="330"/>
      <c r="BS24" s="330"/>
      <c r="BT24" s="330"/>
      <c r="BU24" s="330"/>
      <c r="CA24" s="363" t="s">
        <v>441</v>
      </c>
      <c r="CB24" s="364" t="s">
        <v>30</v>
      </c>
      <c r="CC24" s="399">
        <v>0</v>
      </c>
      <c r="CD24" s="399">
        <v>0</v>
      </c>
      <c r="CE24" s="399">
        <v>0</v>
      </c>
      <c r="CF24" s="399">
        <v>0</v>
      </c>
      <c r="CG24" s="399">
        <v>0</v>
      </c>
      <c r="CH24" s="378"/>
      <c r="CI24" s="378"/>
      <c r="CJ24" s="365"/>
      <c r="CK24" s="403"/>
      <c r="CL24" s="364" t="s">
        <v>338</v>
      </c>
      <c r="CM24" s="332"/>
      <c r="CN24" s="332"/>
      <c r="CO24" s="332"/>
      <c r="CP24" s="332"/>
      <c r="CQ24" s="332"/>
      <c r="CR24" s="379"/>
      <c r="CS24" s="379"/>
      <c r="CT24" s="379"/>
      <c r="CU24" s="379"/>
      <c r="CV24" s="379"/>
      <c r="CW24" s="379"/>
      <c r="CX24" s="379"/>
    </row>
    <row r="25" spans="2:123" ht="11.1" customHeight="1">
      <c r="B25" s="349">
        <v>22</v>
      </c>
      <c r="C25" s="348"/>
      <c r="D25" s="350"/>
      <c r="R25" s="349">
        <v>22</v>
      </c>
      <c r="S25" s="348">
        <v>22</v>
      </c>
      <c r="T25" s="351"/>
      <c r="U25" s="333"/>
      <c r="V25" s="333"/>
      <c r="AV25" s="330"/>
      <c r="AW25" s="330"/>
      <c r="AX25" s="330"/>
      <c r="AY25" s="330"/>
      <c r="AZ25" s="330"/>
      <c r="BA25" s="330"/>
      <c r="BB25" s="334"/>
      <c r="BC25" s="334"/>
      <c r="BD25" s="334"/>
      <c r="BE25" s="334"/>
      <c r="BF25" s="334"/>
      <c r="BG25" s="334"/>
      <c r="BH25" s="333"/>
      <c r="BI25" s="333"/>
      <c r="BJ25" s="333"/>
      <c r="BK25" s="330"/>
      <c r="BL25" s="330"/>
      <c r="BM25" s="330"/>
      <c r="BN25" s="330"/>
      <c r="BO25" s="330"/>
      <c r="BP25" s="330"/>
      <c r="BQ25" s="330"/>
      <c r="BR25" s="330"/>
      <c r="BS25" s="330"/>
      <c r="BT25" s="330"/>
      <c r="BU25" s="330"/>
      <c r="BY25" s="355"/>
      <c r="BZ25" s="332"/>
      <c r="CA25" s="332"/>
      <c r="CB25" s="332"/>
      <c r="CC25" s="332"/>
      <c r="CD25" s="332"/>
      <c r="CE25" s="332"/>
      <c r="CF25" s="332"/>
      <c r="CG25" s="332"/>
      <c r="CH25" s="332"/>
      <c r="CI25" s="332"/>
      <c r="CJ25" s="332"/>
      <c r="CK25" s="332"/>
      <c r="CL25" s="332"/>
      <c r="CM25" s="332"/>
      <c r="CN25" s="332"/>
      <c r="CO25" s="332"/>
      <c r="CP25" s="332"/>
      <c r="CQ25" s="332"/>
      <c r="CR25" s="379"/>
      <c r="CS25" s="379"/>
      <c r="CT25" s="379"/>
      <c r="CU25" s="379"/>
      <c r="CV25" s="379"/>
      <c r="CW25" s="379"/>
      <c r="CX25" s="379"/>
    </row>
    <row r="26" spans="2:123" ht="11.1" customHeight="1">
      <c r="B26" s="349">
        <v>23</v>
      </c>
      <c r="C26" s="348"/>
      <c r="D26" s="350"/>
      <c r="R26" s="349">
        <v>23</v>
      </c>
      <c r="S26" s="348">
        <v>23</v>
      </c>
      <c r="T26" s="351"/>
      <c r="U26" s="333"/>
      <c r="V26" s="333"/>
      <c r="AV26" s="330"/>
      <c r="AW26" s="330"/>
      <c r="AX26" s="330"/>
      <c r="AY26" s="330"/>
      <c r="AZ26" s="330"/>
      <c r="BA26" s="330"/>
      <c r="BB26" s="381"/>
      <c r="BC26" s="381"/>
      <c r="BD26" s="381"/>
      <c r="BE26" s="381"/>
      <c r="BF26" s="381"/>
      <c r="BG26" s="381"/>
      <c r="BH26" s="330"/>
      <c r="BI26" s="330"/>
      <c r="BJ26" s="330"/>
      <c r="BK26" s="330"/>
      <c r="BL26" s="330"/>
      <c r="BM26" s="330"/>
      <c r="BN26" s="330"/>
      <c r="BO26" s="330"/>
      <c r="BP26" s="330"/>
      <c r="BQ26" s="330"/>
      <c r="BR26" s="330"/>
      <c r="BS26" s="330"/>
      <c r="BT26" s="330"/>
      <c r="BU26" s="330"/>
      <c r="BY26" s="355"/>
      <c r="BZ26" s="332"/>
      <c r="CA26" s="332"/>
      <c r="CB26" s="332"/>
      <c r="CC26" s="332"/>
      <c r="CD26" s="332"/>
      <c r="CE26" s="332"/>
      <c r="CF26" s="332"/>
      <c r="CG26" s="332"/>
      <c r="CH26" s="332"/>
      <c r="CI26" s="332"/>
      <c r="CJ26" s="332"/>
      <c r="CK26" s="332"/>
      <c r="CL26" s="332"/>
      <c r="CM26" s="332"/>
      <c r="CN26" s="332"/>
      <c r="CO26" s="332"/>
      <c r="CP26" s="332"/>
      <c r="CQ26" s="332"/>
      <c r="CR26" s="379"/>
      <c r="CS26" s="379"/>
      <c r="CT26" s="379"/>
      <c r="CU26" s="379"/>
      <c r="CV26" s="379"/>
      <c r="CW26" s="379"/>
      <c r="CX26" s="379"/>
    </row>
    <row r="27" spans="2:123" ht="11.1" customHeight="1">
      <c r="B27" s="349">
        <v>24</v>
      </c>
      <c r="C27" s="348"/>
      <c r="D27" s="350"/>
      <c r="R27" s="349">
        <v>24</v>
      </c>
      <c r="S27" s="348">
        <v>24</v>
      </c>
      <c r="T27" s="351"/>
      <c r="U27" s="333"/>
      <c r="V27" s="333"/>
      <c r="AV27" s="330"/>
      <c r="AW27" s="330"/>
      <c r="AX27" s="330"/>
      <c r="AY27" s="330"/>
      <c r="AZ27" s="330"/>
      <c r="BA27" s="330"/>
      <c r="BB27" s="332"/>
      <c r="BC27" s="332"/>
      <c r="BD27" s="332"/>
      <c r="BE27" s="332"/>
      <c r="BF27" s="332"/>
      <c r="BG27" s="332"/>
      <c r="BH27" s="330"/>
      <c r="BI27" s="330"/>
      <c r="BJ27" s="330"/>
      <c r="BK27" s="330"/>
      <c r="BL27" s="330"/>
      <c r="BM27" s="330"/>
      <c r="BN27" s="330"/>
      <c r="BO27" s="330"/>
      <c r="BP27" s="330"/>
      <c r="BQ27" s="330"/>
      <c r="BR27" s="330"/>
      <c r="BS27" s="330"/>
      <c r="BT27" s="330"/>
      <c r="BU27" s="330"/>
      <c r="BY27" s="355"/>
      <c r="BZ27" s="332"/>
      <c r="CA27" s="332"/>
      <c r="CB27" s="332"/>
      <c r="CC27" s="332"/>
      <c r="CD27" s="332"/>
      <c r="CE27" s="332"/>
      <c r="CF27" s="332"/>
      <c r="CG27" s="332"/>
      <c r="CH27" s="332"/>
      <c r="CI27" s="332"/>
      <c r="CJ27" s="332"/>
      <c r="CK27" s="332"/>
      <c r="CL27" s="332"/>
      <c r="CM27" s="332"/>
      <c r="CN27" s="332"/>
      <c r="CO27" s="332"/>
      <c r="CP27" s="332"/>
      <c r="CQ27" s="332"/>
      <c r="CR27" s="379"/>
      <c r="CS27" s="379"/>
      <c r="CT27" s="379"/>
      <c r="CU27" s="379"/>
      <c r="CV27" s="379"/>
      <c r="CW27" s="379"/>
      <c r="CX27" s="379"/>
    </row>
    <row r="28" spans="2:123" ht="11.1" customHeight="1">
      <c r="B28" s="349">
        <v>25</v>
      </c>
      <c r="C28" s="348"/>
      <c r="D28" s="350"/>
      <c r="R28" s="349">
        <v>25</v>
      </c>
      <c r="S28" s="348">
        <v>25</v>
      </c>
      <c r="T28" s="351"/>
      <c r="U28" s="333"/>
      <c r="V28" s="333"/>
      <c r="AV28" s="330"/>
      <c r="AW28" s="330"/>
      <c r="AX28" s="330"/>
      <c r="AY28" s="330"/>
      <c r="AZ28" s="330"/>
      <c r="BA28" s="330"/>
      <c r="BB28" s="332"/>
      <c r="BC28" s="332"/>
      <c r="BD28" s="332"/>
      <c r="BE28" s="332"/>
      <c r="BF28" s="332"/>
      <c r="BG28" s="332"/>
      <c r="BH28" s="330"/>
      <c r="BI28" s="330"/>
      <c r="BJ28" s="330"/>
      <c r="BK28" s="330"/>
      <c r="BL28" s="330"/>
      <c r="BM28" s="330"/>
      <c r="BN28" s="330"/>
      <c r="BO28" s="330"/>
      <c r="BP28" s="330"/>
      <c r="BQ28" s="330"/>
      <c r="BR28" s="330"/>
      <c r="BS28" s="330"/>
      <c r="BT28" s="330"/>
      <c r="BU28" s="330"/>
      <c r="BY28" s="355"/>
      <c r="BZ28" s="332"/>
      <c r="CA28" s="332"/>
      <c r="CB28" s="332"/>
      <c r="CC28" s="332"/>
      <c r="CD28" s="332"/>
      <c r="CE28" s="332"/>
      <c r="CF28" s="332"/>
      <c r="CG28" s="332"/>
      <c r="CH28" s="332"/>
      <c r="CI28" s="332"/>
      <c r="CJ28" s="332"/>
      <c r="CK28" s="332"/>
      <c r="CL28" s="332"/>
      <c r="CM28" s="332"/>
      <c r="CN28" s="332"/>
      <c r="CO28" s="332"/>
      <c r="CP28" s="332"/>
      <c r="CQ28" s="332"/>
      <c r="CR28" s="379"/>
      <c r="CS28" s="379"/>
      <c r="CT28" s="379"/>
      <c r="CU28" s="379"/>
      <c r="CV28" s="379"/>
      <c r="CW28" s="379"/>
      <c r="CX28" s="379"/>
    </row>
    <row r="29" spans="2:123" ht="11.1" customHeight="1">
      <c r="B29" s="349">
        <v>26</v>
      </c>
      <c r="C29" s="348"/>
      <c r="D29" s="350"/>
      <c r="R29" s="349">
        <v>26</v>
      </c>
      <c r="S29" s="348">
        <v>26</v>
      </c>
      <c r="T29" s="351"/>
      <c r="U29" s="333"/>
      <c r="V29" s="333"/>
      <c r="AV29" s="330"/>
      <c r="AW29" s="330"/>
      <c r="AX29" s="330"/>
      <c r="AY29" s="330"/>
      <c r="AZ29" s="330"/>
      <c r="BA29" s="330"/>
      <c r="BH29" s="330"/>
      <c r="BI29" s="330"/>
      <c r="BJ29" s="330"/>
      <c r="BK29" s="330"/>
      <c r="BL29" s="330"/>
      <c r="BM29" s="330"/>
      <c r="BN29" s="330"/>
      <c r="BO29" s="330"/>
      <c r="BP29" s="330"/>
      <c r="BQ29" s="330"/>
      <c r="BR29" s="330"/>
      <c r="BS29" s="330"/>
      <c r="BT29" s="330"/>
      <c r="BU29" s="330"/>
      <c r="BY29" s="355"/>
      <c r="BZ29" s="332"/>
      <c r="CA29" s="332"/>
      <c r="CB29" s="332"/>
      <c r="CC29" s="332"/>
      <c r="CD29" s="332"/>
      <c r="CE29" s="332"/>
      <c r="CF29" s="332"/>
      <c r="CG29" s="332"/>
      <c r="CH29" s="332"/>
      <c r="CI29" s="332"/>
      <c r="CJ29" s="332"/>
      <c r="CK29" s="332"/>
      <c r="CL29" s="332"/>
      <c r="CM29" s="332"/>
      <c r="CN29" s="332"/>
      <c r="CO29" s="332"/>
      <c r="CP29" s="332"/>
      <c r="CQ29" s="332"/>
      <c r="CR29" s="379"/>
      <c r="CS29" s="379"/>
      <c r="CT29" s="379"/>
      <c r="CU29" s="379"/>
      <c r="CV29" s="379"/>
      <c r="CW29" s="379"/>
      <c r="CX29" s="379"/>
    </row>
    <row r="30" spans="2:123" ht="11.1" customHeight="1">
      <c r="B30" s="349">
        <v>27</v>
      </c>
      <c r="C30" s="348"/>
      <c r="D30" s="350"/>
      <c r="R30" s="349">
        <v>27</v>
      </c>
      <c r="S30" s="348">
        <v>27</v>
      </c>
      <c r="T30" s="351"/>
      <c r="U30" s="333"/>
      <c r="V30" s="333"/>
      <c r="AV30" s="330"/>
      <c r="AW30" s="330"/>
      <c r="AX30" s="330"/>
      <c r="AY30" s="330"/>
      <c r="AZ30" s="330"/>
      <c r="BA30" s="330"/>
      <c r="BH30" s="330"/>
      <c r="BI30" s="330"/>
      <c r="BJ30" s="330"/>
      <c r="BK30" s="330"/>
      <c r="BL30" s="330"/>
      <c r="BM30" s="330"/>
      <c r="BN30" s="330"/>
      <c r="BO30" s="330"/>
      <c r="BP30" s="330"/>
      <c r="BQ30" s="330"/>
      <c r="BR30" s="330"/>
      <c r="BS30" s="330"/>
      <c r="BT30" s="330"/>
      <c r="BU30" s="330"/>
      <c r="BY30" s="355"/>
      <c r="BZ30" s="332"/>
      <c r="CA30" s="332"/>
      <c r="CB30" s="332"/>
      <c r="CC30" s="332"/>
      <c r="CD30" s="332"/>
      <c r="CE30" s="332"/>
      <c r="CF30" s="332"/>
      <c r="CG30" s="332"/>
      <c r="CH30" s="332"/>
      <c r="CI30" s="332"/>
      <c r="CJ30" s="332"/>
      <c r="CK30" s="332"/>
      <c r="CL30" s="332"/>
      <c r="CM30" s="332"/>
      <c r="CN30" s="332"/>
      <c r="CO30" s="332"/>
      <c r="CP30" s="332"/>
      <c r="CQ30" s="332"/>
      <c r="CR30" s="379"/>
      <c r="CS30" s="379"/>
      <c r="CT30" s="379"/>
      <c r="CU30" s="379"/>
      <c r="CV30" s="379"/>
      <c r="CW30" s="379"/>
      <c r="CX30" s="379"/>
    </row>
    <row r="31" spans="2:123" ht="11.1" customHeight="1">
      <c r="B31" s="349">
        <v>28</v>
      </c>
      <c r="C31" s="348"/>
      <c r="D31" s="350"/>
      <c r="R31" s="349">
        <v>28</v>
      </c>
      <c r="S31" s="348">
        <v>28</v>
      </c>
      <c r="T31" s="351"/>
      <c r="U31" s="333"/>
      <c r="V31" s="333"/>
      <c r="AV31" s="330"/>
      <c r="AW31" s="330"/>
      <c r="AX31" s="330"/>
      <c r="AY31" s="330"/>
      <c r="AZ31" s="330"/>
      <c r="BA31" s="330"/>
      <c r="BH31" s="330"/>
      <c r="BI31" s="330"/>
      <c r="BJ31" s="330"/>
      <c r="BK31" s="330"/>
      <c r="BL31" s="330"/>
      <c r="BM31" s="330"/>
      <c r="BN31" s="330"/>
      <c r="BO31" s="330"/>
      <c r="BP31" s="330"/>
      <c r="BQ31" s="330"/>
      <c r="BR31" s="330"/>
      <c r="BS31" s="330"/>
      <c r="BT31" s="330"/>
      <c r="BU31" s="330"/>
      <c r="BY31" s="355"/>
      <c r="BZ31" s="332"/>
      <c r="CA31" s="332"/>
      <c r="CB31" s="332"/>
      <c r="CC31" s="332"/>
      <c r="CD31" s="332"/>
      <c r="CE31" s="332"/>
      <c r="CF31" s="332"/>
      <c r="CG31" s="332"/>
      <c r="CH31" s="332"/>
      <c r="CI31" s="332"/>
      <c r="CJ31" s="332"/>
      <c r="CK31" s="332"/>
      <c r="CL31" s="332"/>
      <c r="CM31" s="332"/>
      <c r="CN31" s="332"/>
      <c r="CO31" s="332"/>
      <c r="CP31" s="332"/>
      <c r="CQ31" s="332"/>
      <c r="CR31" s="379"/>
      <c r="CS31" s="379"/>
      <c r="CT31" s="379"/>
      <c r="CU31" s="379"/>
      <c r="CV31" s="379"/>
      <c r="CW31" s="379"/>
      <c r="CX31" s="379"/>
    </row>
    <row r="32" spans="2:123" ht="11.1" customHeight="1">
      <c r="B32" s="349">
        <v>29</v>
      </c>
      <c r="C32" s="348"/>
      <c r="D32" s="351"/>
      <c r="R32" s="349">
        <v>29</v>
      </c>
      <c r="S32" s="348">
        <v>29</v>
      </c>
      <c r="T32" s="351"/>
      <c r="Y32" s="359"/>
      <c r="Z32" s="359"/>
      <c r="AA32" s="359"/>
      <c r="AB32" s="359"/>
      <c r="AC32" s="359"/>
      <c r="AD32" s="359"/>
      <c r="AV32" s="355"/>
      <c r="CF32" s="332"/>
      <c r="CG32" s="332"/>
      <c r="CJ32" s="333"/>
      <c r="CK32" s="333"/>
      <c r="CL32" s="333"/>
      <c r="CM32" s="333"/>
      <c r="CN32" s="333"/>
      <c r="CO32" s="333"/>
      <c r="CP32" s="333"/>
      <c r="CQ32" s="333"/>
      <c r="CR32" s="333"/>
      <c r="CS32" s="333"/>
      <c r="CT32" s="333"/>
      <c r="CU32" s="333"/>
      <c r="CV32" s="333"/>
      <c r="CW32" s="333"/>
    </row>
    <row r="33" spans="2:101" ht="11.1" customHeight="1">
      <c r="B33" s="349">
        <v>30</v>
      </c>
      <c r="C33" s="348"/>
      <c r="D33" s="351"/>
      <c r="R33" s="349">
        <v>30</v>
      </c>
      <c r="S33" s="348">
        <v>30</v>
      </c>
      <c r="T33" s="351"/>
      <c r="Y33" s="359"/>
      <c r="Z33" s="359"/>
      <c r="AA33" s="359"/>
      <c r="AB33" s="359"/>
      <c r="AC33" s="359"/>
      <c r="AD33" s="359"/>
      <c r="AV33" s="355"/>
      <c r="CB33" s="332"/>
      <c r="CF33" s="332"/>
      <c r="CG33" s="332"/>
      <c r="CJ33" s="333"/>
      <c r="CK33" s="333"/>
      <c r="CL33" s="333"/>
      <c r="CM33" s="333"/>
      <c r="CN33" s="333"/>
      <c r="CO33" s="333"/>
      <c r="CP33" s="333"/>
      <c r="CQ33" s="333"/>
      <c r="CR33" s="333"/>
      <c r="CS33" s="333"/>
      <c r="CT33" s="333"/>
      <c r="CU33" s="333"/>
      <c r="CV33" s="333"/>
      <c r="CW33" s="333"/>
    </row>
    <row r="34" spans="2:101" ht="11.1" customHeight="1">
      <c r="B34" s="349">
        <v>31</v>
      </c>
      <c r="C34" s="348"/>
      <c r="D34" s="351"/>
      <c r="R34" s="349">
        <v>31</v>
      </c>
      <c r="S34" s="348">
        <v>31</v>
      </c>
      <c r="T34" s="351"/>
      <c r="Y34" s="359"/>
      <c r="Z34" s="359"/>
      <c r="AA34" s="359"/>
      <c r="AB34" s="359"/>
      <c r="AC34" s="359"/>
      <c r="AD34" s="359"/>
      <c r="AV34" s="355"/>
      <c r="CB34" s="332"/>
      <c r="CF34" s="332"/>
      <c r="CG34" s="332"/>
      <c r="CJ34" s="333"/>
      <c r="CK34" s="333"/>
      <c r="CL34" s="333"/>
      <c r="CM34" s="333"/>
      <c r="CN34" s="333"/>
      <c r="CO34" s="333"/>
      <c r="CP34" s="333"/>
      <c r="CQ34" s="333"/>
      <c r="CR34" s="333"/>
      <c r="CS34" s="333"/>
      <c r="CT34" s="333"/>
      <c r="CU34" s="333"/>
      <c r="CV34" s="333"/>
      <c r="CW34" s="333"/>
    </row>
    <row r="35" spans="2:101" ht="11.1" customHeight="1">
      <c r="B35" s="349">
        <v>32</v>
      </c>
      <c r="C35" s="348"/>
      <c r="D35" s="351"/>
      <c r="R35" s="349">
        <v>32</v>
      </c>
      <c r="S35" s="348">
        <v>32</v>
      </c>
      <c r="T35" s="351"/>
      <c r="Y35" s="359"/>
      <c r="Z35" s="359"/>
      <c r="AA35" s="359"/>
      <c r="AB35" s="359"/>
      <c r="AC35" s="359"/>
      <c r="AD35" s="359"/>
      <c r="AV35" s="355"/>
      <c r="CB35" s="332"/>
      <c r="CF35" s="332"/>
      <c r="CG35" s="332"/>
      <c r="CJ35" s="333"/>
      <c r="CK35" s="333"/>
      <c r="CL35" s="333"/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</row>
    <row r="36" spans="2:101" ht="11.1" customHeight="1">
      <c r="B36" s="349">
        <v>33</v>
      </c>
      <c r="C36" s="348"/>
      <c r="D36" s="351"/>
      <c r="R36" s="349">
        <v>33</v>
      </c>
      <c r="S36" s="348">
        <v>33</v>
      </c>
      <c r="T36" s="351"/>
      <c r="Y36" s="359"/>
      <c r="Z36" s="359"/>
      <c r="AA36" s="359"/>
      <c r="AB36" s="359"/>
      <c r="AC36" s="359"/>
      <c r="AD36" s="359"/>
      <c r="AV36" s="355"/>
      <c r="CF36" s="332"/>
      <c r="CG36" s="332"/>
      <c r="CJ36" s="333"/>
      <c r="CK36" s="333"/>
      <c r="CL36" s="333"/>
      <c r="CM36" s="333"/>
      <c r="CN36" s="333"/>
      <c r="CO36" s="333"/>
      <c r="CP36" s="333"/>
      <c r="CQ36" s="333"/>
      <c r="CR36" s="333"/>
      <c r="CS36" s="333"/>
      <c r="CT36" s="333"/>
      <c r="CU36" s="333"/>
      <c r="CV36" s="333"/>
      <c r="CW36" s="333"/>
    </row>
    <row r="37" spans="2:101" ht="11.1" customHeight="1">
      <c r="B37" s="349">
        <v>34</v>
      </c>
      <c r="C37" s="348"/>
      <c r="D37" s="351"/>
      <c r="R37" s="349">
        <v>34</v>
      </c>
      <c r="S37" s="348">
        <v>34</v>
      </c>
      <c r="T37" s="351"/>
      <c r="Y37" s="359"/>
      <c r="Z37" s="359"/>
      <c r="AA37" s="359"/>
      <c r="AB37" s="359"/>
      <c r="AC37" s="359"/>
      <c r="AD37" s="359"/>
      <c r="AL37" s="332"/>
      <c r="AV37" s="335"/>
      <c r="AW37" s="332"/>
      <c r="AX37" s="332"/>
      <c r="AY37" s="332"/>
      <c r="AZ37" s="332"/>
      <c r="BA37" s="332"/>
      <c r="BB37" s="332"/>
      <c r="BC37" s="332"/>
      <c r="BD37" s="332"/>
      <c r="BE37" s="332"/>
      <c r="BF37" s="332"/>
      <c r="BG37" s="332"/>
      <c r="BH37" s="332"/>
      <c r="BI37" s="332"/>
      <c r="BJ37" s="332"/>
      <c r="BK37" s="332"/>
      <c r="BL37" s="332"/>
      <c r="BM37" s="332"/>
      <c r="CF37" s="332"/>
      <c r="CG37" s="332"/>
      <c r="CJ37" s="333"/>
      <c r="CK37" s="333"/>
      <c r="CL37" s="333"/>
      <c r="CM37" s="333"/>
      <c r="CN37" s="333"/>
      <c r="CO37" s="333"/>
      <c r="CP37" s="333"/>
      <c r="CQ37" s="333"/>
      <c r="CR37" s="333"/>
      <c r="CS37" s="333"/>
      <c r="CT37" s="333"/>
      <c r="CU37" s="333"/>
      <c r="CV37" s="333"/>
      <c r="CW37" s="333"/>
    </row>
    <row r="38" spans="2:101" ht="11.1" customHeight="1">
      <c r="B38" s="349">
        <v>35</v>
      </c>
      <c r="C38" s="348"/>
      <c r="D38" s="351"/>
      <c r="R38" s="349">
        <v>35</v>
      </c>
      <c r="S38" s="348">
        <v>35</v>
      </c>
      <c r="T38" s="351"/>
      <c r="Y38" s="359"/>
      <c r="Z38" s="359"/>
      <c r="AA38" s="359"/>
      <c r="AB38" s="359"/>
      <c r="AC38" s="359"/>
      <c r="AD38" s="359"/>
      <c r="AL38" s="332"/>
      <c r="AV38" s="335"/>
      <c r="AW38" s="332"/>
      <c r="AX38" s="332"/>
      <c r="AY38" s="332"/>
      <c r="AZ38" s="332"/>
      <c r="BA38" s="332"/>
      <c r="BB38" s="332"/>
      <c r="BC38" s="332"/>
      <c r="BD38" s="332"/>
      <c r="BE38" s="332"/>
      <c r="BF38" s="332"/>
      <c r="BG38" s="332"/>
      <c r="BH38" s="332"/>
      <c r="BI38" s="332"/>
      <c r="BJ38" s="332"/>
      <c r="BK38" s="332"/>
      <c r="BL38" s="332"/>
      <c r="BM38" s="332"/>
      <c r="CF38" s="332"/>
      <c r="CG38" s="332"/>
      <c r="CJ38" s="333"/>
      <c r="CK38" s="333"/>
      <c r="CL38" s="333"/>
      <c r="CM38" s="333"/>
      <c r="CN38" s="333"/>
      <c r="CO38" s="333"/>
      <c r="CP38" s="333"/>
      <c r="CQ38" s="333"/>
      <c r="CR38" s="333"/>
      <c r="CS38" s="333"/>
      <c r="CT38" s="333"/>
      <c r="CU38" s="333"/>
      <c r="CV38" s="333"/>
      <c r="CW38" s="333"/>
    </row>
    <row r="39" spans="2:101" ht="11.1" customHeight="1">
      <c r="B39" s="349">
        <v>36</v>
      </c>
      <c r="C39" s="348"/>
      <c r="D39" s="351"/>
      <c r="R39" s="349">
        <v>36</v>
      </c>
      <c r="S39" s="348">
        <v>36</v>
      </c>
      <c r="T39" s="351"/>
      <c r="Y39" s="359"/>
      <c r="Z39" s="359"/>
      <c r="AA39" s="359"/>
      <c r="AB39" s="359"/>
      <c r="AC39" s="359"/>
      <c r="AD39" s="359"/>
      <c r="AL39" s="332"/>
      <c r="AV39" s="335"/>
      <c r="AW39" s="332"/>
      <c r="AX39" s="332"/>
      <c r="AY39" s="332"/>
      <c r="AZ39" s="332"/>
      <c r="BA39" s="332"/>
      <c r="BB39" s="332"/>
      <c r="BC39" s="332"/>
      <c r="BD39" s="332"/>
      <c r="BE39" s="332"/>
      <c r="BF39" s="332"/>
      <c r="BG39" s="332"/>
      <c r="BH39" s="332"/>
      <c r="BI39" s="332"/>
      <c r="BJ39" s="332"/>
      <c r="BK39" s="332"/>
      <c r="BL39" s="332"/>
      <c r="BM39" s="332"/>
      <c r="CJ39" s="333"/>
      <c r="CK39" s="333"/>
      <c r="CL39" s="333"/>
      <c r="CM39" s="333"/>
      <c r="CN39" s="333"/>
      <c r="CO39" s="333"/>
      <c r="CP39" s="333"/>
      <c r="CQ39" s="333"/>
      <c r="CR39" s="333"/>
      <c r="CS39" s="333"/>
      <c r="CT39" s="333"/>
      <c r="CU39" s="333"/>
      <c r="CV39" s="333"/>
      <c r="CW39" s="333"/>
    </row>
    <row r="40" spans="2:101" ht="11.1" customHeight="1">
      <c r="B40" s="349">
        <v>37</v>
      </c>
      <c r="C40" s="348"/>
      <c r="D40" s="350"/>
      <c r="R40" s="349">
        <v>37</v>
      </c>
      <c r="S40" s="348">
        <v>37</v>
      </c>
      <c r="T40" s="351"/>
      <c r="Y40" s="359"/>
      <c r="Z40" s="359"/>
      <c r="AA40" s="359"/>
      <c r="AB40" s="359"/>
      <c r="AC40" s="359"/>
      <c r="AD40" s="359"/>
      <c r="AL40" s="332"/>
      <c r="AV40" s="360"/>
      <c r="AW40" s="332"/>
      <c r="AX40" s="332"/>
      <c r="AY40" s="332"/>
      <c r="AZ40" s="332"/>
      <c r="BA40" s="332"/>
      <c r="BB40" s="332"/>
      <c r="BC40" s="332"/>
      <c r="BD40" s="332"/>
      <c r="BE40" s="332"/>
      <c r="BF40" s="332"/>
      <c r="BG40" s="332"/>
      <c r="BH40" s="332"/>
      <c r="BI40" s="332"/>
      <c r="BJ40" s="332"/>
      <c r="BK40" s="332"/>
      <c r="BL40" s="332"/>
      <c r="BM40" s="332"/>
      <c r="CJ40" s="333"/>
      <c r="CK40" s="333"/>
      <c r="CL40" s="333"/>
      <c r="CM40" s="333"/>
      <c r="CN40" s="333"/>
      <c r="CO40" s="333"/>
      <c r="CP40" s="333"/>
      <c r="CQ40" s="333"/>
      <c r="CR40" s="333"/>
      <c r="CS40" s="333"/>
      <c r="CT40" s="333"/>
      <c r="CU40" s="333"/>
      <c r="CV40" s="333"/>
      <c r="CW40" s="333"/>
    </row>
    <row r="41" spans="2:101" ht="11.1" customHeight="1">
      <c r="B41" s="349">
        <v>38</v>
      </c>
      <c r="C41" s="348"/>
      <c r="D41" s="350"/>
      <c r="R41" s="349">
        <v>38</v>
      </c>
      <c r="S41" s="348">
        <v>38</v>
      </c>
      <c r="T41" s="351"/>
      <c r="Y41" s="359"/>
      <c r="Z41" s="359"/>
      <c r="AA41" s="359"/>
      <c r="AB41" s="359"/>
      <c r="AC41" s="359"/>
      <c r="AD41" s="359"/>
      <c r="AL41" s="332"/>
      <c r="AM41" s="332"/>
      <c r="AN41" s="332"/>
      <c r="AO41" s="332"/>
      <c r="AP41" s="332"/>
      <c r="AQ41" s="332"/>
      <c r="AR41" s="332"/>
      <c r="AS41" s="332"/>
      <c r="AT41" s="332"/>
      <c r="AU41" s="332"/>
      <c r="AV41" s="360"/>
      <c r="AW41" s="332"/>
      <c r="AX41" s="332"/>
      <c r="AY41" s="332"/>
      <c r="AZ41" s="332"/>
      <c r="BA41" s="332"/>
      <c r="BB41" s="332"/>
      <c r="BC41" s="332"/>
      <c r="BD41" s="332"/>
      <c r="BE41" s="332"/>
      <c r="BF41" s="332"/>
      <c r="BG41" s="332"/>
      <c r="BH41" s="332"/>
      <c r="BI41" s="332"/>
      <c r="BJ41" s="332"/>
      <c r="BK41" s="332"/>
      <c r="BL41" s="332"/>
      <c r="BM41" s="332"/>
      <c r="CJ41" s="333"/>
      <c r="CK41" s="333"/>
      <c r="CL41" s="333"/>
      <c r="CM41" s="333"/>
      <c r="CN41" s="333"/>
      <c r="CO41" s="333"/>
      <c r="CP41" s="333"/>
      <c r="CQ41" s="333"/>
      <c r="CR41" s="333"/>
      <c r="CS41" s="333"/>
      <c r="CT41" s="333"/>
      <c r="CU41" s="333"/>
      <c r="CV41" s="333"/>
      <c r="CW41" s="333"/>
    </row>
    <row r="42" spans="2:101" ht="11.1" customHeight="1">
      <c r="B42" s="349">
        <v>39</v>
      </c>
      <c r="C42" s="348"/>
      <c r="D42" s="350"/>
      <c r="R42" s="349">
        <v>39</v>
      </c>
      <c r="S42" s="348">
        <v>39</v>
      </c>
      <c r="T42" s="351"/>
      <c r="Y42" s="359"/>
      <c r="Z42" s="359"/>
      <c r="AA42" s="359"/>
      <c r="AB42" s="359"/>
      <c r="AC42" s="359"/>
      <c r="AD42" s="359"/>
      <c r="AL42" s="332"/>
      <c r="AM42" s="332"/>
      <c r="AN42" s="332"/>
      <c r="AO42" s="332"/>
      <c r="AP42" s="332"/>
      <c r="AQ42" s="332"/>
      <c r="AR42" s="332"/>
      <c r="AS42" s="332"/>
      <c r="AT42" s="332"/>
      <c r="AU42" s="332"/>
      <c r="AV42" s="332"/>
      <c r="AW42" s="332"/>
      <c r="AX42" s="332"/>
      <c r="AY42" s="332"/>
      <c r="AZ42" s="332"/>
      <c r="BA42" s="332"/>
      <c r="BB42" s="332"/>
      <c r="BC42" s="332"/>
      <c r="BD42" s="332"/>
      <c r="BE42" s="332"/>
      <c r="BF42" s="332"/>
      <c r="BG42" s="332"/>
      <c r="BH42" s="332"/>
      <c r="BI42" s="332"/>
      <c r="BJ42" s="332"/>
      <c r="BK42" s="332"/>
      <c r="BL42" s="332"/>
      <c r="BM42" s="332"/>
      <c r="CJ42" s="333"/>
      <c r="CK42" s="333"/>
      <c r="CL42" s="333"/>
      <c r="CM42" s="333"/>
      <c r="CN42" s="333"/>
      <c r="CO42" s="333"/>
      <c r="CP42" s="333"/>
      <c r="CQ42" s="333"/>
      <c r="CR42" s="333"/>
      <c r="CS42" s="333"/>
      <c r="CT42" s="333"/>
      <c r="CU42" s="333"/>
      <c r="CV42" s="333"/>
      <c r="CW42" s="333"/>
    </row>
    <row r="43" spans="2:101" ht="11.1" customHeight="1">
      <c r="B43" s="349">
        <v>40</v>
      </c>
      <c r="C43" s="348"/>
      <c r="D43" s="350"/>
      <c r="R43" s="349">
        <v>40</v>
      </c>
      <c r="S43" s="348">
        <v>40</v>
      </c>
      <c r="T43" s="351"/>
      <c r="Y43" s="359"/>
      <c r="Z43" s="359"/>
      <c r="AA43" s="359"/>
      <c r="AB43" s="359"/>
      <c r="AC43" s="359"/>
      <c r="AD43" s="359"/>
      <c r="AL43" s="332"/>
      <c r="AM43" s="332"/>
      <c r="AN43" s="332"/>
      <c r="AO43" s="332"/>
      <c r="AP43" s="332"/>
      <c r="AQ43" s="332"/>
      <c r="AR43" s="332"/>
      <c r="AS43" s="332"/>
      <c r="AT43" s="332"/>
      <c r="AU43" s="332"/>
      <c r="AV43" s="332"/>
      <c r="AW43" s="332"/>
      <c r="AX43" s="332"/>
      <c r="AY43" s="332"/>
      <c r="AZ43" s="332"/>
      <c r="BA43" s="332"/>
      <c r="BB43" s="332"/>
      <c r="BC43" s="332"/>
      <c r="BD43" s="332"/>
      <c r="BE43" s="332"/>
      <c r="BF43" s="332"/>
      <c r="BG43" s="332"/>
      <c r="BH43" s="332"/>
      <c r="BI43" s="332"/>
      <c r="BJ43" s="332"/>
      <c r="BK43" s="332"/>
      <c r="BL43" s="332"/>
      <c r="BM43" s="332"/>
    </row>
    <row r="44" spans="2:101" ht="11.1" customHeight="1">
      <c r="B44" s="349">
        <v>41</v>
      </c>
      <c r="C44" s="348"/>
      <c r="D44" s="350"/>
      <c r="R44" s="349">
        <v>41</v>
      </c>
      <c r="S44" s="348">
        <v>41</v>
      </c>
      <c r="T44" s="351"/>
      <c r="Y44" s="359"/>
      <c r="Z44" s="359"/>
      <c r="AA44" s="359"/>
      <c r="AB44" s="359"/>
      <c r="AC44" s="359"/>
      <c r="AD44" s="359"/>
      <c r="AL44" s="332"/>
      <c r="AM44" s="332"/>
      <c r="AN44" s="332"/>
      <c r="AO44" s="332"/>
      <c r="AP44" s="332"/>
      <c r="AQ44" s="332"/>
      <c r="AR44" s="332"/>
      <c r="AS44" s="332"/>
      <c r="AT44" s="332"/>
      <c r="AU44" s="332"/>
      <c r="AV44" s="332"/>
      <c r="AW44" s="332"/>
      <c r="AX44" s="332"/>
      <c r="AY44" s="332"/>
      <c r="AZ44" s="332"/>
      <c r="BA44" s="332"/>
      <c r="BB44" s="332"/>
      <c r="BC44" s="332"/>
      <c r="BD44" s="332"/>
      <c r="BE44" s="332"/>
      <c r="BF44" s="332"/>
      <c r="BG44" s="332"/>
      <c r="BH44" s="332"/>
      <c r="BI44" s="332"/>
      <c r="BJ44" s="332"/>
      <c r="BK44" s="332"/>
      <c r="BL44" s="332"/>
      <c r="BM44" s="332"/>
    </row>
    <row r="45" spans="2:101" ht="11.1" customHeight="1">
      <c r="B45" s="349">
        <v>42</v>
      </c>
      <c r="C45" s="348"/>
      <c r="D45" s="350"/>
      <c r="R45" s="349">
        <v>42</v>
      </c>
      <c r="S45" s="348">
        <v>42</v>
      </c>
      <c r="T45" s="351"/>
      <c r="Y45" s="359"/>
      <c r="Z45" s="359"/>
      <c r="AA45" s="359"/>
      <c r="AB45" s="359"/>
      <c r="AC45" s="359"/>
      <c r="AD45" s="359"/>
      <c r="AL45" s="332"/>
      <c r="AM45" s="332"/>
      <c r="AN45" s="332"/>
      <c r="AO45" s="332"/>
      <c r="AP45" s="332"/>
      <c r="AQ45" s="332"/>
      <c r="AR45" s="332"/>
      <c r="AS45" s="332"/>
      <c r="AT45" s="332"/>
      <c r="AU45" s="332"/>
      <c r="AV45" s="332"/>
      <c r="AW45" s="332"/>
      <c r="AX45" s="332"/>
      <c r="AY45" s="332"/>
      <c r="AZ45" s="332"/>
      <c r="BA45" s="332"/>
      <c r="BB45" s="332"/>
      <c r="BC45" s="332"/>
      <c r="BD45" s="332"/>
      <c r="BE45" s="332"/>
      <c r="BF45" s="332"/>
      <c r="BG45" s="332"/>
      <c r="BH45" s="332"/>
      <c r="BI45" s="332"/>
      <c r="BJ45" s="332"/>
      <c r="BK45" s="332"/>
      <c r="BL45" s="332"/>
      <c r="BM45" s="332"/>
    </row>
    <row r="46" spans="2:101" ht="11.1" customHeight="1">
      <c r="B46" s="349">
        <v>43</v>
      </c>
      <c r="C46" s="348"/>
      <c r="D46" s="350"/>
      <c r="R46" s="349">
        <v>43</v>
      </c>
      <c r="S46" s="348">
        <v>43</v>
      </c>
      <c r="T46" s="351"/>
      <c r="Y46" s="359"/>
      <c r="Z46" s="359"/>
      <c r="AA46" s="359"/>
      <c r="AB46" s="359"/>
      <c r="AC46" s="359"/>
      <c r="AD46" s="359"/>
      <c r="AL46" s="332"/>
      <c r="AM46" s="332"/>
      <c r="AN46" s="332"/>
      <c r="AO46" s="332"/>
      <c r="AP46" s="332"/>
      <c r="AQ46" s="332"/>
      <c r="AR46" s="332"/>
      <c r="AS46" s="332"/>
      <c r="AT46" s="332"/>
      <c r="AU46" s="332"/>
      <c r="AV46" s="332"/>
      <c r="AW46" s="332"/>
      <c r="AX46" s="332"/>
      <c r="AY46" s="332"/>
      <c r="AZ46" s="332"/>
      <c r="BA46" s="332"/>
      <c r="BB46" s="332"/>
      <c r="BC46" s="332"/>
      <c r="BD46" s="332"/>
      <c r="BE46" s="332"/>
      <c r="BF46" s="332"/>
      <c r="BG46" s="332"/>
      <c r="BH46" s="332"/>
      <c r="BI46" s="332"/>
      <c r="BJ46" s="332"/>
      <c r="BK46" s="332"/>
      <c r="BL46" s="332"/>
      <c r="BM46" s="332"/>
    </row>
    <row r="47" spans="2:101" ht="11.1" customHeight="1">
      <c r="B47" s="349">
        <v>44</v>
      </c>
      <c r="C47" s="348"/>
      <c r="D47" s="350"/>
      <c r="R47" s="349">
        <v>44</v>
      </c>
      <c r="S47" s="348">
        <v>44</v>
      </c>
      <c r="T47" s="351"/>
      <c r="Y47" s="359"/>
      <c r="Z47" s="359"/>
      <c r="AA47" s="359"/>
      <c r="AB47" s="359"/>
      <c r="AC47" s="359"/>
      <c r="AD47" s="359"/>
      <c r="AL47" s="332"/>
      <c r="AM47" s="332"/>
      <c r="AN47" s="332"/>
      <c r="AO47" s="332"/>
      <c r="AP47" s="332"/>
      <c r="AQ47" s="332"/>
      <c r="AR47" s="332"/>
      <c r="AS47" s="332"/>
      <c r="AT47" s="332"/>
      <c r="AU47" s="332"/>
      <c r="AV47" s="332"/>
      <c r="AW47" s="332"/>
      <c r="AX47" s="332"/>
      <c r="AY47" s="332"/>
      <c r="AZ47" s="332"/>
      <c r="BA47" s="332"/>
      <c r="BB47" s="332"/>
      <c r="BC47" s="332"/>
      <c r="BD47" s="332"/>
      <c r="BE47" s="332"/>
      <c r="BF47" s="332"/>
      <c r="BG47" s="332"/>
      <c r="BH47" s="332"/>
      <c r="BI47" s="332"/>
      <c r="BJ47" s="332"/>
      <c r="BK47" s="332"/>
      <c r="BL47" s="332"/>
      <c r="BM47" s="332"/>
    </row>
    <row r="48" spans="2:101" ht="11.1" customHeight="1">
      <c r="B48" s="349">
        <v>45</v>
      </c>
      <c r="C48" s="348"/>
      <c r="D48" s="350"/>
      <c r="R48" s="349">
        <v>45</v>
      </c>
      <c r="S48" s="348">
        <v>45</v>
      </c>
      <c r="T48" s="351"/>
      <c r="Y48" s="359"/>
      <c r="Z48" s="359"/>
      <c r="AA48" s="359"/>
      <c r="AB48" s="359"/>
      <c r="AC48" s="359"/>
      <c r="AD48" s="359"/>
      <c r="AL48" s="332"/>
      <c r="AM48" s="332"/>
      <c r="AN48" s="332"/>
      <c r="AO48" s="332"/>
      <c r="AP48" s="332"/>
      <c r="AQ48" s="332"/>
      <c r="AR48" s="332"/>
      <c r="AS48" s="332"/>
      <c r="AT48" s="332"/>
      <c r="AU48" s="332"/>
      <c r="AV48" s="332"/>
      <c r="AW48" s="332"/>
      <c r="AX48" s="332"/>
      <c r="AY48" s="332"/>
      <c r="AZ48" s="332"/>
      <c r="BA48" s="332"/>
      <c r="BB48" s="332"/>
      <c r="BC48" s="332"/>
      <c r="BD48" s="332"/>
      <c r="BE48" s="332"/>
      <c r="BF48" s="332"/>
      <c r="BG48" s="332"/>
      <c r="BH48" s="332"/>
      <c r="BI48" s="332"/>
      <c r="BJ48" s="332"/>
      <c r="BK48" s="332"/>
      <c r="BL48" s="332"/>
      <c r="BM48" s="332"/>
    </row>
    <row r="49" spans="2:65" ht="11.1" customHeight="1">
      <c r="B49" s="349">
        <v>46</v>
      </c>
      <c r="C49" s="348"/>
      <c r="D49" s="350"/>
      <c r="R49" s="349">
        <v>46</v>
      </c>
      <c r="S49" s="348">
        <v>46</v>
      </c>
      <c r="T49" s="351"/>
      <c r="Y49" s="359"/>
      <c r="Z49" s="359"/>
      <c r="AA49" s="359"/>
      <c r="AB49" s="359"/>
      <c r="AC49" s="359"/>
      <c r="AD49" s="359"/>
      <c r="AL49" s="332"/>
      <c r="AM49" s="332"/>
      <c r="AN49" s="332"/>
      <c r="AO49" s="332"/>
      <c r="AP49" s="332"/>
      <c r="AQ49" s="332"/>
      <c r="AR49" s="332"/>
      <c r="AS49" s="332"/>
      <c r="AT49" s="332"/>
      <c r="AU49" s="332"/>
      <c r="AV49" s="332"/>
      <c r="AW49" s="332"/>
      <c r="AX49" s="332"/>
      <c r="AY49" s="332"/>
      <c r="AZ49" s="332"/>
      <c r="BA49" s="332"/>
      <c r="BB49" s="332"/>
      <c r="BC49" s="332"/>
      <c r="BD49" s="332"/>
      <c r="BE49" s="332"/>
      <c r="BF49" s="332"/>
      <c r="BG49" s="332"/>
      <c r="BH49" s="332"/>
      <c r="BI49" s="332"/>
      <c r="BJ49" s="332"/>
      <c r="BK49" s="332"/>
      <c r="BL49" s="332"/>
      <c r="BM49" s="332"/>
    </row>
    <row r="50" spans="2:65" ht="11.1" customHeight="1">
      <c r="B50" s="349">
        <v>47</v>
      </c>
      <c r="C50" s="348"/>
      <c r="D50" s="350"/>
      <c r="R50" s="349">
        <v>47</v>
      </c>
      <c r="S50" s="348">
        <v>47</v>
      </c>
      <c r="T50" s="351"/>
      <c r="Y50" s="359"/>
      <c r="Z50" s="359"/>
      <c r="AA50" s="359"/>
      <c r="AB50" s="359"/>
      <c r="AC50" s="359"/>
      <c r="AD50" s="359"/>
      <c r="AL50" s="332"/>
      <c r="AM50" s="332"/>
      <c r="AN50" s="332"/>
      <c r="AO50" s="332"/>
      <c r="AP50" s="332"/>
      <c r="AQ50" s="332"/>
      <c r="AR50" s="332"/>
      <c r="AS50" s="332"/>
      <c r="AT50" s="332"/>
      <c r="AU50" s="332"/>
      <c r="AV50" s="332"/>
      <c r="AW50" s="332"/>
      <c r="AX50" s="332"/>
      <c r="AY50" s="332"/>
      <c r="AZ50" s="332"/>
      <c r="BA50" s="332"/>
      <c r="BB50" s="332"/>
      <c r="BC50" s="332"/>
      <c r="BD50" s="332"/>
      <c r="BE50" s="332"/>
      <c r="BF50" s="332"/>
      <c r="BG50" s="332"/>
      <c r="BH50" s="332"/>
      <c r="BI50" s="332"/>
      <c r="BJ50" s="332"/>
      <c r="BK50" s="332"/>
      <c r="BL50" s="332"/>
      <c r="BM50" s="332"/>
    </row>
    <row r="51" spans="2:65" ht="11.1" customHeight="1">
      <c r="B51" s="349">
        <v>48</v>
      </c>
      <c r="C51" s="348"/>
      <c r="D51" s="350"/>
      <c r="R51" s="349">
        <v>48</v>
      </c>
      <c r="S51" s="348">
        <v>48</v>
      </c>
      <c r="T51" s="351"/>
      <c r="Y51" s="359"/>
      <c r="Z51" s="359"/>
      <c r="AA51" s="359"/>
      <c r="AB51" s="359"/>
      <c r="AC51" s="359"/>
      <c r="AD51" s="359"/>
      <c r="AL51" s="332"/>
      <c r="AM51" s="332"/>
      <c r="AN51" s="332"/>
      <c r="AO51" s="332"/>
      <c r="AP51" s="332"/>
      <c r="AQ51" s="332"/>
      <c r="AR51" s="332"/>
      <c r="AS51" s="332"/>
      <c r="AT51" s="332"/>
      <c r="AU51" s="332"/>
      <c r="AV51" s="332"/>
      <c r="AW51" s="332"/>
      <c r="AX51" s="332"/>
      <c r="AY51" s="332"/>
      <c r="AZ51" s="332"/>
      <c r="BA51" s="332"/>
      <c r="BB51" s="332"/>
      <c r="BC51" s="332"/>
      <c r="BD51" s="332"/>
      <c r="BE51" s="332"/>
      <c r="BF51" s="332"/>
      <c r="BG51" s="332"/>
      <c r="BH51" s="332"/>
      <c r="BI51" s="332"/>
      <c r="BJ51" s="332"/>
      <c r="BK51" s="332"/>
      <c r="BL51" s="332"/>
      <c r="BM51" s="332"/>
    </row>
    <row r="52" spans="2:65" ht="11.1" customHeight="1">
      <c r="B52" s="349">
        <v>49</v>
      </c>
      <c r="C52" s="348"/>
      <c r="D52" s="350"/>
      <c r="R52" s="349">
        <v>49</v>
      </c>
      <c r="S52" s="348">
        <v>49</v>
      </c>
      <c r="T52" s="351"/>
      <c r="Y52" s="359"/>
      <c r="Z52" s="359"/>
      <c r="AA52" s="359"/>
      <c r="AB52" s="359"/>
      <c r="AC52" s="359"/>
      <c r="AD52" s="359"/>
      <c r="AL52" s="332"/>
      <c r="AM52" s="332"/>
      <c r="AN52" s="332"/>
      <c r="AO52" s="332"/>
      <c r="AP52" s="332"/>
      <c r="AQ52" s="332"/>
      <c r="AR52" s="332"/>
      <c r="AS52" s="332"/>
      <c r="AT52" s="332"/>
      <c r="AU52" s="332"/>
      <c r="AV52" s="332"/>
      <c r="AW52" s="332"/>
      <c r="AX52" s="332"/>
      <c r="AY52" s="332"/>
      <c r="AZ52" s="332"/>
      <c r="BA52" s="332"/>
      <c r="BB52" s="332"/>
      <c r="BC52" s="332"/>
      <c r="BD52" s="332"/>
      <c r="BE52" s="332"/>
      <c r="BF52" s="332"/>
      <c r="BG52" s="332"/>
      <c r="BH52" s="332"/>
      <c r="BI52" s="332"/>
      <c r="BJ52" s="332"/>
      <c r="BK52" s="332"/>
      <c r="BL52" s="332"/>
      <c r="BM52" s="332"/>
    </row>
    <row r="53" spans="2:65" ht="11.1" customHeight="1">
      <c r="B53" s="349">
        <v>50</v>
      </c>
      <c r="C53" s="348"/>
      <c r="D53" s="350"/>
      <c r="R53" s="349">
        <v>50</v>
      </c>
      <c r="S53" s="348">
        <v>50</v>
      </c>
      <c r="T53" s="351"/>
      <c r="Y53" s="359"/>
      <c r="Z53" s="359"/>
      <c r="AA53" s="359"/>
      <c r="AB53" s="359"/>
      <c r="AC53" s="359"/>
      <c r="AD53" s="359"/>
      <c r="AL53" s="332"/>
      <c r="AM53" s="332"/>
      <c r="AN53" s="332"/>
      <c r="AO53" s="332"/>
      <c r="AP53" s="332"/>
      <c r="AQ53" s="332"/>
      <c r="AR53" s="332"/>
      <c r="AS53" s="332"/>
      <c r="AT53" s="332"/>
      <c r="AU53" s="332"/>
      <c r="AV53" s="332"/>
      <c r="AW53" s="332"/>
      <c r="AX53" s="332"/>
      <c r="AY53" s="332"/>
      <c r="AZ53" s="332"/>
      <c r="BA53" s="332"/>
      <c r="BB53" s="332"/>
      <c r="BC53" s="332"/>
      <c r="BD53" s="332"/>
      <c r="BE53" s="332"/>
      <c r="BF53" s="332"/>
      <c r="BG53" s="332"/>
      <c r="BH53" s="332"/>
      <c r="BI53" s="332"/>
      <c r="BJ53" s="332"/>
      <c r="BK53" s="332"/>
      <c r="BL53" s="332"/>
      <c r="BM53" s="332"/>
    </row>
    <row r="54" spans="2:65" ht="11.1" customHeight="1">
      <c r="B54" s="349">
        <v>51</v>
      </c>
      <c r="C54" s="348"/>
      <c r="D54" s="350"/>
      <c r="R54" s="349">
        <v>51</v>
      </c>
      <c r="S54" s="348">
        <v>51</v>
      </c>
      <c r="T54" s="351"/>
      <c r="Y54" s="359"/>
      <c r="Z54" s="359"/>
      <c r="AA54" s="359"/>
      <c r="AB54" s="359"/>
      <c r="AC54" s="359"/>
      <c r="AD54" s="359"/>
      <c r="AL54" s="332"/>
      <c r="AM54" s="332"/>
      <c r="AN54" s="332"/>
      <c r="AO54" s="332"/>
      <c r="AP54" s="332"/>
      <c r="AQ54" s="332"/>
      <c r="AR54" s="332"/>
      <c r="AS54" s="332"/>
      <c r="AT54" s="332"/>
      <c r="AU54" s="332"/>
      <c r="AV54" s="332"/>
      <c r="AW54" s="332"/>
      <c r="AX54" s="332"/>
      <c r="AY54" s="332"/>
      <c r="AZ54" s="332"/>
      <c r="BA54" s="332"/>
      <c r="BB54" s="332"/>
      <c r="BC54" s="332"/>
      <c r="BD54" s="332"/>
      <c r="BE54" s="332"/>
      <c r="BF54" s="332"/>
      <c r="BG54" s="332"/>
      <c r="BH54" s="332"/>
      <c r="BI54" s="332"/>
      <c r="BJ54" s="332"/>
      <c r="BK54" s="332"/>
      <c r="BL54" s="332"/>
      <c r="BM54" s="332"/>
    </row>
    <row r="55" spans="2:65" ht="11.1" customHeight="1">
      <c r="B55" s="349">
        <v>52</v>
      </c>
      <c r="C55" s="348"/>
      <c r="D55" s="350"/>
      <c r="R55" s="349">
        <v>52</v>
      </c>
      <c r="S55" s="348">
        <v>52</v>
      </c>
      <c r="T55" s="351"/>
      <c r="Y55" s="359"/>
      <c r="Z55" s="359"/>
      <c r="AA55" s="359"/>
      <c r="AB55" s="359"/>
      <c r="AC55" s="359"/>
      <c r="AD55" s="359"/>
      <c r="AL55" s="332"/>
      <c r="AM55" s="332"/>
      <c r="AN55" s="332"/>
      <c r="AO55" s="332"/>
      <c r="AP55" s="332"/>
      <c r="AQ55" s="332"/>
      <c r="AR55" s="332"/>
      <c r="AS55" s="332"/>
      <c r="AT55" s="332"/>
      <c r="AU55" s="332"/>
      <c r="AV55" s="332"/>
      <c r="AW55" s="332"/>
      <c r="AX55" s="332"/>
      <c r="AY55" s="332"/>
      <c r="AZ55" s="332"/>
      <c r="BA55" s="332"/>
      <c r="BB55" s="332"/>
      <c r="BC55" s="332"/>
      <c r="BD55" s="332"/>
      <c r="BE55" s="332"/>
      <c r="BF55" s="332"/>
      <c r="BG55" s="332"/>
      <c r="BH55" s="332"/>
      <c r="BI55" s="332"/>
      <c r="BJ55" s="332"/>
      <c r="BK55" s="332"/>
      <c r="BL55" s="332"/>
      <c r="BM55" s="332"/>
    </row>
    <row r="56" spans="2:65" ht="11.1" customHeight="1">
      <c r="B56" s="349">
        <v>53</v>
      </c>
      <c r="C56" s="348"/>
      <c r="D56" s="350"/>
      <c r="R56" s="349">
        <v>53</v>
      </c>
      <c r="S56" s="348">
        <v>53</v>
      </c>
      <c r="T56" s="351"/>
      <c r="Y56" s="359"/>
      <c r="Z56" s="359"/>
      <c r="AA56" s="359"/>
      <c r="AB56" s="359"/>
      <c r="AC56" s="359"/>
      <c r="AD56" s="359"/>
      <c r="AL56" s="332"/>
      <c r="AM56" s="332"/>
      <c r="AN56" s="332"/>
      <c r="AO56" s="332"/>
      <c r="AP56" s="332"/>
      <c r="AQ56" s="332"/>
      <c r="AR56" s="332"/>
      <c r="AS56" s="332"/>
      <c r="AT56" s="332"/>
      <c r="AU56" s="332"/>
      <c r="AV56" s="335"/>
      <c r="AW56" s="332"/>
      <c r="AX56" s="332"/>
      <c r="AY56" s="332"/>
      <c r="AZ56" s="332"/>
      <c r="BA56" s="332"/>
      <c r="BB56" s="332"/>
      <c r="BC56" s="332"/>
      <c r="BD56" s="332"/>
      <c r="BE56" s="332"/>
      <c r="BF56" s="332"/>
      <c r="BG56" s="332"/>
      <c r="BH56" s="332"/>
      <c r="BI56" s="332"/>
      <c r="BJ56" s="332"/>
      <c r="BK56" s="332"/>
      <c r="BL56" s="332"/>
      <c r="BM56" s="332"/>
    </row>
    <row r="57" spans="2:65" ht="11.1" customHeight="1">
      <c r="B57" s="349">
        <v>54</v>
      </c>
      <c r="C57" s="348"/>
      <c r="D57" s="350"/>
      <c r="R57" s="349">
        <v>54</v>
      </c>
      <c r="S57" s="348">
        <v>54</v>
      </c>
      <c r="T57" s="351"/>
      <c r="Y57" s="359"/>
      <c r="Z57" s="359"/>
      <c r="AA57" s="359"/>
      <c r="AB57" s="359"/>
      <c r="AC57" s="359"/>
      <c r="AD57" s="359"/>
      <c r="AM57" s="333"/>
      <c r="AN57" s="333"/>
      <c r="AO57" s="333"/>
      <c r="AP57" s="333"/>
      <c r="AQ57" s="333"/>
      <c r="AR57" s="333"/>
      <c r="AS57" s="333"/>
      <c r="AT57" s="333"/>
      <c r="AU57" s="333"/>
      <c r="AV57" s="355"/>
    </row>
    <row r="58" spans="2:65" ht="11.1" customHeight="1">
      <c r="B58" s="349">
        <v>55</v>
      </c>
      <c r="C58" s="348"/>
      <c r="D58" s="350"/>
      <c r="R58" s="349">
        <v>55</v>
      </c>
      <c r="S58" s="348">
        <v>55</v>
      </c>
      <c r="T58" s="351"/>
      <c r="Y58" s="359"/>
      <c r="Z58" s="359"/>
      <c r="AA58" s="359"/>
      <c r="AB58" s="359"/>
      <c r="AC58" s="359"/>
      <c r="AD58" s="359"/>
      <c r="AM58" s="333"/>
      <c r="AN58" s="333"/>
      <c r="AO58" s="333"/>
      <c r="AP58" s="333"/>
      <c r="AQ58" s="333"/>
      <c r="AR58" s="333"/>
      <c r="AS58" s="333"/>
      <c r="AT58" s="333"/>
      <c r="AU58" s="333"/>
      <c r="AV58" s="355"/>
    </row>
    <row r="59" spans="2:65" ht="11.1" customHeight="1">
      <c r="B59" s="349">
        <v>56</v>
      </c>
      <c r="C59" s="348"/>
      <c r="D59" s="350"/>
      <c r="R59" s="349">
        <v>56</v>
      </c>
      <c r="S59" s="348">
        <v>56</v>
      </c>
      <c r="T59" s="351"/>
      <c r="Y59" s="359"/>
      <c r="Z59" s="359"/>
      <c r="AA59" s="359"/>
      <c r="AB59" s="359"/>
      <c r="AC59" s="359"/>
      <c r="AD59" s="359"/>
      <c r="AM59" s="333"/>
      <c r="AN59" s="333"/>
      <c r="AO59" s="333"/>
      <c r="AP59" s="333"/>
      <c r="AQ59" s="333"/>
      <c r="AR59" s="333"/>
      <c r="AS59" s="333"/>
      <c r="AT59" s="333"/>
      <c r="AU59" s="333"/>
      <c r="AV59" s="355"/>
    </row>
    <row r="60" spans="2:65" ht="11.1" customHeight="1">
      <c r="B60" s="349">
        <v>57</v>
      </c>
      <c r="C60" s="348"/>
      <c r="D60" s="350"/>
      <c r="R60" s="349">
        <v>57</v>
      </c>
      <c r="S60" s="348">
        <v>57</v>
      </c>
      <c r="T60" s="351"/>
      <c r="Y60" s="359"/>
      <c r="Z60" s="359"/>
      <c r="AA60" s="359"/>
      <c r="AB60" s="359"/>
      <c r="AC60" s="359"/>
      <c r="AD60" s="359"/>
      <c r="AM60" s="333"/>
      <c r="AN60" s="333"/>
      <c r="AO60" s="333"/>
      <c r="AP60" s="333"/>
      <c r="AQ60" s="333"/>
      <c r="AR60" s="333"/>
      <c r="AS60" s="333"/>
      <c r="AT60" s="333"/>
      <c r="AU60" s="333"/>
      <c r="AV60" s="355"/>
    </row>
    <row r="61" spans="2:65" ht="11.1" customHeight="1">
      <c r="B61" s="349">
        <v>58</v>
      </c>
      <c r="C61" s="348"/>
      <c r="D61" s="350"/>
      <c r="R61" s="349">
        <v>58</v>
      </c>
      <c r="S61" s="348">
        <v>58</v>
      </c>
      <c r="T61" s="351"/>
      <c r="Y61" s="359"/>
      <c r="Z61" s="359"/>
      <c r="AA61" s="359"/>
      <c r="AB61" s="359"/>
      <c r="AC61" s="359"/>
      <c r="AD61" s="359"/>
      <c r="AM61" s="333"/>
      <c r="AN61" s="333"/>
      <c r="AO61" s="333"/>
      <c r="AP61" s="333"/>
      <c r="AQ61" s="333"/>
      <c r="AR61" s="333"/>
      <c r="AS61" s="333"/>
      <c r="AT61" s="333"/>
      <c r="AU61" s="333"/>
      <c r="AV61" s="355"/>
    </row>
    <row r="62" spans="2:65" ht="11.1" customHeight="1">
      <c r="B62" s="349">
        <v>59</v>
      </c>
      <c r="C62" s="348"/>
      <c r="D62" s="350"/>
      <c r="R62" s="349">
        <v>59</v>
      </c>
      <c r="S62" s="348">
        <v>59</v>
      </c>
      <c r="T62" s="351"/>
      <c r="Y62" s="359"/>
      <c r="Z62" s="359"/>
      <c r="AA62" s="359"/>
      <c r="AB62" s="359"/>
      <c r="AC62" s="359"/>
      <c r="AD62" s="359"/>
      <c r="AM62" s="333"/>
      <c r="AN62" s="333"/>
      <c r="AO62" s="333"/>
      <c r="AP62" s="333"/>
      <c r="AQ62" s="333"/>
      <c r="AR62" s="333"/>
      <c r="AS62" s="333"/>
      <c r="AT62" s="333"/>
      <c r="AU62" s="333"/>
      <c r="AV62" s="355"/>
    </row>
    <row r="63" spans="2:65" ht="11.1" customHeight="1" thickBot="1">
      <c r="B63" s="349">
        <v>60</v>
      </c>
      <c r="C63" s="348"/>
      <c r="D63" s="350"/>
      <c r="R63" s="356">
        <v>60</v>
      </c>
      <c r="S63" s="357">
        <v>60</v>
      </c>
      <c r="T63" s="358"/>
      <c r="Y63" s="359"/>
      <c r="Z63" s="359"/>
      <c r="AA63" s="359"/>
      <c r="AB63" s="359"/>
      <c r="AC63" s="359"/>
      <c r="AD63" s="359"/>
      <c r="AM63" s="333"/>
      <c r="AN63" s="333"/>
      <c r="AO63" s="333"/>
      <c r="AP63" s="333"/>
      <c r="AQ63" s="333"/>
      <c r="AR63" s="333"/>
      <c r="AS63" s="333"/>
      <c r="AT63" s="333"/>
      <c r="AU63" s="333"/>
      <c r="AV63" s="355"/>
    </row>
    <row r="64" spans="2:65" ht="11.1" customHeight="1">
      <c r="B64" s="349">
        <v>61</v>
      </c>
      <c r="C64" s="348"/>
      <c r="D64" s="350"/>
      <c r="AM64" s="333"/>
      <c r="AN64" s="333"/>
      <c r="AO64" s="333"/>
      <c r="AP64" s="333"/>
      <c r="AQ64" s="333"/>
      <c r="AR64" s="333"/>
      <c r="AS64" s="333"/>
      <c r="AT64" s="333"/>
      <c r="AU64" s="333"/>
      <c r="AV64" s="355"/>
    </row>
    <row r="65" spans="2:48" ht="11.1" customHeight="1">
      <c r="B65" s="349">
        <v>62</v>
      </c>
      <c r="C65" s="348"/>
      <c r="D65" s="350"/>
      <c r="AM65" s="333"/>
      <c r="AN65" s="333"/>
      <c r="AO65" s="333"/>
      <c r="AP65" s="333"/>
      <c r="AQ65" s="333"/>
      <c r="AR65" s="333"/>
      <c r="AS65" s="333"/>
      <c r="AT65" s="333"/>
      <c r="AU65" s="333"/>
      <c r="AV65" s="355"/>
    </row>
    <row r="66" spans="2:48" ht="11.1" customHeight="1">
      <c r="B66" s="349">
        <v>63</v>
      </c>
      <c r="C66" s="348"/>
      <c r="D66" s="350"/>
      <c r="AM66" s="333"/>
      <c r="AN66" s="333"/>
      <c r="AO66" s="333"/>
      <c r="AP66" s="333"/>
      <c r="AQ66" s="333"/>
      <c r="AR66" s="333"/>
      <c r="AS66" s="333"/>
      <c r="AT66" s="333"/>
      <c r="AU66" s="333"/>
      <c r="AV66" s="355"/>
    </row>
    <row r="67" spans="2:48" ht="11.1" customHeight="1">
      <c r="B67" s="349">
        <v>64</v>
      </c>
      <c r="C67" s="348"/>
      <c r="D67" s="350"/>
      <c r="AM67" s="333"/>
      <c r="AN67" s="333"/>
      <c r="AO67" s="333"/>
      <c r="AP67" s="333"/>
      <c r="AQ67" s="333"/>
      <c r="AR67" s="333"/>
      <c r="AS67" s="333"/>
      <c r="AT67" s="333"/>
      <c r="AU67" s="333"/>
      <c r="AV67" s="355"/>
    </row>
    <row r="68" spans="2:48" ht="11.1" customHeight="1">
      <c r="B68" s="349">
        <v>65</v>
      </c>
      <c r="C68" s="348"/>
      <c r="D68" s="350"/>
      <c r="AM68" s="333"/>
      <c r="AN68" s="333"/>
      <c r="AO68" s="333"/>
      <c r="AP68" s="333"/>
      <c r="AQ68" s="333"/>
      <c r="AR68" s="333"/>
      <c r="AS68" s="333"/>
      <c r="AT68" s="333"/>
      <c r="AU68" s="333"/>
      <c r="AV68" s="355"/>
    </row>
    <row r="69" spans="2:48" ht="11.1" customHeight="1">
      <c r="B69" s="349">
        <v>66</v>
      </c>
      <c r="C69" s="348"/>
      <c r="D69" s="350"/>
      <c r="AM69" s="333"/>
      <c r="AN69" s="333"/>
      <c r="AO69" s="333"/>
      <c r="AP69" s="333"/>
      <c r="AQ69" s="333"/>
      <c r="AR69" s="333"/>
      <c r="AS69" s="333"/>
      <c r="AT69" s="333"/>
      <c r="AU69" s="333"/>
      <c r="AV69" s="355"/>
    </row>
    <row r="70" spans="2:48" ht="11.1" customHeight="1">
      <c r="B70" s="349">
        <v>67</v>
      </c>
      <c r="C70" s="348"/>
      <c r="D70" s="350"/>
      <c r="AM70" s="333"/>
      <c r="AN70" s="333"/>
      <c r="AO70" s="333"/>
      <c r="AP70" s="333"/>
      <c r="AQ70" s="333"/>
      <c r="AR70" s="333"/>
      <c r="AS70" s="333"/>
      <c r="AT70" s="333"/>
      <c r="AU70" s="333"/>
      <c r="AV70" s="355"/>
    </row>
    <row r="71" spans="2:48" ht="11.1" customHeight="1">
      <c r="B71" s="349">
        <v>68</v>
      </c>
      <c r="C71" s="348"/>
      <c r="D71" s="350"/>
      <c r="AM71" s="333"/>
      <c r="AN71" s="333"/>
      <c r="AO71" s="333"/>
      <c r="AP71" s="333"/>
      <c r="AQ71" s="333"/>
      <c r="AR71" s="333"/>
      <c r="AS71" s="333"/>
      <c r="AT71" s="333"/>
      <c r="AU71" s="333"/>
      <c r="AV71" s="355"/>
    </row>
    <row r="72" spans="2:48" ht="11.1" customHeight="1">
      <c r="B72" s="349">
        <v>69</v>
      </c>
      <c r="C72" s="348"/>
      <c r="D72" s="350"/>
      <c r="AM72" s="333"/>
      <c r="AN72" s="333"/>
      <c r="AO72" s="333"/>
      <c r="AP72" s="333"/>
      <c r="AQ72" s="333"/>
      <c r="AR72" s="333"/>
      <c r="AS72" s="333"/>
      <c r="AT72" s="333"/>
      <c r="AU72" s="333"/>
      <c r="AV72" s="355"/>
    </row>
    <row r="73" spans="2:48" ht="11.1" customHeight="1">
      <c r="B73" s="349">
        <v>70</v>
      </c>
      <c r="C73" s="348"/>
      <c r="D73" s="350"/>
      <c r="AM73" s="333"/>
      <c r="AN73" s="333"/>
      <c r="AO73" s="333"/>
      <c r="AP73" s="333"/>
      <c r="AQ73" s="333"/>
      <c r="AR73" s="333"/>
      <c r="AS73" s="333"/>
      <c r="AT73" s="333"/>
      <c r="AU73" s="333"/>
      <c r="AV73" s="355"/>
    </row>
    <row r="74" spans="2:48" ht="11.1" customHeight="1">
      <c r="B74" s="349">
        <v>71</v>
      </c>
      <c r="C74" s="348"/>
      <c r="D74" s="350"/>
      <c r="AM74" s="333"/>
      <c r="AN74" s="333"/>
      <c r="AO74" s="333"/>
      <c r="AP74" s="333"/>
      <c r="AQ74" s="333"/>
      <c r="AR74" s="333"/>
      <c r="AS74" s="333"/>
      <c r="AT74" s="333"/>
      <c r="AU74" s="333"/>
      <c r="AV74" s="355"/>
    </row>
    <row r="75" spans="2:48" ht="11.1" customHeight="1">
      <c r="B75" s="349">
        <v>72</v>
      </c>
      <c r="C75" s="348"/>
      <c r="D75" s="350"/>
      <c r="AM75" s="333"/>
      <c r="AN75" s="333"/>
      <c r="AO75" s="333"/>
      <c r="AP75" s="333"/>
      <c r="AQ75" s="333"/>
      <c r="AR75" s="333"/>
      <c r="AS75" s="333"/>
      <c r="AT75" s="333"/>
      <c r="AU75" s="333"/>
      <c r="AV75" s="355"/>
    </row>
    <row r="76" spans="2:48" ht="11.1" customHeight="1">
      <c r="B76" s="349">
        <v>73</v>
      </c>
      <c r="C76" s="348"/>
      <c r="D76" s="350"/>
      <c r="AM76" s="333"/>
      <c r="AN76" s="333"/>
      <c r="AO76" s="333"/>
      <c r="AP76" s="333"/>
      <c r="AQ76" s="333"/>
      <c r="AR76" s="333"/>
      <c r="AS76" s="333"/>
      <c r="AT76" s="333"/>
      <c r="AU76" s="333"/>
      <c r="AV76" s="355"/>
    </row>
    <row r="77" spans="2:48" ht="11.1" customHeight="1">
      <c r="B77" s="349">
        <v>74</v>
      </c>
      <c r="C77" s="348"/>
      <c r="D77" s="350"/>
      <c r="AM77" s="333"/>
      <c r="AN77" s="333"/>
      <c r="AO77" s="333"/>
      <c r="AP77" s="333"/>
      <c r="AQ77" s="333"/>
      <c r="AR77" s="333"/>
      <c r="AS77" s="333"/>
      <c r="AT77" s="333"/>
      <c r="AU77" s="333"/>
      <c r="AV77" s="355"/>
    </row>
    <row r="78" spans="2:48" ht="11.1" customHeight="1">
      <c r="B78" s="349">
        <v>75</v>
      </c>
      <c r="C78" s="348"/>
      <c r="D78" s="350"/>
      <c r="AM78" s="333"/>
      <c r="AN78" s="333"/>
      <c r="AO78" s="333"/>
      <c r="AP78" s="333"/>
      <c r="AQ78" s="333"/>
      <c r="AR78" s="333"/>
      <c r="AS78" s="333"/>
      <c r="AT78" s="333"/>
      <c r="AU78" s="333"/>
      <c r="AV78" s="355"/>
    </row>
    <row r="79" spans="2:48" ht="11.1" customHeight="1">
      <c r="B79" s="349">
        <v>76</v>
      </c>
      <c r="C79" s="348"/>
      <c r="D79" s="350"/>
      <c r="AM79" s="333"/>
      <c r="AN79" s="333"/>
      <c r="AO79" s="333"/>
      <c r="AP79" s="333"/>
      <c r="AQ79" s="333"/>
      <c r="AR79" s="333"/>
      <c r="AS79" s="333"/>
      <c r="AT79" s="333"/>
      <c r="AU79" s="333"/>
      <c r="AV79" s="355"/>
    </row>
    <row r="80" spans="2:48" ht="11.1" customHeight="1">
      <c r="B80" s="349">
        <v>77</v>
      </c>
      <c r="C80" s="348"/>
      <c r="D80" s="350"/>
      <c r="AM80" s="333"/>
      <c r="AN80" s="333"/>
      <c r="AO80" s="333"/>
      <c r="AP80" s="333"/>
      <c r="AQ80" s="333"/>
      <c r="AR80" s="333"/>
      <c r="AS80" s="333"/>
      <c r="AT80" s="333"/>
      <c r="AU80" s="333"/>
      <c r="AV80" s="355"/>
    </row>
    <row r="81" spans="2:48" ht="11.1" customHeight="1">
      <c r="B81" s="349">
        <v>78</v>
      </c>
      <c r="C81" s="348"/>
      <c r="D81" s="350"/>
      <c r="AM81" s="333"/>
      <c r="AN81" s="333"/>
      <c r="AO81" s="333"/>
      <c r="AP81" s="333"/>
      <c r="AQ81" s="333"/>
      <c r="AR81" s="333"/>
      <c r="AS81" s="333"/>
      <c r="AT81" s="333"/>
      <c r="AU81" s="333"/>
      <c r="AV81" s="355"/>
    </row>
    <row r="82" spans="2:48" ht="11.1" customHeight="1">
      <c r="B82" s="349">
        <v>79</v>
      </c>
      <c r="C82" s="348"/>
      <c r="D82" s="350"/>
      <c r="AM82" s="333"/>
      <c r="AN82" s="333"/>
      <c r="AO82" s="333"/>
      <c r="AP82" s="333"/>
      <c r="AQ82" s="333"/>
      <c r="AR82" s="333"/>
      <c r="AS82" s="333"/>
      <c r="AT82" s="333"/>
      <c r="AU82" s="333"/>
      <c r="AV82" s="355"/>
    </row>
    <row r="83" spans="2:48" ht="11.1" customHeight="1">
      <c r="B83" s="349">
        <v>80</v>
      </c>
      <c r="C83" s="348"/>
      <c r="D83" s="350"/>
      <c r="AM83" s="333"/>
      <c r="AN83" s="333"/>
      <c r="AO83" s="333"/>
      <c r="AP83" s="333"/>
      <c r="AQ83" s="333"/>
      <c r="AR83" s="333"/>
      <c r="AS83" s="333"/>
      <c r="AT83" s="333"/>
      <c r="AU83" s="333"/>
      <c r="AV83" s="355"/>
    </row>
    <row r="84" spans="2:48" ht="11.1" customHeight="1">
      <c r="B84" s="349">
        <v>81</v>
      </c>
      <c r="C84" s="348"/>
      <c r="D84" s="350"/>
      <c r="AM84" s="333"/>
      <c r="AN84" s="333"/>
      <c r="AO84" s="333"/>
      <c r="AP84" s="333"/>
      <c r="AQ84" s="333"/>
      <c r="AR84" s="333"/>
      <c r="AS84" s="333"/>
      <c r="AT84" s="333"/>
      <c r="AU84" s="333"/>
      <c r="AV84" s="355"/>
    </row>
    <row r="85" spans="2:48" ht="11.1" customHeight="1">
      <c r="B85" s="349">
        <v>82</v>
      </c>
      <c r="C85" s="348"/>
      <c r="D85" s="350"/>
      <c r="AM85" s="333"/>
      <c r="AN85" s="333"/>
      <c r="AO85" s="333"/>
      <c r="AP85" s="333"/>
      <c r="AQ85" s="333"/>
      <c r="AR85" s="333"/>
      <c r="AS85" s="333"/>
      <c r="AT85" s="333"/>
      <c r="AU85" s="333"/>
      <c r="AV85" s="355"/>
    </row>
    <row r="86" spans="2:48" ht="11.1" customHeight="1">
      <c r="B86" s="349">
        <v>83</v>
      </c>
      <c r="C86" s="348"/>
      <c r="D86" s="350"/>
      <c r="AM86" s="333"/>
      <c r="AN86" s="333"/>
      <c r="AO86" s="333"/>
      <c r="AP86" s="333"/>
      <c r="AQ86" s="333"/>
      <c r="AR86" s="333"/>
      <c r="AS86" s="333"/>
      <c r="AT86" s="333"/>
      <c r="AU86" s="333"/>
      <c r="AV86" s="355"/>
    </row>
    <row r="87" spans="2:48" ht="11.1" customHeight="1">
      <c r="B87" s="349">
        <v>84</v>
      </c>
      <c r="C87" s="348"/>
      <c r="D87" s="350"/>
      <c r="AM87" s="333"/>
      <c r="AN87" s="333"/>
      <c r="AO87" s="333"/>
      <c r="AP87" s="333"/>
      <c r="AQ87" s="333"/>
      <c r="AR87" s="333"/>
      <c r="AS87" s="333"/>
      <c r="AT87" s="333"/>
      <c r="AU87" s="333"/>
      <c r="AV87" s="355"/>
    </row>
    <row r="88" spans="2:48" ht="11.1" customHeight="1">
      <c r="B88" s="349">
        <v>85</v>
      </c>
      <c r="C88" s="348"/>
      <c r="D88" s="350"/>
      <c r="AM88" s="333"/>
      <c r="AN88" s="333"/>
      <c r="AO88" s="333"/>
      <c r="AP88" s="333"/>
      <c r="AQ88" s="333"/>
      <c r="AR88" s="333"/>
      <c r="AS88" s="333"/>
      <c r="AT88" s="333"/>
      <c r="AU88" s="333"/>
      <c r="AV88" s="355"/>
    </row>
    <row r="89" spans="2:48" ht="11.1" customHeight="1">
      <c r="B89" s="349">
        <v>86</v>
      </c>
      <c r="C89" s="348"/>
      <c r="D89" s="350"/>
      <c r="AM89" s="333"/>
      <c r="AN89" s="333"/>
      <c r="AO89" s="333"/>
      <c r="AP89" s="333"/>
      <c r="AQ89" s="333"/>
      <c r="AR89" s="333"/>
      <c r="AS89" s="333"/>
      <c r="AT89" s="333"/>
      <c r="AU89" s="333"/>
      <c r="AV89" s="355"/>
    </row>
    <row r="90" spans="2:48" ht="11.1" customHeight="1">
      <c r="B90" s="349">
        <v>87</v>
      </c>
      <c r="C90" s="348"/>
      <c r="D90" s="350"/>
      <c r="AM90" s="333"/>
      <c r="AN90" s="333"/>
      <c r="AO90" s="333"/>
      <c r="AP90" s="333"/>
      <c r="AQ90" s="333"/>
      <c r="AR90" s="333"/>
      <c r="AS90" s="333"/>
      <c r="AT90" s="333"/>
      <c r="AU90" s="333"/>
      <c r="AV90" s="355"/>
    </row>
    <row r="91" spans="2:48" ht="11.1" customHeight="1">
      <c r="B91" s="349">
        <v>88</v>
      </c>
      <c r="C91" s="348"/>
      <c r="D91" s="350"/>
      <c r="AM91" s="333"/>
      <c r="AN91" s="333"/>
      <c r="AO91" s="333"/>
      <c r="AP91" s="333"/>
      <c r="AQ91" s="333"/>
      <c r="AR91" s="333"/>
      <c r="AS91" s="333"/>
      <c r="AT91" s="333"/>
      <c r="AU91" s="333"/>
      <c r="AV91" s="355"/>
    </row>
    <row r="92" spans="2:48" ht="11.1" customHeight="1">
      <c r="B92" s="349">
        <v>89</v>
      </c>
      <c r="C92" s="348"/>
      <c r="D92" s="350"/>
      <c r="AM92" s="333"/>
      <c r="AN92" s="333"/>
      <c r="AO92" s="333"/>
      <c r="AP92" s="333"/>
      <c r="AQ92" s="333"/>
      <c r="AR92" s="333"/>
      <c r="AS92" s="333"/>
      <c r="AT92" s="333"/>
      <c r="AU92" s="333"/>
      <c r="AV92" s="355"/>
    </row>
    <row r="93" spans="2:48" ht="11.1" customHeight="1">
      <c r="B93" s="349">
        <v>90</v>
      </c>
      <c r="C93" s="348"/>
      <c r="D93" s="350"/>
      <c r="AM93" s="333"/>
      <c r="AN93" s="333"/>
      <c r="AO93" s="333"/>
      <c r="AP93" s="333"/>
      <c r="AQ93" s="333"/>
      <c r="AR93" s="333"/>
      <c r="AS93" s="333"/>
      <c r="AT93" s="333"/>
      <c r="AU93" s="333"/>
      <c r="AV93" s="355"/>
    </row>
    <row r="94" spans="2:48" ht="11.1" customHeight="1">
      <c r="B94" s="349">
        <v>91</v>
      </c>
      <c r="C94" s="348"/>
      <c r="D94" s="350"/>
      <c r="AM94" s="333"/>
      <c r="AN94" s="333"/>
      <c r="AO94" s="333"/>
      <c r="AP94" s="333"/>
      <c r="AQ94" s="333"/>
      <c r="AR94" s="333"/>
      <c r="AS94" s="333"/>
      <c r="AT94" s="333"/>
      <c r="AU94" s="333"/>
      <c r="AV94" s="355"/>
    </row>
    <row r="95" spans="2:48" ht="11.1" customHeight="1">
      <c r="B95" s="349">
        <v>92</v>
      </c>
      <c r="C95" s="348"/>
      <c r="D95" s="350"/>
      <c r="AM95" s="333"/>
      <c r="AN95" s="333"/>
      <c r="AO95" s="333"/>
      <c r="AP95" s="333"/>
      <c r="AQ95" s="333"/>
      <c r="AR95" s="333"/>
      <c r="AS95" s="333"/>
      <c r="AT95" s="333"/>
      <c r="AU95" s="333"/>
      <c r="AV95" s="355"/>
    </row>
    <row r="96" spans="2:48" ht="11.1" customHeight="1">
      <c r="B96" s="349">
        <v>93</v>
      </c>
      <c r="C96" s="348"/>
      <c r="D96" s="350"/>
      <c r="AM96" s="333"/>
      <c r="AN96" s="333"/>
      <c r="AO96" s="333"/>
      <c r="AP96" s="333"/>
      <c r="AQ96" s="333"/>
      <c r="AR96" s="333"/>
      <c r="AS96" s="333"/>
      <c r="AT96" s="333"/>
      <c r="AU96" s="333"/>
      <c r="AV96" s="355"/>
    </row>
    <row r="97" spans="2:48" ht="11.1" customHeight="1">
      <c r="B97" s="349">
        <v>94</v>
      </c>
      <c r="C97" s="348"/>
      <c r="D97" s="350"/>
      <c r="AM97" s="333"/>
      <c r="AN97" s="333"/>
      <c r="AO97" s="333"/>
      <c r="AP97" s="333"/>
      <c r="AQ97" s="333"/>
      <c r="AR97" s="333"/>
      <c r="AS97" s="333"/>
      <c r="AT97" s="333"/>
      <c r="AU97" s="333"/>
      <c r="AV97" s="355"/>
    </row>
    <row r="98" spans="2:48" ht="11.1" customHeight="1">
      <c r="B98" s="349">
        <v>95</v>
      </c>
      <c r="C98" s="348"/>
      <c r="D98" s="350"/>
      <c r="AM98" s="333"/>
      <c r="AN98" s="333"/>
      <c r="AO98" s="333"/>
      <c r="AP98" s="333"/>
      <c r="AQ98" s="333"/>
      <c r="AR98" s="333"/>
      <c r="AS98" s="333"/>
      <c r="AT98" s="333"/>
      <c r="AU98" s="333"/>
      <c r="AV98" s="355"/>
    </row>
    <row r="99" spans="2:48" ht="11.1" customHeight="1">
      <c r="B99" s="349">
        <v>96</v>
      </c>
      <c r="C99" s="348"/>
      <c r="D99" s="350"/>
      <c r="AM99" s="333"/>
      <c r="AN99" s="333"/>
      <c r="AO99" s="333"/>
      <c r="AP99" s="333"/>
      <c r="AQ99" s="333"/>
      <c r="AR99" s="333"/>
      <c r="AS99" s="333"/>
      <c r="AT99" s="333"/>
      <c r="AU99" s="333"/>
      <c r="AV99" s="355"/>
    </row>
    <row r="100" spans="2:48" ht="11.1" customHeight="1">
      <c r="B100" s="349">
        <v>97</v>
      </c>
      <c r="C100" s="348"/>
      <c r="D100" s="350"/>
      <c r="AM100" s="333"/>
      <c r="AN100" s="333"/>
      <c r="AO100" s="333"/>
      <c r="AP100" s="333"/>
      <c r="AQ100" s="333"/>
      <c r="AR100" s="333"/>
      <c r="AS100" s="333"/>
      <c r="AT100" s="333"/>
      <c r="AU100" s="333"/>
      <c r="AV100" s="355"/>
    </row>
    <row r="101" spans="2:48" ht="11.1" customHeight="1">
      <c r="B101" s="349">
        <v>98</v>
      </c>
      <c r="C101" s="348"/>
      <c r="D101" s="350"/>
      <c r="AM101" s="333"/>
      <c r="AN101" s="333"/>
      <c r="AO101" s="333"/>
      <c r="AP101" s="333"/>
      <c r="AQ101" s="333"/>
      <c r="AR101" s="333"/>
      <c r="AS101" s="333"/>
      <c r="AT101" s="333"/>
      <c r="AU101" s="333"/>
      <c r="AV101" s="355"/>
    </row>
    <row r="102" spans="2:48" ht="11.1" customHeight="1" thickBot="1">
      <c r="B102" s="356">
        <v>99</v>
      </c>
      <c r="C102" s="357"/>
      <c r="D102" s="361"/>
      <c r="AM102" s="333"/>
      <c r="AN102" s="333"/>
      <c r="AO102" s="333"/>
      <c r="AP102" s="333"/>
      <c r="AQ102" s="333"/>
      <c r="AR102" s="333"/>
      <c r="AS102" s="333"/>
      <c r="AT102" s="333"/>
      <c r="AU102" s="333"/>
      <c r="AV102" s="355"/>
    </row>
  </sheetData>
  <mergeCells count="8">
    <mergeCell ref="DS4:DS12"/>
    <mergeCell ref="DI2:DU2"/>
    <mergeCell ref="DQ4:DQ12"/>
    <mergeCell ref="R2:W2"/>
    <mergeCell ref="B2:D2"/>
    <mergeCell ref="CA2:CK2"/>
    <mergeCell ref="BB2:BL2"/>
    <mergeCell ref="BN2:BQ2"/>
  </mergeCells>
  <phoneticPr fontId="4"/>
  <dataValidations count="3">
    <dataValidation type="list" allowBlank="1" showInputMessage="1" showErrorMessage="1" sqref="T4:T63">
      <formula1>"×"</formula1>
    </dataValidation>
    <dataValidation type="list" allowBlank="1" showInputMessage="1" showErrorMessage="1" sqref="DP4:DP12">
      <formula1>"表示ON,表示OFF"</formula1>
    </dataValidation>
    <dataValidation type="list" allowBlank="1" showInputMessage="1" showErrorMessage="1" sqref="DU4:DU12 BQ4:BQ21 CL4:CL24">
      <formula1>"ON,OFF"</formula1>
    </dataValidation>
  </dataValidations>
  <hyperlinks>
    <hyperlink ref="DS4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BE258"/>
  <sheetViews>
    <sheetView view="pageBreakPreview" zoomScaleNormal="100" zoomScaleSheetLayoutView="100" workbookViewId="0">
      <selection activeCell="D49" sqref="D49"/>
    </sheetView>
  </sheetViews>
  <sheetFormatPr defaultColWidth="9" defaultRowHeight="13.5"/>
  <cols>
    <col min="1" max="23" width="9" style="125"/>
    <col min="24" max="24" width="9" style="125" customWidth="1"/>
    <col min="25" max="25" width="34.5" style="125" customWidth="1"/>
    <col min="26" max="42" width="9" style="125" customWidth="1"/>
    <col min="43" max="43" width="3.625" style="125" customWidth="1"/>
    <col min="44" max="57" width="5.625" style="125" customWidth="1"/>
    <col min="58" max="16384" width="9" style="125"/>
  </cols>
  <sheetData>
    <row r="1" spans="1:57">
      <c r="A1" s="124" t="s">
        <v>146</v>
      </c>
      <c r="B1" s="124" t="s">
        <v>173</v>
      </c>
      <c r="C1" s="124" t="s">
        <v>174</v>
      </c>
      <c r="D1" s="124" t="s">
        <v>147</v>
      </c>
      <c r="E1" s="124" t="s">
        <v>175</v>
      </c>
      <c r="F1" s="124" t="s">
        <v>176</v>
      </c>
      <c r="G1" s="124" t="s">
        <v>177</v>
      </c>
      <c r="H1" s="124" t="s">
        <v>205</v>
      </c>
      <c r="I1" s="124" t="s">
        <v>199</v>
      </c>
      <c r="J1" s="124" t="s">
        <v>200</v>
      </c>
      <c r="K1" s="124" t="s">
        <v>208</v>
      </c>
      <c r="L1" s="124" t="s">
        <v>170</v>
      </c>
      <c r="M1" s="124" t="s">
        <v>201</v>
      </c>
      <c r="N1" s="119" t="s">
        <v>178</v>
      </c>
      <c r="O1" s="119" t="s">
        <v>178</v>
      </c>
      <c r="P1" s="119" t="s">
        <v>178</v>
      </c>
      <c r="Q1" s="119" t="s">
        <v>178</v>
      </c>
      <c r="R1" s="119" t="s">
        <v>178</v>
      </c>
      <c r="S1" s="119" t="s">
        <v>178</v>
      </c>
      <c r="T1" s="119" t="s">
        <v>251</v>
      </c>
      <c r="U1" s="301" t="str">
        <f ca="1">足元帳!$AH$1</f>
        <v>還元チケット</v>
      </c>
      <c r="V1" s="301" t="str">
        <f ca="1">足元帳!$AI$1</f>
        <v>協力店優待券</v>
      </c>
      <c r="W1" s="119" t="s">
        <v>415</v>
      </c>
      <c r="X1" s="119"/>
      <c r="Y1" s="302">
        <f>精算表!W1</f>
        <v>43755</v>
      </c>
      <c r="Z1" s="303"/>
      <c r="AA1" s="303"/>
      <c r="AB1" s="303"/>
      <c r="AC1" s="303"/>
      <c r="AD1" s="119"/>
      <c r="AE1" s="119"/>
      <c r="AF1" s="119"/>
      <c r="AG1" s="119"/>
      <c r="AH1" s="124"/>
      <c r="AI1" s="135"/>
      <c r="AJ1" s="135">
        <v>45</v>
      </c>
      <c r="AK1" s="135">
        <v>60</v>
      </c>
      <c r="AL1" s="135">
        <v>75</v>
      </c>
      <c r="AM1" s="135">
        <v>90</v>
      </c>
      <c r="AN1" s="135">
        <v>120</v>
      </c>
      <c r="AO1" s="135" t="s">
        <v>210</v>
      </c>
      <c r="AP1" s="135" t="s">
        <v>211</v>
      </c>
      <c r="AR1" s="160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2"/>
    </row>
    <row r="2" spans="1:57" ht="13.15" customHeight="1">
      <c r="A2" s="126">
        <v>1</v>
      </c>
      <c r="B2" s="127" t="str">
        <f>IF(足元帳!K2="","",精算表!$W$1)</f>
        <v/>
      </c>
      <c r="C2" s="128" t="str">
        <f>IF(足元帳!K2="","",IF(足元帳!AY2=2,"R","N"))</f>
        <v/>
      </c>
      <c r="D2" s="128" t="str">
        <f>IF(足元帳!K2="","",IF(足元帳!AZ2=1,"姫",IF(足元帳!AZ2=2,"本指名",IF(足元帳!AZ2=3,"NET",IF(足元帳!AZ2=4,"写真","")))))</f>
        <v/>
      </c>
      <c r="E2" s="128" t="str">
        <f>IF(足元帳!K2="","",足元帳!K2)</f>
        <v/>
      </c>
      <c r="F2" s="128" t="str">
        <f>IF(足元帳!K2="","",IF(足元帳!BB2=1,45,IF(足元帳!BB2=2,60,IF(足元帳!BB2=3,75,IF(足元帳!BB2=4,90,IF(足元帳!BB2=5,120,IF(足元帳!BB2=6,150,IF(足元帳!BB2=7,180,""))))))))</f>
        <v/>
      </c>
      <c r="G2" s="128" t="str">
        <f>IF(足元帳!K2="","",足元帳!A2)</f>
        <v/>
      </c>
      <c r="H2" s="125" t="str">
        <f>IF(足元帳!AP2="","",$H$1)</f>
        <v/>
      </c>
      <c r="I2" s="125" t="str">
        <f>IF(足元帳!AQ2="","",$I$1)</f>
        <v/>
      </c>
      <c r="J2" s="125" t="str">
        <f>IF(足元帳!AR2="","",$J$1)</f>
        <v/>
      </c>
      <c r="K2" s="125" t="str">
        <f>IF(足元帳!AS2="","",$K$1)</f>
        <v/>
      </c>
      <c r="L2" s="129" t="str">
        <f>IF(COUNTIF(足元帳!AT2,"*複合*"),"複合","")</f>
        <v/>
      </c>
      <c r="M2" s="129" t="str">
        <f>IF(COUNTIF(足元帳!AT2,"*店頭本指名*"),"店頭本指名","")</f>
        <v/>
      </c>
      <c r="N2" s="125" t="str">
        <f>IF(足元帳!U2="","",足元帳!U2)</f>
        <v/>
      </c>
      <c r="O2" s="125" t="str">
        <f>IF(足元帳!V2="","",足元帳!V2)</f>
        <v/>
      </c>
      <c r="P2" s="125" t="str">
        <f>IF(足元帳!W2="","",足元帳!W2)</f>
        <v/>
      </c>
      <c r="Q2" s="125" t="str">
        <f>IF(足元帳!X2="","",足元帳!X2)</f>
        <v/>
      </c>
      <c r="R2" s="125" t="str">
        <f>IF(足元帳!Y2="","",足元帳!Y2)</f>
        <v/>
      </c>
      <c r="S2" s="125" t="str">
        <f>IF(足元帳!Z2="","",足元帳!Z2)</f>
        <v/>
      </c>
      <c r="T2" s="125" t="str">
        <f>IF(足元帳!AT2="","",足元帳!AT2)</f>
        <v/>
      </c>
      <c r="U2" s="125" t="str">
        <f>IF(足元帳!AH2="●",足元帳!$AH$1&amp;足元帳!AW2,"")</f>
        <v/>
      </c>
      <c r="V2" s="125" t="str">
        <f>IF(足元帳!AI2="●",足元帳!$AI$1&amp;足元帳!AW2,"")</f>
        <v/>
      </c>
      <c r="W2" s="125" t="str">
        <f>IF(足元帳!AX2="","",足元帳!AX2)</f>
        <v/>
      </c>
      <c r="X2" s="125">
        <f>足元帳!BJ2</f>
        <v>0</v>
      </c>
      <c r="Y2" s="304" t="s">
        <v>259</v>
      </c>
      <c r="Z2" s="305"/>
      <c r="AA2" s="305"/>
      <c r="AB2" s="305"/>
      <c r="AC2" s="306"/>
      <c r="AD2" s="167"/>
      <c r="AE2" s="167"/>
      <c r="AH2" s="642" t="s">
        <v>212</v>
      </c>
      <c r="AI2" s="135">
        <v>6</v>
      </c>
      <c r="AJ2" s="135">
        <f t="shared" ref="AJ2:AN3" si="0">COUNTIFS($G$2:$G$258,$AI2,$F$2:$F$258,AJ$1)</f>
        <v>0</v>
      </c>
      <c r="AK2" s="135">
        <f t="shared" si="0"/>
        <v>0</v>
      </c>
      <c r="AL2" s="135">
        <f t="shared" si="0"/>
        <v>0</v>
      </c>
      <c r="AM2" s="135">
        <f t="shared" si="0"/>
        <v>0</v>
      </c>
      <c r="AN2" s="135">
        <f t="shared" si="0"/>
        <v>0</v>
      </c>
      <c r="AO2" s="135">
        <f>AJ2+AK2+AL2+AM2+AN2</f>
        <v>0</v>
      </c>
      <c r="AP2" s="136">
        <f>AJ2*0.75+AK2*1+AL2*1.17+AM2*1.5+AN2*1.83</f>
        <v>0</v>
      </c>
      <c r="AR2" s="163">
        <f>MONTH(精算表!W1)</f>
        <v>10</v>
      </c>
      <c r="AS2" s="139" t="s">
        <v>213</v>
      </c>
      <c r="AT2" s="139">
        <f>DAY(精算表!W1)</f>
        <v>17</v>
      </c>
      <c r="AU2" s="139" t="s">
        <v>214</v>
      </c>
      <c r="AV2" s="139" t="str">
        <f>TEXT(精算表!W1,"aaaa")</f>
        <v>木曜日</v>
      </c>
      <c r="AW2" s="140" t="s">
        <v>215</v>
      </c>
      <c r="AX2" s="139"/>
      <c r="AY2" s="141"/>
      <c r="AZ2" s="141"/>
      <c r="BA2" s="141"/>
      <c r="BB2" s="141"/>
      <c r="BC2" s="141"/>
      <c r="BD2" s="141"/>
      <c r="BE2" s="164"/>
    </row>
    <row r="3" spans="1:57" ht="13.15" customHeight="1">
      <c r="A3" s="126">
        <v>2</v>
      </c>
      <c r="B3" s="127" t="str">
        <f>IF(足元帳!K3="","",精算表!$W$1)</f>
        <v/>
      </c>
      <c r="C3" s="128" t="str">
        <f>IF(足元帳!K3="","",IF(足元帳!AY3=2,"R","N"))</f>
        <v/>
      </c>
      <c r="D3" s="128" t="str">
        <f>IF(足元帳!K3="","",IF(足元帳!AZ3=1,"姫",IF(足元帳!AZ3=2,"本指名",IF(足元帳!AZ3=3,"NET",IF(足元帳!AZ3=4,"写真","")))))</f>
        <v/>
      </c>
      <c r="E3" s="128" t="str">
        <f>IF(足元帳!K3="","",足元帳!K3)</f>
        <v/>
      </c>
      <c r="F3" s="128" t="str">
        <f>IF(足元帳!K3="","",IF(足元帳!BB3=1,45,IF(足元帳!BB3=2,60,IF(足元帳!BB3=3,75,IF(足元帳!BB3=4,90,IF(足元帳!BB3=5,120,IF(足元帳!BB3=6,150,IF(足元帳!BB3=7,180,""))))))))</f>
        <v/>
      </c>
      <c r="G3" s="128" t="str">
        <f>IF(足元帳!K3="","",足元帳!A3)</f>
        <v/>
      </c>
      <c r="H3" s="125" t="str">
        <f>IF(足元帳!AP3="","",$H$1)</f>
        <v/>
      </c>
      <c r="I3" s="125" t="str">
        <f>IF(足元帳!AQ3="","",$I$1)</f>
        <v/>
      </c>
      <c r="J3" s="125" t="str">
        <f>IF(足元帳!AR3="","",$J$1)</f>
        <v/>
      </c>
      <c r="K3" s="125" t="str">
        <f>IF(足元帳!AS3="","",$K$1)</f>
        <v/>
      </c>
      <c r="L3" s="129" t="str">
        <f>IF(COUNTIF(足元帳!AT3,"*複合*"),"複合","")</f>
        <v/>
      </c>
      <c r="M3" s="129" t="str">
        <f>IF(COUNTIF(足元帳!AT3,"*店頭本指名*"),"店頭本指名","")</f>
        <v/>
      </c>
      <c r="N3" s="125" t="str">
        <f>IF(足元帳!U3="","",足元帳!U3)</f>
        <v/>
      </c>
      <c r="O3" s="125" t="str">
        <f>IF(足元帳!V3="","",足元帳!V3)</f>
        <v/>
      </c>
      <c r="P3" s="125" t="str">
        <f>IF(足元帳!W3="","",足元帳!W3)</f>
        <v/>
      </c>
      <c r="Q3" s="125" t="str">
        <f>IF(足元帳!X3="","",足元帳!X3)</f>
        <v/>
      </c>
      <c r="R3" s="125" t="str">
        <f>IF(足元帳!Y3="","",足元帳!Y3)</f>
        <v/>
      </c>
      <c r="S3" s="125" t="str">
        <f>IF(足元帳!Z3="","",足元帳!Z3)</f>
        <v/>
      </c>
      <c r="T3" s="125" t="str">
        <f>IF(足元帳!AT3="","",足元帳!AT3)</f>
        <v/>
      </c>
      <c r="U3" s="125" t="str">
        <f>IF(足元帳!AH3="●",足元帳!$AH$1&amp;足元帳!AW3,"")</f>
        <v/>
      </c>
      <c r="V3" s="125" t="str">
        <f>IF(足元帳!AI3="●",足元帳!$AI$1&amp;足元帳!AW3,"")</f>
        <v/>
      </c>
      <c r="W3" s="125" t="str">
        <f>IF(足元帳!AX3="","",足元帳!AX3)</f>
        <v/>
      </c>
      <c r="X3" s="125">
        <f>足元帳!BJ3</f>
        <v>0</v>
      </c>
      <c r="Y3" s="304" t="str">
        <f>"予定出勤人数"&amp;AA3&amp;"名"</f>
        <v>予定出勤人数0名</v>
      </c>
      <c r="Z3" s="305"/>
      <c r="AA3" s="307">
        <v>0</v>
      </c>
      <c r="AB3" s="305"/>
      <c r="AC3" s="308"/>
      <c r="AD3" s="242"/>
      <c r="AE3" s="242"/>
      <c r="AH3" s="642"/>
      <c r="AI3" s="135">
        <v>7</v>
      </c>
      <c r="AJ3" s="135">
        <f t="shared" si="0"/>
        <v>0</v>
      </c>
      <c r="AK3" s="135">
        <f t="shared" si="0"/>
        <v>0</v>
      </c>
      <c r="AL3" s="135">
        <f t="shared" si="0"/>
        <v>0</v>
      </c>
      <c r="AM3" s="135">
        <f t="shared" si="0"/>
        <v>0</v>
      </c>
      <c r="AN3" s="135">
        <f t="shared" si="0"/>
        <v>0</v>
      </c>
      <c r="AO3" s="135">
        <f>AJ3+AK3+AL3+AM3+AN3</f>
        <v>0</v>
      </c>
      <c r="AP3" s="136">
        <f>AJ3*0.75+AK3*1+AL3*1.17+AM3*1.5+AN3*1.83</f>
        <v>0</v>
      </c>
      <c r="AR3" s="165" t="s">
        <v>216</v>
      </c>
      <c r="AS3" s="139"/>
      <c r="AT3" s="139"/>
      <c r="AU3" s="139"/>
      <c r="AV3" s="139"/>
      <c r="AW3" s="139"/>
      <c r="AX3" s="139"/>
      <c r="AY3" s="141"/>
      <c r="AZ3" s="141"/>
      <c r="BA3" s="141"/>
      <c r="BB3" s="141"/>
      <c r="BC3" s="141"/>
      <c r="BD3" s="141"/>
      <c r="BE3" s="164"/>
    </row>
    <row r="4" spans="1:57" ht="13.15" customHeight="1">
      <c r="A4" s="126">
        <v>3</v>
      </c>
      <c r="B4" s="127" t="str">
        <f>IF(足元帳!K4="","",精算表!$W$1)</f>
        <v/>
      </c>
      <c r="C4" s="128" t="str">
        <f>IF(足元帳!K4="","",IF(足元帳!AY4=2,"R","N"))</f>
        <v/>
      </c>
      <c r="D4" s="128" t="str">
        <f>IF(足元帳!K4="","",IF(足元帳!AZ4=1,"姫",IF(足元帳!AZ4=2,"本指名",IF(足元帳!AZ4=3,"NET",IF(足元帳!AZ4=4,"写真","")))))</f>
        <v/>
      </c>
      <c r="E4" s="128" t="str">
        <f>IF(足元帳!K4="","",足元帳!K4)</f>
        <v/>
      </c>
      <c r="F4" s="128" t="str">
        <f>IF(足元帳!K4="","",IF(足元帳!BB4=1,45,IF(足元帳!BB4=2,60,IF(足元帳!BB4=3,75,IF(足元帳!BB4=4,90,IF(足元帳!BB4=5,120,IF(足元帳!BB4=6,150,IF(足元帳!BB4=7,180,""))))))))</f>
        <v/>
      </c>
      <c r="G4" s="128" t="str">
        <f>IF(足元帳!K4="","",足元帳!A4)</f>
        <v/>
      </c>
      <c r="H4" s="125" t="str">
        <f>IF(足元帳!AP4="","",$H$1)</f>
        <v/>
      </c>
      <c r="I4" s="125" t="str">
        <f>IF(足元帳!AQ4="","",$I$1)</f>
        <v/>
      </c>
      <c r="J4" s="125" t="str">
        <f>IF(足元帳!AR4="","",$J$1)</f>
        <v/>
      </c>
      <c r="K4" s="125" t="str">
        <f>IF(足元帳!AS4="","",$K$1)</f>
        <v/>
      </c>
      <c r="L4" s="129" t="str">
        <f>IF(COUNTIF(足元帳!AT4,"*複合*"),"複合","")</f>
        <v/>
      </c>
      <c r="M4" s="129" t="str">
        <f>IF(COUNTIF(足元帳!AT4,"*店頭本指名*"),"店頭本指名","")</f>
        <v/>
      </c>
      <c r="N4" s="125" t="str">
        <f>IF(足元帳!U4="","",足元帳!U4)</f>
        <v/>
      </c>
      <c r="O4" s="125" t="str">
        <f>IF(足元帳!V4="","",足元帳!V4)</f>
        <v/>
      </c>
      <c r="P4" s="125" t="str">
        <f>IF(足元帳!W4="","",足元帳!W4)</f>
        <v/>
      </c>
      <c r="Q4" s="125" t="str">
        <f>IF(足元帳!X4="","",足元帳!X4)</f>
        <v/>
      </c>
      <c r="R4" s="125" t="str">
        <f>IF(足元帳!Y4="","",足元帳!Y4)</f>
        <v/>
      </c>
      <c r="S4" s="125" t="str">
        <f>IF(足元帳!Z4="","",足元帳!Z4)</f>
        <v/>
      </c>
      <c r="T4" s="125" t="str">
        <f>IF(足元帳!AT4="","",足元帳!AT4)</f>
        <v/>
      </c>
      <c r="U4" s="125" t="str">
        <f>IF(足元帳!AH4="●",足元帳!$AH$1&amp;足元帳!AW4,"")</f>
        <v/>
      </c>
      <c r="V4" s="125" t="str">
        <f>IF(足元帳!AI4="●",足元帳!$AI$1&amp;足元帳!AW4,"")</f>
        <v/>
      </c>
      <c r="W4" s="125" t="str">
        <f>IF(足元帳!AX4="","",足元帳!AX4)</f>
        <v/>
      </c>
      <c r="X4" s="125">
        <f>足元帳!BJ4</f>
        <v>0</v>
      </c>
      <c r="Y4" s="304" t="str">
        <f>"当日欠勤"&amp;AA4&amp;"名"</f>
        <v>当日欠勤0名</v>
      </c>
      <c r="Z4" s="305"/>
      <c r="AA4" s="307">
        <v>0</v>
      </c>
      <c r="AB4" s="305"/>
      <c r="AC4" s="244"/>
      <c r="AD4" s="242"/>
      <c r="AE4" s="242"/>
      <c r="AH4" s="642" t="s">
        <v>217</v>
      </c>
      <c r="AI4" s="135">
        <v>6</v>
      </c>
      <c r="AJ4" s="135">
        <f t="shared" ref="AJ4:AN5" si="1">COUNTIFS($G$2:$G$258,$AI4,$F$2:$F$258,AJ$1,$X$2:$X$258,"3")</f>
        <v>0</v>
      </c>
      <c r="AK4" s="135">
        <f t="shared" si="1"/>
        <v>0</v>
      </c>
      <c r="AL4" s="135">
        <f t="shared" si="1"/>
        <v>0</v>
      </c>
      <c r="AM4" s="135">
        <f t="shared" si="1"/>
        <v>0</v>
      </c>
      <c r="AN4" s="135">
        <f t="shared" si="1"/>
        <v>0</v>
      </c>
      <c r="AO4" s="174" t="s">
        <v>218</v>
      </c>
      <c r="AP4" s="174" t="s">
        <v>218</v>
      </c>
      <c r="AR4" s="165" t="s">
        <v>219</v>
      </c>
      <c r="AS4" s="139"/>
      <c r="AT4" s="139"/>
      <c r="AU4" s="139"/>
      <c r="AV4" s="139"/>
      <c r="AW4" s="139"/>
      <c r="AX4" s="139"/>
      <c r="AY4" s="141"/>
      <c r="AZ4" s="141"/>
      <c r="BA4" s="141"/>
      <c r="BB4" s="141"/>
      <c r="BC4" s="141"/>
      <c r="BD4" s="141"/>
      <c r="BE4" s="164"/>
    </row>
    <row r="5" spans="1:57" ht="13.15" customHeight="1">
      <c r="A5" s="126">
        <v>4</v>
      </c>
      <c r="B5" s="127" t="str">
        <f>IF(足元帳!K5="","",精算表!$W$1)</f>
        <v/>
      </c>
      <c r="C5" s="128" t="str">
        <f>IF(足元帳!K5="","",IF(足元帳!AY5=2,"R","N"))</f>
        <v/>
      </c>
      <c r="D5" s="128" t="str">
        <f>IF(足元帳!K5="","",IF(足元帳!AZ5=1,"姫",IF(足元帳!AZ5=2,"本指名",IF(足元帳!AZ5=3,"NET",IF(足元帳!AZ5=4,"写真","")))))</f>
        <v/>
      </c>
      <c r="E5" s="128" t="str">
        <f>IF(足元帳!K5="","",足元帳!K5)</f>
        <v/>
      </c>
      <c r="F5" s="128" t="str">
        <f>IF(足元帳!K5="","",IF(足元帳!BB5=1,45,IF(足元帳!BB5=2,60,IF(足元帳!BB5=3,75,IF(足元帳!BB5=4,90,IF(足元帳!BB5=5,120,IF(足元帳!BB5=6,150,IF(足元帳!BB5=7,180,""))))))))</f>
        <v/>
      </c>
      <c r="G5" s="128" t="str">
        <f>IF(足元帳!K5="","",足元帳!A5)</f>
        <v/>
      </c>
      <c r="H5" s="125" t="str">
        <f>IF(足元帳!AP5="","",$H$1)</f>
        <v/>
      </c>
      <c r="I5" s="125" t="str">
        <f>IF(足元帳!AQ5="","",$I$1)</f>
        <v/>
      </c>
      <c r="J5" s="125" t="str">
        <f>IF(足元帳!AR5="","",$J$1)</f>
        <v/>
      </c>
      <c r="K5" s="125" t="str">
        <f>IF(足元帳!AS5="","",$K$1)</f>
        <v/>
      </c>
      <c r="L5" s="129" t="str">
        <f>IF(COUNTIF(足元帳!AT5,"*複合*"),"複合","")</f>
        <v/>
      </c>
      <c r="M5" s="129" t="str">
        <f>IF(COUNTIF(足元帳!AT5,"*店頭本指名*"),"店頭本指名","")</f>
        <v/>
      </c>
      <c r="N5" s="125" t="str">
        <f>IF(足元帳!U5="","",足元帳!U5)</f>
        <v/>
      </c>
      <c r="O5" s="125" t="str">
        <f>IF(足元帳!V5="","",足元帳!V5)</f>
        <v/>
      </c>
      <c r="P5" s="125" t="str">
        <f>IF(足元帳!W5="","",足元帳!W5)</f>
        <v/>
      </c>
      <c r="Q5" s="125" t="str">
        <f>IF(足元帳!X5="","",足元帳!X5)</f>
        <v/>
      </c>
      <c r="R5" s="125" t="str">
        <f>IF(足元帳!Y5="","",足元帳!Y5)</f>
        <v/>
      </c>
      <c r="S5" s="125" t="str">
        <f>IF(足元帳!Z5="","",足元帳!Z5)</f>
        <v/>
      </c>
      <c r="T5" s="125" t="str">
        <f>IF(足元帳!AT5="","",足元帳!AT5)</f>
        <v/>
      </c>
      <c r="U5" s="125" t="str">
        <f>IF(足元帳!AH5="●",足元帳!$AH$1&amp;足元帳!AW5,"")</f>
        <v/>
      </c>
      <c r="V5" s="125" t="str">
        <f>IF(足元帳!AI5="●",足元帳!$AI$1&amp;足元帳!AW5,"")</f>
        <v/>
      </c>
      <c r="W5" s="125" t="str">
        <f>IF(足元帳!AX5="","",足元帳!AX5)</f>
        <v/>
      </c>
      <c r="X5" s="125">
        <f>足元帳!BJ5</f>
        <v>0</v>
      </c>
      <c r="Y5" s="304" t="str">
        <f>"遅刻"&amp;AA5&amp;"名"</f>
        <v>遅刻0名</v>
      </c>
      <c r="Z5" s="305"/>
      <c r="AA5" s="307">
        <v>0</v>
      </c>
      <c r="AB5" s="305"/>
      <c r="AC5" s="309"/>
      <c r="AD5" s="243"/>
      <c r="AE5" s="244"/>
      <c r="AH5" s="642"/>
      <c r="AI5" s="135">
        <v>7</v>
      </c>
      <c r="AJ5" s="135">
        <f t="shared" si="1"/>
        <v>0</v>
      </c>
      <c r="AK5" s="135">
        <f t="shared" si="1"/>
        <v>0</v>
      </c>
      <c r="AL5" s="135">
        <f t="shared" si="1"/>
        <v>0</v>
      </c>
      <c r="AM5" s="135">
        <f t="shared" si="1"/>
        <v>0</v>
      </c>
      <c r="AN5" s="135">
        <f t="shared" si="1"/>
        <v>0</v>
      </c>
      <c r="AO5" s="174" t="s">
        <v>218</v>
      </c>
      <c r="AP5" s="174" t="s">
        <v>218</v>
      </c>
      <c r="AR5" s="165" t="s">
        <v>220</v>
      </c>
      <c r="AS5" s="139"/>
      <c r="AT5" s="139"/>
      <c r="AU5" s="139"/>
      <c r="AV5" s="139"/>
      <c r="AW5" s="139"/>
      <c r="AX5" s="139"/>
      <c r="AY5" s="141"/>
      <c r="AZ5" s="141"/>
      <c r="BA5" s="141"/>
      <c r="BB5" s="141"/>
      <c r="BC5" s="141"/>
      <c r="BD5" s="141"/>
      <c r="BE5" s="164"/>
    </row>
    <row r="6" spans="1:57" ht="13.15" customHeight="1">
      <c r="A6" s="126">
        <v>5</v>
      </c>
      <c r="B6" s="127" t="str">
        <f>IF(足元帳!K6="","",精算表!$W$1)</f>
        <v/>
      </c>
      <c r="C6" s="128" t="str">
        <f>IF(足元帳!K6="","",IF(足元帳!AY6=2,"R","N"))</f>
        <v/>
      </c>
      <c r="D6" s="128" t="str">
        <f>IF(足元帳!K6="","",IF(足元帳!AZ6=1,"姫",IF(足元帳!AZ6=2,"本指名",IF(足元帳!AZ6=3,"NET",IF(足元帳!AZ6=4,"写真","")))))</f>
        <v/>
      </c>
      <c r="E6" s="128" t="str">
        <f>IF(足元帳!K6="","",足元帳!K6)</f>
        <v/>
      </c>
      <c r="F6" s="128" t="str">
        <f>IF(足元帳!K6="","",IF(足元帳!BB6=1,45,IF(足元帳!BB6=2,60,IF(足元帳!BB6=3,75,IF(足元帳!BB6=4,90,IF(足元帳!BB6=5,120,IF(足元帳!BB6=6,150,IF(足元帳!BB6=7,180,""))))))))</f>
        <v/>
      </c>
      <c r="G6" s="128" t="str">
        <f>IF(足元帳!K6="","",足元帳!A6)</f>
        <v/>
      </c>
      <c r="H6" s="125" t="str">
        <f>IF(足元帳!AP6="","",$H$1)</f>
        <v/>
      </c>
      <c r="I6" s="125" t="str">
        <f>IF(足元帳!AQ6="","",$I$1)</f>
        <v/>
      </c>
      <c r="J6" s="125" t="str">
        <f>IF(足元帳!AR6="","",$J$1)</f>
        <v/>
      </c>
      <c r="K6" s="125" t="str">
        <f>IF(足元帳!AS6="","",$K$1)</f>
        <v/>
      </c>
      <c r="L6" s="129" t="str">
        <f>IF(COUNTIF(足元帳!AT6,"*複合*"),"複合","")</f>
        <v/>
      </c>
      <c r="M6" s="129" t="str">
        <f>IF(COUNTIF(足元帳!AT6,"*店頭本指名*"),"店頭本指名","")</f>
        <v/>
      </c>
      <c r="N6" s="125" t="str">
        <f>IF(足元帳!U6="","",足元帳!U6)</f>
        <v/>
      </c>
      <c r="O6" s="125" t="str">
        <f>IF(足元帳!V6="","",足元帳!V6)</f>
        <v/>
      </c>
      <c r="P6" s="125" t="str">
        <f>IF(足元帳!W6="","",足元帳!W6)</f>
        <v/>
      </c>
      <c r="Q6" s="125" t="str">
        <f>IF(足元帳!X6="","",足元帳!X6)</f>
        <v/>
      </c>
      <c r="R6" s="125" t="str">
        <f>IF(足元帳!Y6="","",足元帳!Y6)</f>
        <v/>
      </c>
      <c r="S6" s="125" t="str">
        <f>IF(足元帳!Z6="","",足元帳!Z6)</f>
        <v/>
      </c>
      <c r="T6" s="125" t="str">
        <f>IF(足元帳!AT6="","",足元帳!AT6)</f>
        <v/>
      </c>
      <c r="U6" s="125" t="str">
        <f>IF(足元帳!AH6="●",足元帳!$AH$1&amp;足元帳!AW6,"")</f>
        <v/>
      </c>
      <c r="V6" s="125" t="str">
        <f>IF(足元帳!AI6="●",足元帳!$AI$1&amp;足元帳!AW6,"")</f>
        <v/>
      </c>
      <c r="W6" s="125" t="str">
        <f>IF(足元帳!AX6="","",足元帳!AX6)</f>
        <v/>
      </c>
      <c r="X6" s="125">
        <f>足元帳!BJ6</f>
        <v>0</v>
      </c>
      <c r="Y6" s="304" t="str">
        <f>"早退"&amp;AA6&amp;"名"</f>
        <v>早退0名</v>
      </c>
      <c r="Z6" s="305"/>
      <c r="AA6" s="307">
        <v>0</v>
      </c>
      <c r="AB6" s="305"/>
      <c r="AC6" s="309"/>
      <c r="AD6" s="243"/>
      <c r="AE6" s="244"/>
      <c r="AR6" s="165" t="s">
        <v>221</v>
      </c>
      <c r="AS6" s="139"/>
      <c r="AT6" s="139"/>
      <c r="AU6" s="139"/>
      <c r="AV6" s="139"/>
      <c r="AW6" s="139"/>
      <c r="AX6" s="139"/>
      <c r="AY6" s="141"/>
      <c r="AZ6" s="141"/>
      <c r="BA6" s="141"/>
      <c r="BB6" s="141"/>
      <c r="BC6" s="141"/>
      <c r="BD6" s="141"/>
      <c r="BE6" s="164"/>
    </row>
    <row r="7" spans="1:57" ht="13.15" customHeight="1">
      <c r="A7" s="126">
        <v>6</v>
      </c>
      <c r="B7" s="127" t="str">
        <f>IF(足元帳!K7="","",精算表!$W$1)</f>
        <v/>
      </c>
      <c r="C7" s="128" t="str">
        <f>IF(足元帳!K7="","",IF(足元帳!AY7=2,"R","N"))</f>
        <v/>
      </c>
      <c r="D7" s="128" t="str">
        <f>IF(足元帳!K7="","",IF(足元帳!AZ7=1,"姫",IF(足元帳!AZ7=2,"本指名",IF(足元帳!AZ7=3,"NET",IF(足元帳!AZ7=4,"写真","")))))</f>
        <v/>
      </c>
      <c r="E7" s="128" t="str">
        <f>IF(足元帳!K7="","",足元帳!K7)</f>
        <v/>
      </c>
      <c r="F7" s="128" t="str">
        <f>IF(足元帳!K7="","",IF(足元帳!BB7=1,45,IF(足元帳!BB7=2,60,IF(足元帳!BB7=3,75,IF(足元帳!BB7=4,90,IF(足元帳!BB7=5,120,IF(足元帳!BB7=6,150,IF(足元帳!BB7=7,180,""))))))))</f>
        <v/>
      </c>
      <c r="G7" s="128" t="str">
        <f>IF(足元帳!K7="","",足元帳!A7)</f>
        <v/>
      </c>
      <c r="H7" s="125" t="str">
        <f>IF(足元帳!AP7="","",$H$1)</f>
        <v/>
      </c>
      <c r="I7" s="125" t="str">
        <f>IF(足元帳!AQ7="","",$I$1)</f>
        <v/>
      </c>
      <c r="J7" s="125" t="str">
        <f>IF(足元帳!AR7="","",$J$1)</f>
        <v/>
      </c>
      <c r="K7" s="125" t="str">
        <f>IF(足元帳!AS7="","",$K$1)</f>
        <v/>
      </c>
      <c r="L7" s="129" t="str">
        <f>IF(COUNTIF(足元帳!AT7,"*複合*"),"複合","")</f>
        <v/>
      </c>
      <c r="M7" s="129" t="str">
        <f>IF(COUNTIF(足元帳!AT7,"*店頭本指名*"),"店頭本指名","")</f>
        <v/>
      </c>
      <c r="N7" s="125" t="str">
        <f>IF(足元帳!U7="","",足元帳!U7)</f>
        <v/>
      </c>
      <c r="O7" s="125" t="str">
        <f>IF(足元帳!V7="","",足元帳!V7)</f>
        <v/>
      </c>
      <c r="P7" s="125" t="str">
        <f>IF(足元帳!W7="","",足元帳!W7)</f>
        <v/>
      </c>
      <c r="Q7" s="125" t="str">
        <f>IF(足元帳!X7="","",足元帳!X7)</f>
        <v/>
      </c>
      <c r="R7" s="125" t="str">
        <f>IF(足元帳!Y7="","",足元帳!Y7)</f>
        <v/>
      </c>
      <c r="S7" s="125" t="str">
        <f>IF(足元帳!Z7="","",足元帳!Z7)</f>
        <v/>
      </c>
      <c r="T7" s="125" t="str">
        <f>IF(足元帳!AT7="","",足元帳!AT7)</f>
        <v/>
      </c>
      <c r="U7" s="125" t="str">
        <f>IF(足元帳!AH7="●",足元帳!$AH$1&amp;足元帳!AW7,"")</f>
        <v/>
      </c>
      <c r="V7" s="125" t="str">
        <f>IF(足元帳!AI7="●",足元帳!$AI$1&amp;足元帳!AW7,"")</f>
        <v/>
      </c>
      <c r="W7" s="125" t="str">
        <f>IF(足元帳!AX7="","",足元帳!AX7)</f>
        <v/>
      </c>
      <c r="X7" s="125">
        <f>足元帳!BJ7</f>
        <v>0</v>
      </c>
      <c r="Y7" s="304" t="str">
        <f>"追加"&amp;AA7&amp;"名"</f>
        <v>追加0名</v>
      </c>
      <c r="Z7" s="305"/>
      <c r="AA7" s="307">
        <v>0</v>
      </c>
      <c r="AB7" s="305"/>
      <c r="AC7" s="309"/>
      <c r="AD7" s="243"/>
      <c r="AE7" s="244"/>
      <c r="AH7" s="135"/>
      <c r="AI7" s="135" t="s">
        <v>222</v>
      </c>
      <c r="AJ7" s="135" t="s">
        <v>223</v>
      </c>
      <c r="AR7" s="165" t="s">
        <v>224</v>
      </c>
      <c r="AS7" s="139"/>
      <c r="AT7" s="139"/>
      <c r="AU7" s="139"/>
      <c r="AV7" s="139"/>
      <c r="AW7" s="139"/>
      <c r="AX7" s="139"/>
      <c r="AY7" s="141"/>
      <c r="AZ7" s="141"/>
      <c r="BA7" s="141"/>
      <c r="BB7" s="141"/>
      <c r="BC7" s="141"/>
      <c r="BD7" s="141"/>
      <c r="BE7" s="164"/>
    </row>
    <row r="8" spans="1:57" ht="13.15" customHeight="1">
      <c r="A8" s="126">
        <v>7</v>
      </c>
      <c r="B8" s="127" t="str">
        <f>IF(足元帳!K8="","",精算表!$W$1)</f>
        <v/>
      </c>
      <c r="C8" s="128" t="str">
        <f>IF(足元帳!K8="","",IF(足元帳!AY8=2,"R","N"))</f>
        <v/>
      </c>
      <c r="D8" s="128" t="str">
        <f>IF(足元帳!K8="","",IF(足元帳!AZ8=1,"姫",IF(足元帳!AZ8=2,"本指名",IF(足元帳!AZ8=3,"NET",IF(足元帳!AZ8=4,"写真","")))))</f>
        <v/>
      </c>
      <c r="E8" s="128" t="str">
        <f>IF(足元帳!K8="","",足元帳!K8)</f>
        <v/>
      </c>
      <c r="F8" s="128" t="str">
        <f>IF(足元帳!K8="","",IF(足元帳!BB8=1,45,IF(足元帳!BB8=2,60,IF(足元帳!BB8=3,75,IF(足元帳!BB8=4,90,IF(足元帳!BB8=5,120,IF(足元帳!BB8=6,150,IF(足元帳!BB8=7,180,""))))))))</f>
        <v/>
      </c>
      <c r="G8" s="128" t="str">
        <f>IF(足元帳!K8="","",足元帳!A8)</f>
        <v/>
      </c>
      <c r="H8" s="125" t="str">
        <f>IF(足元帳!AP8="","",$H$1)</f>
        <v/>
      </c>
      <c r="I8" s="125" t="str">
        <f>IF(足元帳!AQ8="","",$I$1)</f>
        <v/>
      </c>
      <c r="J8" s="125" t="str">
        <f>IF(足元帳!AR8="","",$J$1)</f>
        <v/>
      </c>
      <c r="K8" s="125" t="str">
        <f>IF(足元帳!AS8="","",$K$1)</f>
        <v/>
      </c>
      <c r="L8" s="129" t="str">
        <f>IF(COUNTIF(足元帳!AT8,"*複合*"),"複合","")</f>
        <v/>
      </c>
      <c r="M8" s="129" t="str">
        <f>IF(COUNTIF(足元帳!AT8,"*店頭本指名*"),"店頭本指名","")</f>
        <v/>
      </c>
      <c r="N8" s="125" t="str">
        <f>IF(足元帳!U8="","",足元帳!U8)</f>
        <v/>
      </c>
      <c r="O8" s="125" t="str">
        <f>IF(足元帳!V8="","",足元帳!V8)</f>
        <v/>
      </c>
      <c r="P8" s="125" t="str">
        <f>IF(足元帳!W8="","",足元帳!W8)</f>
        <v/>
      </c>
      <c r="Q8" s="125" t="str">
        <f>IF(足元帳!X8="","",足元帳!X8)</f>
        <v/>
      </c>
      <c r="R8" s="125" t="str">
        <f>IF(足元帳!Y8="","",足元帳!Y8)</f>
        <v/>
      </c>
      <c r="S8" s="125" t="str">
        <f>IF(足元帳!Z8="","",足元帳!Z8)</f>
        <v/>
      </c>
      <c r="T8" s="125" t="str">
        <f>IF(足元帳!AT8="","",足元帳!AT8)</f>
        <v/>
      </c>
      <c r="U8" s="125" t="str">
        <f>IF(足元帳!AH8="●",足元帳!$AH$1&amp;足元帳!AW8,"")</f>
        <v/>
      </c>
      <c r="V8" s="125" t="str">
        <f>IF(足元帳!AI8="●",足元帳!$AI$1&amp;足元帳!AW8,"")</f>
        <v/>
      </c>
      <c r="W8" s="125" t="str">
        <f>IF(足元帳!AX8="","",足元帳!AX8)</f>
        <v/>
      </c>
      <c r="X8" s="125">
        <f>足元帳!BJ8</f>
        <v>0</v>
      </c>
      <c r="Y8" s="304" t="str">
        <f>"実出勤人数"&amp;AA3-AA4+AA7&amp;"名"</f>
        <v>実出勤人数0名</v>
      </c>
      <c r="Z8" s="305"/>
      <c r="AA8" s="306"/>
      <c r="AB8" s="305"/>
      <c r="AC8" s="309"/>
      <c r="AD8" s="243"/>
      <c r="AE8" s="244"/>
      <c r="AH8" s="135" t="s">
        <v>225</v>
      </c>
      <c r="AI8" s="135">
        <f>COUNTIFS($G$2:$G$258,"&lt;8")-AJ8</f>
        <v>0</v>
      </c>
      <c r="AJ8" s="135">
        <f>COUNTIFS($G$2:$G$258,"&lt;8",$D2:$D258,"写真")</f>
        <v>0</v>
      </c>
      <c r="AR8" s="163"/>
      <c r="AS8" s="139"/>
      <c r="AT8" s="139"/>
      <c r="AU8" s="139"/>
      <c r="AV8" s="139"/>
      <c r="AW8" s="139"/>
      <c r="AX8" s="139"/>
      <c r="AY8" s="141"/>
      <c r="AZ8" s="141"/>
      <c r="BA8" s="141"/>
      <c r="BB8" s="141"/>
      <c r="BC8" s="141"/>
      <c r="BD8" s="141"/>
      <c r="BE8" s="164"/>
    </row>
    <row r="9" spans="1:57" ht="13.15" customHeight="1">
      <c r="A9" s="126">
        <v>8</v>
      </c>
      <c r="B9" s="127" t="str">
        <f>IF(足元帳!K9="","",精算表!$W$1)</f>
        <v/>
      </c>
      <c r="C9" s="128" t="str">
        <f>IF(足元帳!K9="","",IF(足元帳!AY9=2,"R","N"))</f>
        <v/>
      </c>
      <c r="D9" s="128" t="str">
        <f>IF(足元帳!K9="","",IF(足元帳!AZ9=1,"姫",IF(足元帳!AZ9=2,"本指名",IF(足元帳!AZ9=3,"NET",IF(足元帳!AZ9=4,"写真","")))))</f>
        <v/>
      </c>
      <c r="E9" s="128" t="str">
        <f>IF(足元帳!K9="","",足元帳!K9)</f>
        <v/>
      </c>
      <c r="F9" s="128" t="str">
        <f>IF(足元帳!K9="","",IF(足元帳!BB9=1,45,IF(足元帳!BB9=2,60,IF(足元帳!BB9=3,75,IF(足元帳!BB9=4,90,IF(足元帳!BB9=5,120,IF(足元帳!BB9=6,150,IF(足元帳!BB9=7,180,""))))))))</f>
        <v/>
      </c>
      <c r="G9" s="128" t="str">
        <f>IF(足元帳!K9="","",足元帳!A9)</f>
        <v/>
      </c>
      <c r="H9" s="125" t="str">
        <f>IF(足元帳!AP9="","",$H$1)</f>
        <v/>
      </c>
      <c r="I9" s="125" t="str">
        <f>IF(足元帳!AQ9="","",$I$1)</f>
        <v/>
      </c>
      <c r="J9" s="125" t="str">
        <f>IF(足元帳!AR9="","",$J$1)</f>
        <v/>
      </c>
      <c r="K9" s="125" t="str">
        <f>IF(足元帳!AS9="","",$K$1)</f>
        <v/>
      </c>
      <c r="L9" s="129" t="str">
        <f>IF(COUNTIF(足元帳!AT9,"*複合*"),"複合","")</f>
        <v/>
      </c>
      <c r="M9" s="129" t="str">
        <f>IF(COUNTIF(足元帳!AT9,"*店頭本指名*"),"店頭本指名","")</f>
        <v/>
      </c>
      <c r="N9" s="125" t="str">
        <f>IF(足元帳!U9="","",足元帳!U9)</f>
        <v/>
      </c>
      <c r="O9" s="125" t="str">
        <f>IF(足元帳!V9="","",足元帳!V9)</f>
        <v/>
      </c>
      <c r="P9" s="125" t="str">
        <f>IF(足元帳!W9="","",足元帳!W9)</f>
        <v/>
      </c>
      <c r="Q9" s="125" t="str">
        <f>IF(足元帳!X9="","",足元帳!X9)</f>
        <v/>
      </c>
      <c r="R9" s="125" t="str">
        <f>IF(足元帳!Y9="","",足元帳!Y9)</f>
        <v/>
      </c>
      <c r="S9" s="125" t="str">
        <f>IF(足元帳!Z9="","",足元帳!Z9)</f>
        <v/>
      </c>
      <c r="T9" s="125" t="str">
        <f>IF(足元帳!AT9="","",足元帳!AT9)</f>
        <v/>
      </c>
      <c r="U9" s="125" t="str">
        <f>IF(足元帳!AH9="●",足元帳!$AH$1&amp;足元帳!AW9,"")</f>
        <v/>
      </c>
      <c r="V9" s="125" t="str">
        <f>IF(足元帳!AI9="●",足元帳!$AI$1&amp;足元帳!AW9,"")</f>
        <v/>
      </c>
      <c r="W9" s="125" t="str">
        <f>IF(足元帳!AX9="","",足元帳!AX9)</f>
        <v/>
      </c>
      <c r="X9" s="125">
        <f>足元帳!BJ9</f>
        <v>0</v>
      </c>
      <c r="Y9" s="310"/>
      <c r="Z9" s="306"/>
      <c r="AA9" s="306"/>
      <c r="AB9" s="305"/>
      <c r="AC9" s="309"/>
      <c r="AD9" s="243"/>
      <c r="AE9" s="244"/>
      <c r="AR9" s="166" t="s">
        <v>226</v>
      </c>
      <c r="AS9" s="139" t="s">
        <v>227</v>
      </c>
      <c r="AT9" s="139" t="str">
        <f>AJ2&amp;"/"</f>
        <v>0/</v>
      </c>
      <c r="AU9" s="139" t="str">
        <f t="shared" ref="AU9:AW9" si="2">AK2&amp;"/"</f>
        <v>0/</v>
      </c>
      <c r="AV9" s="139" t="str">
        <f t="shared" si="2"/>
        <v>0/</v>
      </c>
      <c r="AW9" s="139" t="str">
        <f t="shared" si="2"/>
        <v>0/</v>
      </c>
      <c r="AX9" s="139">
        <f>AN2</f>
        <v>0</v>
      </c>
      <c r="AY9" s="141" t="s">
        <v>228</v>
      </c>
      <c r="AZ9" s="141" t="str">
        <f>AJ4&amp;"/"</f>
        <v>0/</v>
      </c>
      <c r="BA9" s="141" t="str">
        <f t="shared" ref="BA9:BC9" si="3">AK4&amp;"/"</f>
        <v>0/</v>
      </c>
      <c r="BB9" s="141" t="str">
        <f t="shared" si="3"/>
        <v>0/</v>
      </c>
      <c r="BC9" s="141" t="str">
        <f t="shared" si="3"/>
        <v>0/</v>
      </c>
      <c r="BD9" s="141">
        <f>AN4</f>
        <v>0</v>
      </c>
      <c r="BE9" s="164" t="s">
        <v>229</v>
      </c>
    </row>
    <row r="10" spans="1:57" ht="13.15" customHeight="1">
      <c r="A10" s="126">
        <v>9</v>
      </c>
      <c r="B10" s="127" t="str">
        <f>IF(足元帳!K10="","",精算表!$W$1)</f>
        <v/>
      </c>
      <c r="C10" s="128" t="str">
        <f>IF(足元帳!K10="","",IF(足元帳!AY10=2,"R","N"))</f>
        <v/>
      </c>
      <c r="D10" s="128" t="str">
        <f>IF(足元帳!K10="","",IF(足元帳!AZ10=1,"姫",IF(足元帳!AZ10=2,"本指名",IF(足元帳!AZ10=3,"NET",IF(足元帳!AZ10=4,"写真","")))))</f>
        <v/>
      </c>
      <c r="E10" s="128" t="str">
        <f>IF(足元帳!K10="","",足元帳!K10)</f>
        <v/>
      </c>
      <c r="F10" s="128" t="str">
        <f>IF(足元帳!K10="","",IF(足元帳!BB10=1,45,IF(足元帳!BB10=2,60,IF(足元帳!BB10=3,75,IF(足元帳!BB10=4,90,IF(足元帳!BB10=5,120,IF(足元帳!BB10=6,150,IF(足元帳!BB10=7,180,""))))))))</f>
        <v/>
      </c>
      <c r="G10" s="128" t="str">
        <f>IF(足元帳!K10="","",足元帳!A10)</f>
        <v/>
      </c>
      <c r="H10" s="125" t="str">
        <f>IF(足元帳!AP10="","",$H$1)</f>
        <v/>
      </c>
      <c r="I10" s="125" t="str">
        <f>IF(足元帳!AQ10="","",$I$1)</f>
        <v/>
      </c>
      <c r="J10" s="125" t="str">
        <f>IF(足元帳!AR10="","",$J$1)</f>
        <v/>
      </c>
      <c r="K10" s="125" t="str">
        <f>IF(足元帳!AS10="","",$K$1)</f>
        <v/>
      </c>
      <c r="L10" s="129" t="str">
        <f>IF(COUNTIF(足元帳!AT10,"*複合*"),"複合","")</f>
        <v/>
      </c>
      <c r="M10" s="129" t="str">
        <f>IF(COUNTIF(足元帳!AT10,"*店頭本指名*"),"店頭本指名","")</f>
        <v/>
      </c>
      <c r="N10" s="125" t="str">
        <f>IF(足元帳!U10="","",足元帳!U10)</f>
        <v/>
      </c>
      <c r="O10" s="125" t="str">
        <f>IF(足元帳!V10="","",足元帳!V10)</f>
        <v/>
      </c>
      <c r="P10" s="125" t="str">
        <f>IF(足元帳!W10="","",足元帳!W10)</f>
        <v/>
      </c>
      <c r="Q10" s="125" t="str">
        <f>IF(足元帳!X10="","",足元帳!X10)</f>
        <v/>
      </c>
      <c r="R10" s="125" t="str">
        <f>IF(足元帳!Y10="","",足元帳!Y10)</f>
        <v/>
      </c>
      <c r="S10" s="125" t="str">
        <f>IF(足元帳!Z10="","",足元帳!Z10)</f>
        <v/>
      </c>
      <c r="T10" s="125" t="str">
        <f>IF(足元帳!AT10="","",足元帳!AT10)</f>
        <v/>
      </c>
      <c r="U10" s="125" t="str">
        <f>IF(足元帳!AH10="●",足元帳!$AH$1&amp;足元帳!AW10,"")</f>
        <v/>
      </c>
      <c r="V10" s="125" t="str">
        <f>IF(足元帳!AI10="●",足元帳!$AI$1&amp;足元帳!AW10,"")</f>
        <v/>
      </c>
      <c r="W10" s="125" t="str">
        <f>IF(足元帳!AX10="","",足元帳!AX10)</f>
        <v/>
      </c>
      <c r="X10" s="125">
        <f>足元帳!BJ10</f>
        <v>0</v>
      </c>
      <c r="Y10" s="304" t="str">
        <f>"オープン9時"&amp;AA10&amp;"名"</f>
        <v>オープン9時0名</v>
      </c>
      <c r="Z10" s="305"/>
      <c r="AA10" s="307">
        <v>0</v>
      </c>
      <c r="AB10" s="305"/>
      <c r="AC10" s="309"/>
      <c r="AD10" s="243"/>
      <c r="AE10" s="244"/>
      <c r="AR10" s="166" t="s">
        <v>230</v>
      </c>
      <c r="AS10" s="139">
        <f>AO2</f>
        <v>0</v>
      </c>
      <c r="AT10" s="139" t="s">
        <v>231</v>
      </c>
      <c r="AU10" s="142" t="s">
        <v>230</v>
      </c>
      <c r="AV10" s="143">
        <f>AP2</f>
        <v>0</v>
      </c>
      <c r="AW10" s="139" t="s">
        <v>232</v>
      </c>
      <c r="AX10" s="139"/>
      <c r="AY10" s="141"/>
      <c r="AZ10" s="141"/>
      <c r="BA10" s="141"/>
      <c r="BB10" s="141"/>
      <c r="BC10" s="141"/>
      <c r="BD10" s="141"/>
      <c r="BE10" s="164"/>
    </row>
    <row r="11" spans="1:57" ht="13.15" customHeight="1">
      <c r="A11" s="126">
        <v>10</v>
      </c>
      <c r="B11" s="127" t="str">
        <f>IF(足元帳!K11="","",精算表!$W$1)</f>
        <v/>
      </c>
      <c r="C11" s="128" t="str">
        <f>IF(足元帳!K11="","",IF(足元帳!AY11=2,"R","N"))</f>
        <v/>
      </c>
      <c r="D11" s="128" t="str">
        <f>IF(足元帳!K11="","",IF(足元帳!AZ11=1,"姫",IF(足元帳!AZ11=2,"本指名",IF(足元帳!AZ11=3,"NET",IF(足元帳!AZ11=4,"写真","")))))</f>
        <v/>
      </c>
      <c r="E11" s="128" t="str">
        <f>IF(足元帳!K11="","",足元帳!K11)</f>
        <v/>
      </c>
      <c r="F11" s="128" t="str">
        <f>IF(足元帳!K11="","",IF(足元帳!BB11=1,45,IF(足元帳!BB11=2,60,IF(足元帳!BB11=3,75,IF(足元帳!BB11=4,90,IF(足元帳!BB11=5,120,IF(足元帳!BB11=6,150,IF(足元帳!BB11=7,180,""))))))))</f>
        <v/>
      </c>
      <c r="G11" s="128" t="str">
        <f>IF(足元帳!K11="","",足元帳!A11)</f>
        <v/>
      </c>
      <c r="H11" s="125" t="str">
        <f>IF(足元帳!AP11="","",$H$1)</f>
        <v/>
      </c>
      <c r="I11" s="125" t="str">
        <f>IF(足元帳!AQ11="","",$I$1)</f>
        <v/>
      </c>
      <c r="J11" s="125" t="str">
        <f>IF(足元帳!AR11="","",$J$1)</f>
        <v/>
      </c>
      <c r="K11" s="125" t="str">
        <f>IF(足元帳!AS11="","",$K$1)</f>
        <v/>
      </c>
      <c r="L11" s="129" t="str">
        <f>IF(COUNTIF(足元帳!AT11,"*複合*"),"複合","")</f>
        <v/>
      </c>
      <c r="M11" s="129" t="str">
        <f>IF(COUNTIF(足元帳!AT11,"*店頭本指名*"),"店頭本指名","")</f>
        <v/>
      </c>
      <c r="N11" s="125" t="str">
        <f>IF(足元帳!U11="","",足元帳!U11)</f>
        <v/>
      </c>
      <c r="O11" s="125" t="str">
        <f>IF(足元帳!V11="","",足元帳!V11)</f>
        <v/>
      </c>
      <c r="P11" s="125" t="str">
        <f>IF(足元帳!W11="","",足元帳!W11)</f>
        <v/>
      </c>
      <c r="Q11" s="125" t="str">
        <f>IF(足元帳!X11="","",足元帳!X11)</f>
        <v/>
      </c>
      <c r="R11" s="125" t="str">
        <f>IF(足元帳!Y11="","",足元帳!Y11)</f>
        <v/>
      </c>
      <c r="S11" s="125" t="str">
        <f>IF(足元帳!Z11="","",足元帳!Z11)</f>
        <v/>
      </c>
      <c r="T11" s="125" t="str">
        <f>IF(足元帳!AT11="","",足元帳!AT11)</f>
        <v/>
      </c>
      <c r="U11" s="125" t="str">
        <f>IF(足元帳!AH11="●",足元帳!$AH$1&amp;足元帳!AW11,"")</f>
        <v/>
      </c>
      <c r="V11" s="125" t="str">
        <f>IF(足元帳!AI11="●",足元帳!$AI$1&amp;足元帳!AW11,"")</f>
        <v/>
      </c>
      <c r="W11" s="125" t="str">
        <f>IF(足元帳!AX11="","",足元帳!AX11)</f>
        <v/>
      </c>
      <c r="X11" s="125">
        <f>足元帳!BJ11</f>
        <v>0</v>
      </c>
      <c r="Y11" s="304" t="str">
        <f>"当日欠勤"&amp;AA11&amp;"名"</f>
        <v>当日欠勤0名</v>
      </c>
      <c r="Z11" s="305"/>
      <c r="AA11" s="307">
        <v>0</v>
      </c>
      <c r="AB11" s="305"/>
      <c r="AC11" s="309"/>
      <c r="AD11" s="243"/>
      <c r="AE11" s="244"/>
      <c r="AR11" s="166" t="s">
        <v>233</v>
      </c>
      <c r="AS11" s="139" t="s">
        <v>227</v>
      </c>
      <c r="AT11" s="139" t="str">
        <f>AJ3&amp;"/"</f>
        <v>0/</v>
      </c>
      <c r="AU11" s="139" t="str">
        <f>AK3&amp;"/"</f>
        <v>0/</v>
      </c>
      <c r="AV11" s="139" t="str">
        <f>AL3&amp;"/"</f>
        <v>0/</v>
      </c>
      <c r="AW11" s="139" t="str">
        <f>AM3&amp;"/"</f>
        <v>0/</v>
      </c>
      <c r="AX11" s="139">
        <f>AN3</f>
        <v>0</v>
      </c>
      <c r="AY11" s="141" t="s">
        <v>228</v>
      </c>
      <c r="AZ11" s="141" t="str">
        <f>AJ5&amp;"/"</f>
        <v>0/</v>
      </c>
      <c r="BA11" s="141" t="str">
        <f t="shared" ref="BA11:BC11" si="4">AK5&amp;"/"</f>
        <v>0/</v>
      </c>
      <c r="BB11" s="141" t="str">
        <f t="shared" si="4"/>
        <v>0/</v>
      </c>
      <c r="BC11" s="141" t="str">
        <f t="shared" si="4"/>
        <v>0/</v>
      </c>
      <c r="BD11" s="141">
        <f>AN5</f>
        <v>0</v>
      </c>
      <c r="BE11" s="164" t="s">
        <v>229</v>
      </c>
    </row>
    <row r="12" spans="1:57" ht="13.15" customHeight="1">
      <c r="A12" s="126">
        <v>11</v>
      </c>
      <c r="B12" s="127" t="str">
        <f>IF(足元帳!K12="","",精算表!$W$1)</f>
        <v/>
      </c>
      <c r="C12" s="128" t="str">
        <f>IF(足元帳!K12="","",IF(足元帳!AY12=2,"R","N"))</f>
        <v/>
      </c>
      <c r="D12" s="128" t="str">
        <f>IF(足元帳!K12="","",IF(足元帳!AZ12=1,"姫",IF(足元帳!AZ12=2,"本指名",IF(足元帳!AZ12=3,"NET",IF(足元帳!AZ12=4,"写真","")))))</f>
        <v/>
      </c>
      <c r="E12" s="128" t="str">
        <f>IF(足元帳!K12="","",足元帳!K12)</f>
        <v/>
      </c>
      <c r="F12" s="128" t="str">
        <f>IF(足元帳!K12="","",IF(足元帳!BB12=1,45,IF(足元帳!BB12=2,60,IF(足元帳!BB12=3,75,IF(足元帳!BB12=4,90,IF(足元帳!BB12=5,120,IF(足元帳!BB12=6,150,IF(足元帳!BB12=7,180,""))))))))</f>
        <v/>
      </c>
      <c r="G12" s="128" t="str">
        <f>IF(足元帳!K12="","",足元帳!A12)</f>
        <v/>
      </c>
      <c r="H12" s="125" t="str">
        <f>IF(足元帳!AP12="","",$H$1)</f>
        <v/>
      </c>
      <c r="I12" s="125" t="str">
        <f>IF(足元帳!AQ12="","",$I$1)</f>
        <v/>
      </c>
      <c r="J12" s="125" t="str">
        <f>IF(足元帳!AR12="","",$J$1)</f>
        <v/>
      </c>
      <c r="K12" s="125" t="str">
        <f>IF(足元帳!AS12="","",$K$1)</f>
        <v/>
      </c>
      <c r="L12" s="129" t="str">
        <f>IF(COUNTIF(足元帳!AT12,"*複合*"),"複合","")</f>
        <v/>
      </c>
      <c r="M12" s="129" t="str">
        <f>IF(COUNTIF(足元帳!AT12,"*店頭本指名*"),"店頭本指名","")</f>
        <v/>
      </c>
      <c r="N12" s="125" t="str">
        <f>IF(足元帳!U12="","",足元帳!U12)</f>
        <v/>
      </c>
      <c r="O12" s="125" t="str">
        <f>IF(足元帳!V12="","",足元帳!V12)</f>
        <v/>
      </c>
      <c r="P12" s="125" t="str">
        <f>IF(足元帳!W12="","",足元帳!W12)</f>
        <v/>
      </c>
      <c r="Q12" s="125" t="str">
        <f>IF(足元帳!X12="","",足元帳!X12)</f>
        <v/>
      </c>
      <c r="R12" s="125" t="str">
        <f>IF(足元帳!Y12="","",足元帳!Y12)</f>
        <v/>
      </c>
      <c r="S12" s="125" t="str">
        <f>IF(足元帳!Z12="","",足元帳!Z12)</f>
        <v/>
      </c>
      <c r="T12" s="125" t="str">
        <f>IF(足元帳!AT12="","",足元帳!AT12)</f>
        <v/>
      </c>
      <c r="U12" s="125" t="str">
        <f>IF(足元帳!AH12="●",足元帳!$AH$1&amp;足元帳!AW12,"")</f>
        <v/>
      </c>
      <c r="V12" s="125" t="str">
        <f>IF(足元帳!AI12="●",足元帳!$AI$1&amp;足元帳!AW12,"")</f>
        <v/>
      </c>
      <c r="W12" s="125" t="str">
        <f>IF(足元帳!AX12="","",足元帳!AX12)</f>
        <v/>
      </c>
      <c r="X12" s="125">
        <f>足元帳!BJ12</f>
        <v>0</v>
      </c>
      <c r="Y12" s="304" t="str">
        <f>"遅刻"&amp;AA12&amp;"名"</f>
        <v>遅刻0名</v>
      </c>
      <c r="Z12" s="305"/>
      <c r="AA12" s="307">
        <v>0</v>
      </c>
      <c r="AB12" s="305"/>
      <c r="AC12" s="309"/>
      <c r="AD12" s="243"/>
      <c r="AE12" s="244"/>
      <c r="AR12" s="166" t="s">
        <v>230</v>
      </c>
      <c r="AS12" s="139">
        <f>AO3</f>
        <v>0</v>
      </c>
      <c r="AT12" s="139" t="s">
        <v>231</v>
      </c>
      <c r="AU12" s="142" t="s">
        <v>230</v>
      </c>
      <c r="AV12" s="143">
        <f>AP3</f>
        <v>0</v>
      </c>
      <c r="AW12" s="139" t="s">
        <v>232</v>
      </c>
      <c r="AX12" s="139"/>
      <c r="AY12" s="141"/>
      <c r="AZ12" s="141"/>
      <c r="BA12" s="141"/>
      <c r="BB12" s="141"/>
      <c r="BC12" s="141"/>
      <c r="BD12" s="141"/>
      <c r="BE12" s="164"/>
    </row>
    <row r="13" spans="1:57" ht="13.15" customHeight="1">
      <c r="A13" s="126">
        <v>12</v>
      </c>
      <c r="B13" s="127" t="str">
        <f>IF(足元帳!K13="","",精算表!$W$1)</f>
        <v/>
      </c>
      <c r="C13" s="128" t="str">
        <f>IF(足元帳!K13="","",IF(足元帳!AY13=2,"R","N"))</f>
        <v/>
      </c>
      <c r="D13" s="128" t="str">
        <f>IF(足元帳!K13="","",IF(足元帳!AZ13=1,"姫",IF(足元帳!AZ13=2,"本指名",IF(足元帳!AZ13=3,"NET",IF(足元帳!AZ13=4,"写真","")))))</f>
        <v/>
      </c>
      <c r="E13" s="128" t="str">
        <f>IF(足元帳!K13="","",足元帳!K13)</f>
        <v/>
      </c>
      <c r="F13" s="128" t="str">
        <f>IF(足元帳!K13="","",IF(足元帳!BB13=1,45,IF(足元帳!BB13=2,60,IF(足元帳!BB13=3,75,IF(足元帳!BB13=4,90,IF(足元帳!BB13=5,120,IF(足元帳!BB13=6,150,IF(足元帳!BB13=7,180,""))))))))</f>
        <v/>
      </c>
      <c r="G13" s="128" t="str">
        <f>IF(足元帳!K13="","",足元帳!A13)</f>
        <v/>
      </c>
      <c r="H13" s="125" t="str">
        <f>IF(足元帳!AP13="","",$H$1)</f>
        <v/>
      </c>
      <c r="I13" s="125" t="str">
        <f>IF(足元帳!AQ13="","",$I$1)</f>
        <v/>
      </c>
      <c r="J13" s="125" t="str">
        <f>IF(足元帳!AR13="","",$J$1)</f>
        <v/>
      </c>
      <c r="K13" s="125" t="str">
        <f>IF(足元帳!AS13="","",$K$1)</f>
        <v/>
      </c>
      <c r="L13" s="129" t="str">
        <f>IF(COUNTIF(足元帳!AT13,"*複合*"),"複合","")</f>
        <v/>
      </c>
      <c r="M13" s="129" t="str">
        <f>IF(COUNTIF(足元帳!AT13,"*店頭本指名*"),"店頭本指名","")</f>
        <v/>
      </c>
      <c r="N13" s="125" t="str">
        <f>IF(足元帳!U13="","",足元帳!U13)</f>
        <v/>
      </c>
      <c r="O13" s="125" t="str">
        <f>IF(足元帳!V13="","",足元帳!V13)</f>
        <v/>
      </c>
      <c r="P13" s="125" t="str">
        <f>IF(足元帳!W13="","",足元帳!W13)</f>
        <v/>
      </c>
      <c r="Q13" s="125" t="str">
        <f>IF(足元帳!X13="","",足元帳!X13)</f>
        <v/>
      </c>
      <c r="R13" s="125" t="str">
        <f>IF(足元帳!Y13="","",足元帳!Y13)</f>
        <v/>
      </c>
      <c r="S13" s="125" t="str">
        <f>IF(足元帳!Z13="","",足元帳!Z13)</f>
        <v/>
      </c>
      <c r="T13" s="125" t="str">
        <f>IF(足元帳!AT13="","",足元帳!AT13)</f>
        <v/>
      </c>
      <c r="U13" s="125" t="str">
        <f>IF(足元帳!AH13="●",足元帳!$AH$1&amp;足元帳!AW13,"")</f>
        <v/>
      </c>
      <c r="V13" s="125" t="str">
        <f>IF(足元帳!AI13="●",足元帳!$AI$1&amp;足元帳!AW13,"")</f>
        <v/>
      </c>
      <c r="W13" s="125" t="str">
        <f>IF(足元帳!AX13="","",足元帳!AX13)</f>
        <v/>
      </c>
      <c r="X13" s="125">
        <f>足元帳!BJ13</f>
        <v>0</v>
      </c>
      <c r="Y13" s="304" t="str">
        <f>"早退"&amp;AA13&amp;"名"</f>
        <v>早退0名</v>
      </c>
      <c r="Z13" s="305"/>
      <c r="AA13" s="307">
        <v>0</v>
      </c>
      <c r="AB13" s="305"/>
      <c r="AC13" s="309"/>
      <c r="AD13" s="243"/>
      <c r="AE13" s="244"/>
      <c r="AR13" s="163" t="s">
        <v>234</v>
      </c>
      <c r="AS13" s="167"/>
      <c r="AT13" s="139" t="str">
        <f>AJ3+AJ2&amp;"/"</f>
        <v>0/</v>
      </c>
      <c r="AU13" s="139" t="str">
        <f>AK2+AK3&amp;"/"</f>
        <v>0/</v>
      </c>
      <c r="AV13" s="139" t="str">
        <f>AL2+AL3&amp;"/"</f>
        <v>0/</v>
      </c>
      <c r="AW13" s="139" t="str">
        <f>AM2+AM3&amp;"/"</f>
        <v>0/</v>
      </c>
      <c r="AX13" s="139">
        <f>AN2+AN3</f>
        <v>0</v>
      </c>
      <c r="AY13" s="141" t="s">
        <v>228</v>
      </c>
      <c r="AZ13" s="141" t="str">
        <f>AJ4+AJ5&amp;"/"</f>
        <v>0/</v>
      </c>
      <c r="BA13" s="141" t="str">
        <f>AK4+AK5&amp;"/"</f>
        <v>0/</v>
      </c>
      <c r="BB13" s="141" t="str">
        <f>AL4+AL5&amp;"/"</f>
        <v>0/</v>
      </c>
      <c r="BC13" s="141" t="str">
        <f>AM4+AM5&amp;"/"</f>
        <v>0/</v>
      </c>
      <c r="BD13" s="141">
        <f>AN4+AN5</f>
        <v>0</v>
      </c>
      <c r="BE13" s="164" t="s">
        <v>229</v>
      </c>
    </row>
    <row r="14" spans="1:57" ht="13.15" customHeight="1">
      <c r="A14" s="126">
        <v>13</v>
      </c>
      <c r="B14" s="127" t="str">
        <f>IF(足元帳!K14="","",精算表!$W$1)</f>
        <v/>
      </c>
      <c r="C14" s="128" t="str">
        <f>IF(足元帳!K14="","",IF(足元帳!AY14=2,"R","N"))</f>
        <v/>
      </c>
      <c r="D14" s="128" t="str">
        <f>IF(足元帳!K14="","",IF(足元帳!AZ14=1,"姫",IF(足元帳!AZ14=2,"本指名",IF(足元帳!AZ14=3,"NET",IF(足元帳!AZ14=4,"写真","")))))</f>
        <v/>
      </c>
      <c r="E14" s="128" t="str">
        <f>IF(足元帳!K14="","",足元帳!K14)</f>
        <v/>
      </c>
      <c r="F14" s="128" t="str">
        <f>IF(足元帳!K14="","",IF(足元帳!BB14=1,45,IF(足元帳!BB14=2,60,IF(足元帳!BB14=3,75,IF(足元帳!BB14=4,90,IF(足元帳!BB14=5,120,IF(足元帳!BB14=6,150,IF(足元帳!BB14=7,180,""))))))))</f>
        <v/>
      </c>
      <c r="G14" s="128" t="str">
        <f>IF(足元帳!K14="","",足元帳!A14)</f>
        <v/>
      </c>
      <c r="H14" s="125" t="str">
        <f>IF(足元帳!AP14="","",$H$1)</f>
        <v/>
      </c>
      <c r="I14" s="125" t="str">
        <f>IF(足元帳!AQ14="","",$I$1)</f>
        <v/>
      </c>
      <c r="J14" s="125" t="str">
        <f>IF(足元帳!AR14="","",$J$1)</f>
        <v/>
      </c>
      <c r="K14" s="125" t="str">
        <f>IF(足元帳!AS14="","",$K$1)</f>
        <v/>
      </c>
      <c r="L14" s="129" t="str">
        <f>IF(COUNTIF(足元帳!AT14,"*複合*"),"複合","")</f>
        <v/>
      </c>
      <c r="M14" s="129" t="str">
        <f>IF(COUNTIF(足元帳!AT14,"*店頭本指名*"),"店頭本指名","")</f>
        <v/>
      </c>
      <c r="N14" s="125" t="str">
        <f>IF(足元帳!U14="","",足元帳!U14)</f>
        <v/>
      </c>
      <c r="O14" s="125" t="str">
        <f>IF(足元帳!V14="","",足元帳!V14)</f>
        <v/>
      </c>
      <c r="P14" s="125" t="str">
        <f>IF(足元帳!W14="","",足元帳!W14)</f>
        <v/>
      </c>
      <c r="Q14" s="125" t="str">
        <f>IF(足元帳!X14="","",足元帳!X14)</f>
        <v/>
      </c>
      <c r="R14" s="125" t="str">
        <f>IF(足元帳!Y14="","",足元帳!Y14)</f>
        <v/>
      </c>
      <c r="S14" s="125" t="str">
        <f>IF(足元帳!Z14="","",足元帳!Z14)</f>
        <v/>
      </c>
      <c r="T14" s="125" t="str">
        <f>IF(足元帳!AT14="","",足元帳!AT14)</f>
        <v/>
      </c>
      <c r="U14" s="125" t="str">
        <f>IF(足元帳!AH14="●",足元帳!$AH$1&amp;足元帳!AW14,"")</f>
        <v/>
      </c>
      <c r="V14" s="125" t="str">
        <f>IF(足元帳!AI14="●",足元帳!$AI$1&amp;足元帳!AW14,"")</f>
        <v/>
      </c>
      <c r="W14" s="125" t="str">
        <f>IF(足元帳!AX14="","",足元帳!AX14)</f>
        <v/>
      </c>
      <c r="X14" s="125">
        <f>足元帳!BJ14</f>
        <v>0</v>
      </c>
      <c r="Y14" s="304" t="str">
        <f>"追加"&amp;AA14&amp;"名"</f>
        <v>追加0名</v>
      </c>
      <c r="Z14" s="305"/>
      <c r="AA14" s="307">
        <v>0</v>
      </c>
      <c r="AB14" s="305"/>
      <c r="AC14" s="309"/>
      <c r="AD14" s="243"/>
      <c r="AE14" s="244"/>
      <c r="AR14" s="163"/>
      <c r="AS14" s="139">
        <f>AO2+AO3</f>
        <v>0</v>
      </c>
      <c r="AT14" s="139" t="s">
        <v>231</v>
      </c>
      <c r="AU14" s="139"/>
      <c r="AV14" s="143">
        <f>AP2+AP3</f>
        <v>0</v>
      </c>
      <c r="AW14" s="139" t="s">
        <v>232</v>
      </c>
      <c r="AX14" s="139"/>
      <c r="AY14" s="141"/>
      <c r="AZ14" s="141"/>
      <c r="BA14" s="141"/>
      <c r="BB14" s="141"/>
      <c r="BC14" s="141"/>
      <c r="BD14" s="141"/>
      <c r="BE14" s="164"/>
    </row>
    <row r="15" spans="1:57" ht="13.15" customHeight="1">
      <c r="A15" s="126">
        <v>14</v>
      </c>
      <c r="B15" s="127" t="str">
        <f>IF(足元帳!K15="","",精算表!$W$1)</f>
        <v/>
      </c>
      <c r="C15" s="128" t="str">
        <f>IF(足元帳!K15="","",IF(足元帳!AY15=2,"R","N"))</f>
        <v/>
      </c>
      <c r="D15" s="128" t="str">
        <f>IF(足元帳!K15="","",IF(足元帳!AZ15=1,"姫",IF(足元帳!AZ15=2,"本指名",IF(足元帳!AZ15=3,"NET",IF(足元帳!AZ15=4,"写真","")))))</f>
        <v/>
      </c>
      <c r="E15" s="128" t="str">
        <f>IF(足元帳!K15="","",足元帳!K15)</f>
        <v/>
      </c>
      <c r="F15" s="128" t="str">
        <f>IF(足元帳!K15="","",IF(足元帳!BB15=1,45,IF(足元帳!BB15=2,60,IF(足元帳!BB15=3,75,IF(足元帳!BB15=4,90,IF(足元帳!BB15=5,120,IF(足元帳!BB15=6,150,IF(足元帳!BB15=7,180,""))))))))</f>
        <v/>
      </c>
      <c r="G15" s="128" t="str">
        <f>IF(足元帳!K15="","",足元帳!A15)</f>
        <v/>
      </c>
      <c r="H15" s="125" t="str">
        <f>IF(足元帳!AP15="","",$H$1)</f>
        <v/>
      </c>
      <c r="I15" s="125" t="str">
        <f>IF(足元帳!AQ15="","",$I$1)</f>
        <v/>
      </c>
      <c r="J15" s="125" t="str">
        <f>IF(足元帳!AR15="","",$J$1)</f>
        <v/>
      </c>
      <c r="K15" s="125" t="str">
        <f>IF(足元帳!AS15="","",$K$1)</f>
        <v/>
      </c>
      <c r="L15" s="129" t="str">
        <f>IF(COUNTIF(足元帳!AT15,"*複合*"),"複合","")</f>
        <v/>
      </c>
      <c r="M15" s="129" t="str">
        <f>IF(COUNTIF(足元帳!AT15,"*店頭本指名*"),"店頭本指名","")</f>
        <v/>
      </c>
      <c r="N15" s="125" t="str">
        <f>IF(足元帳!U15="","",足元帳!U15)</f>
        <v/>
      </c>
      <c r="O15" s="125" t="str">
        <f>IF(足元帳!V15="","",足元帳!V15)</f>
        <v/>
      </c>
      <c r="P15" s="125" t="str">
        <f>IF(足元帳!W15="","",足元帳!W15)</f>
        <v/>
      </c>
      <c r="Q15" s="125" t="str">
        <f>IF(足元帳!X15="","",足元帳!X15)</f>
        <v/>
      </c>
      <c r="R15" s="125" t="str">
        <f>IF(足元帳!Y15="","",足元帳!Y15)</f>
        <v/>
      </c>
      <c r="S15" s="125" t="str">
        <f>IF(足元帳!Z15="","",足元帳!Z15)</f>
        <v/>
      </c>
      <c r="T15" s="125" t="str">
        <f>IF(足元帳!AT15="","",足元帳!AT15)</f>
        <v/>
      </c>
      <c r="U15" s="125" t="str">
        <f>IF(足元帳!AH15="●",足元帳!$AH$1&amp;足元帳!AW15,"")</f>
        <v/>
      </c>
      <c r="V15" s="125" t="str">
        <f>IF(足元帳!AI15="●",足元帳!$AI$1&amp;足元帳!AW15,"")</f>
        <v/>
      </c>
      <c r="W15" s="125" t="str">
        <f>IF(足元帳!AX15="","",足元帳!AX15)</f>
        <v/>
      </c>
      <c r="X15" s="125">
        <f>足元帳!BJ15</f>
        <v>0</v>
      </c>
      <c r="Y15" s="304" t="str">
        <f>"実オープン"&amp;AA10-AA11-AA12+AA14&amp;"名"</f>
        <v>実オープン0名</v>
      </c>
      <c r="Z15" s="305"/>
      <c r="AA15" s="306"/>
      <c r="AB15" s="305"/>
      <c r="AC15" s="309"/>
      <c r="AD15" s="243"/>
      <c r="AE15" s="244"/>
      <c r="AR15" s="163" t="s">
        <v>225</v>
      </c>
      <c r="AS15" s="139" t="s">
        <v>222</v>
      </c>
      <c r="AT15" s="139">
        <f>AI8</f>
        <v>0</v>
      </c>
      <c r="AU15" s="139" t="s">
        <v>235</v>
      </c>
      <c r="AV15" s="139" t="s">
        <v>230</v>
      </c>
      <c r="AW15" s="139" t="s">
        <v>223</v>
      </c>
      <c r="AX15" s="139">
        <f>AJ8</f>
        <v>0</v>
      </c>
      <c r="AY15" s="141" t="s">
        <v>235</v>
      </c>
      <c r="AZ15" s="141"/>
      <c r="BA15" s="141"/>
      <c r="BB15" s="141"/>
      <c r="BC15" s="141"/>
      <c r="BD15" s="141"/>
      <c r="BE15" s="164"/>
    </row>
    <row r="16" spans="1:57" ht="13.15" customHeight="1" thickBot="1">
      <c r="A16" s="126">
        <v>15</v>
      </c>
      <c r="B16" s="127" t="str">
        <f>IF(足元帳!K16="","",精算表!$W$1)</f>
        <v/>
      </c>
      <c r="C16" s="128" t="str">
        <f>IF(足元帳!K16="","",IF(足元帳!AY16=2,"R","N"))</f>
        <v/>
      </c>
      <c r="D16" s="128" t="str">
        <f>IF(足元帳!K16="","",IF(足元帳!AZ16=1,"姫",IF(足元帳!AZ16=2,"本指名",IF(足元帳!AZ16=3,"NET",IF(足元帳!AZ16=4,"写真","")))))</f>
        <v/>
      </c>
      <c r="E16" s="128" t="str">
        <f>IF(足元帳!K16="","",足元帳!K16)</f>
        <v/>
      </c>
      <c r="F16" s="128" t="str">
        <f>IF(足元帳!K16="","",IF(足元帳!BB16=1,45,IF(足元帳!BB16=2,60,IF(足元帳!BB16=3,75,IF(足元帳!BB16=4,90,IF(足元帳!BB16=5,120,IF(足元帳!BB16=6,150,IF(足元帳!BB16=7,180,""))))))))</f>
        <v/>
      </c>
      <c r="G16" s="128" t="str">
        <f>IF(足元帳!K16="","",足元帳!A16)</f>
        <v/>
      </c>
      <c r="H16" s="125" t="str">
        <f>IF(足元帳!AP16="","",$H$1)</f>
        <v/>
      </c>
      <c r="I16" s="125" t="str">
        <f>IF(足元帳!AQ16="","",$I$1)</f>
        <v/>
      </c>
      <c r="J16" s="125" t="str">
        <f>IF(足元帳!AR16="","",$J$1)</f>
        <v/>
      </c>
      <c r="K16" s="125" t="str">
        <f>IF(足元帳!AS16="","",$K$1)</f>
        <v/>
      </c>
      <c r="L16" s="129" t="str">
        <f>IF(COUNTIF(足元帳!AT16,"*複合*"),"複合","")</f>
        <v/>
      </c>
      <c r="M16" s="129" t="str">
        <f>IF(COUNTIF(足元帳!AT16,"*店頭本指名*"),"店頭本指名","")</f>
        <v/>
      </c>
      <c r="N16" s="125" t="str">
        <f>IF(足元帳!U16="","",足元帳!U16)</f>
        <v/>
      </c>
      <c r="O16" s="125" t="str">
        <f>IF(足元帳!V16="","",足元帳!V16)</f>
        <v/>
      </c>
      <c r="P16" s="125" t="str">
        <f>IF(足元帳!W16="","",足元帳!W16)</f>
        <v/>
      </c>
      <c r="Q16" s="125" t="str">
        <f>IF(足元帳!X16="","",足元帳!X16)</f>
        <v/>
      </c>
      <c r="R16" s="125" t="str">
        <f>IF(足元帳!Y16="","",足元帳!Y16)</f>
        <v/>
      </c>
      <c r="S16" s="125" t="str">
        <f>IF(足元帳!Z16="","",足元帳!Z16)</f>
        <v/>
      </c>
      <c r="T16" s="125" t="str">
        <f>IF(足元帳!AT16="","",足元帳!AT16)</f>
        <v/>
      </c>
      <c r="U16" s="125" t="str">
        <f>IF(足元帳!AH16="●",足元帳!$AH$1&amp;足元帳!AW16,"")</f>
        <v/>
      </c>
      <c r="V16" s="125" t="str">
        <f>IF(足元帳!AI16="●",足元帳!$AI$1&amp;足元帳!AW16,"")</f>
        <v/>
      </c>
      <c r="W16" s="125" t="str">
        <f>IF(足元帳!AX16="","",足元帳!AX16)</f>
        <v/>
      </c>
      <c r="X16" s="125">
        <f>足元帳!BJ16</f>
        <v>0</v>
      </c>
      <c r="Y16" s="310"/>
      <c r="Z16" s="306"/>
      <c r="AA16" s="306"/>
      <c r="AB16" s="305"/>
      <c r="AC16" s="309"/>
      <c r="AD16" s="243"/>
      <c r="AE16" s="244"/>
      <c r="AR16" s="168" t="s">
        <v>236</v>
      </c>
      <c r="AS16" s="169"/>
      <c r="AT16" s="169"/>
      <c r="AU16" s="169"/>
      <c r="AV16" s="169"/>
      <c r="AW16" s="169"/>
      <c r="AX16" s="169"/>
      <c r="AY16" s="170"/>
      <c r="AZ16" s="170"/>
      <c r="BA16" s="170"/>
      <c r="BB16" s="170"/>
      <c r="BC16" s="170"/>
      <c r="BD16" s="170"/>
      <c r="BE16" s="171"/>
    </row>
    <row r="17" spans="1:57" ht="13.15" customHeight="1" thickBot="1">
      <c r="A17" s="126">
        <v>16</v>
      </c>
      <c r="B17" s="127" t="str">
        <f>IF(足元帳!K17="","",精算表!$W$1)</f>
        <v/>
      </c>
      <c r="C17" s="128" t="str">
        <f>IF(足元帳!K17="","",IF(足元帳!AY17=2,"R","N"))</f>
        <v/>
      </c>
      <c r="D17" s="128" t="str">
        <f>IF(足元帳!K17="","",IF(足元帳!AZ17=1,"姫",IF(足元帳!AZ17=2,"本指名",IF(足元帳!AZ17=3,"NET",IF(足元帳!AZ17=4,"写真","")))))</f>
        <v/>
      </c>
      <c r="E17" s="128" t="str">
        <f>IF(足元帳!K17="","",足元帳!K17)</f>
        <v/>
      </c>
      <c r="F17" s="128" t="str">
        <f>IF(足元帳!K17="","",IF(足元帳!BB17=1,45,IF(足元帳!BB17=2,60,IF(足元帳!BB17=3,75,IF(足元帳!BB17=4,90,IF(足元帳!BB17=5,120,IF(足元帳!BB17=6,150,IF(足元帳!BB17=7,180,""))))))))</f>
        <v/>
      </c>
      <c r="G17" s="128" t="str">
        <f>IF(足元帳!K17="","",足元帳!A17)</f>
        <v/>
      </c>
      <c r="H17" s="125" t="str">
        <f>IF(足元帳!AP17="","",$H$1)</f>
        <v/>
      </c>
      <c r="I17" s="125" t="str">
        <f>IF(足元帳!AQ17="","",$I$1)</f>
        <v/>
      </c>
      <c r="J17" s="125" t="str">
        <f>IF(足元帳!AR17="","",$J$1)</f>
        <v/>
      </c>
      <c r="K17" s="125" t="str">
        <f>IF(足元帳!AS17="","",$K$1)</f>
        <v/>
      </c>
      <c r="L17" s="129" t="str">
        <f>IF(COUNTIF(足元帳!AT17,"*複合*"),"複合","")</f>
        <v/>
      </c>
      <c r="M17" s="129" t="str">
        <f>IF(COUNTIF(足元帳!AT17,"*店頭本指名*"),"店頭本指名","")</f>
        <v/>
      </c>
      <c r="N17" s="125" t="str">
        <f>IF(足元帳!U17="","",足元帳!U17)</f>
        <v/>
      </c>
      <c r="O17" s="125" t="str">
        <f>IF(足元帳!V17="","",足元帳!V17)</f>
        <v/>
      </c>
      <c r="P17" s="125" t="str">
        <f>IF(足元帳!W17="","",足元帳!W17)</f>
        <v/>
      </c>
      <c r="Q17" s="125" t="str">
        <f>IF(足元帳!X17="","",足元帳!X17)</f>
        <v/>
      </c>
      <c r="R17" s="125" t="str">
        <f>IF(足元帳!Y17="","",足元帳!Y17)</f>
        <v/>
      </c>
      <c r="S17" s="125" t="str">
        <f>IF(足元帳!Z17="","",足元帳!Z17)</f>
        <v/>
      </c>
      <c r="T17" s="125" t="str">
        <f>IF(足元帳!AT17="","",足元帳!AT17)</f>
        <v/>
      </c>
      <c r="U17" s="125" t="str">
        <f>IF(足元帳!AH17="●",足元帳!$AH$1&amp;足元帳!AW17,"")</f>
        <v/>
      </c>
      <c r="V17" s="125" t="str">
        <f>IF(足元帳!AI17="●",足元帳!$AI$1&amp;足元帳!AW17,"")</f>
        <v/>
      </c>
      <c r="W17" s="125" t="str">
        <f>IF(足元帳!AX17="","",足元帳!AX17)</f>
        <v/>
      </c>
      <c r="X17" s="125">
        <f>足元帳!BJ17</f>
        <v>0</v>
      </c>
      <c r="Y17" s="304" t="str">
        <f>"ラスト予定"&amp;AA17&amp;"名"</f>
        <v>ラスト予定0名</v>
      </c>
      <c r="Z17" s="305"/>
      <c r="AA17" s="307">
        <v>0</v>
      </c>
      <c r="AB17" s="305"/>
      <c r="AC17" s="309"/>
      <c r="AD17" s="243"/>
      <c r="AE17" s="244"/>
      <c r="AR17" s="137"/>
      <c r="AS17" s="137"/>
      <c r="AT17" s="137"/>
      <c r="AU17" s="137"/>
      <c r="AV17" s="137"/>
      <c r="AW17" s="137"/>
      <c r="AX17" s="137"/>
      <c r="AY17" s="138"/>
    </row>
    <row r="18" spans="1:57" ht="13.15" customHeight="1">
      <c r="A18" s="126">
        <v>17</v>
      </c>
      <c r="B18" s="127" t="str">
        <f>IF(足元帳!K18="","",精算表!$W$1)</f>
        <v/>
      </c>
      <c r="C18" s="128" t="str">
        <f>IF(足元帳!K18="","",IF(足元帳!AY18=2,"R","N"))</f>
        <v/>
      </c>
      <c r="D18" s="128" t="str">
        <f>IF(足元帳!K18="","",IF(足元帳!AZ18=1,"姫",IF(足元帳!AZ18=2,"本指名",IF(足元帳!AZ18=3,"NET",IF(足元帳!AZ18=4,"写真","")))))</f>
        <v/>
      </c>
      <c r="E18" s="128" t="str">
        <f>IF(足元帳!K18="","",足元帳!K18)</f>
        <v/>
      </c>
      <c r="F18" s="128" t="str">
        <f>IF(足元帳!K18="","",IF(足元帳!BB18=1,45,IF(足元帳!BB18=2,60,IF(足元帳!BB18=3,75,IF(足元帳!BB18=4,90,IF(足元帳!BB18=5,120,IF(足元帳!BB18=6,150,IF(足元帳!BB18=7,180,""))))))))</f>
        <v/>
      </c>
      <c r="G18" s="128" t="str">
        <f>IF(足元帳!K18="","",足元帳!A18)</f>
        <v/>
      </c>
      <c r="H18" s="125" t="str">
        <f>IF(足元帳!AP18="","",$H$1)</f>
        <v/>
      </c>
      <c r="I18" s="125" t="str">
        <f>IF(足元帳!AQ18="","",$I$1)</f>
        <v/>
      </c>
      <c r="J18" s="125" t="str">
        <f>IF(足元帳!AR18="","",$J$1)</f>
        <v/>
      </c>
      <c r="K18" s="125" t="str">
        <f>IF(足元帳!AS18="","",$K$1)</f>
        <v/>
      </c>
      <c r="L18" s="129" t="str">
        <f>IF(COUNTIF(足元帳!AT18,"*複合*"),"複合","")</f>
        <v/>
      </c>
      <c r="M18" s="129" t="str">
        <f>IF(COUNTIF(足元帳!AT18,"*店頭本指名*"),"店頭本指名","")</f>
        <v/>
      </c>
      <c r="N18" s="125" t="str">
        <f>IF(足元帳!U18="","",足元帳!U18)</f>
        <v/>
      </c>
      <c r="O18" s="125" t="str">
        <f>IF(足元帳!V18="","",足元帳!V18)</f>
        <v/>
      </c>
      <c r="P18" s="125" t="str">
        <f>IF(足元帳!W18="","",足元帳!W18)</f>
        <v/>
      </c>
      <c r="Q18" s="125" t="str">
        <f>IF(足元帳!X18="","",足元帳!X18)</f>
        <v/>
      </c>
      <c r="R18" s="125" t="str">
        <f>IF(足元帳!Y18="","",足元帳!Y18)</f>
        <v/>
      </c>
      <c r="S18" s="125" t="str">
        <f>IF(足元帳!Z18="","",足元帳!Z18)</f>
        <v/>
      </c>
      <c r="T18" s="125" t="str">
        <f>IF(足元帳!AT18="","",足元帳!AT18)</f>
        <v/>
      </c>
      <c r="U18" s="125" t="str">
        <f>IF(足元帳!AH18="●",足元帳!$AH$1&amp;足元帳!AW18,"")</f>
        <v/>
      </c>
      <c r="V18" s="125" t="str">
        <f>IF(足元帳!AI18="●",足元帳!$AI$1&amp;足元帳!AW18,"")</f>
        <v/>
      </c>
      <c r="W18" s="125" t="str">
        <f>IF(足元帳!AX18="","",足元帳!AX18)</f>
        <v/>
      </c>
      <c r="X18" s="125">
        <f>足元帳!BJ18</f>
        <v>0</v>
      </c>
      <c r="Y18" s="304" t="str">
        <f>"当日欠勤"&amp;AA18&amp;"名"</f>
        <v>当日欠勤0名</v>
      </c>
      <c r="Z18" s="306"/>
      <c r="AA18" s="307">
        <v>0</v>
      </c>
      <c r="AB18" s="305"/>
      <c r="AC18" s="309"/>
      <c r="AD18" s="243"/>
      <c r="AE18" s="244"/>
      <c r="AH18" s="124"/>
      <c r="AI18" s="135"/>
      <c r="AJ18" s="135">
        <v>45</v>
      </c>
      <c r="AK18" s="135">
        <v>60</v>
      </c>
      <c r="AL18" s="135">
        <v>75</v>
      </c>
      <c r="AM18" s="135">
        <v>90</v>
      </c>
      <c r="AN18" s="135">
        <v>110</v>
      </c>
      <c r="AO18" s="135" t="s">
        <v>210</v>
      </c>
      <c r="AP18" s="135" t="s">
        <v>211</v>
      </c>
      <c r="AR18" s="160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2"/>
    </row>
    <row r="19" spans="1:57" ht="13.15" customHeight="1">
      <c r="A19" s="126">
        <v>18</v>
      </c>
      <c r="B19" s="127" t="str">
        <f>IF(足元帳!K19="","",精算表!$W$1)</f>
        <v/>
      </c>
      <c r="C19" s="128" t="str">
        <f>IF(足元帳!K19="","",IF(足元帳!AY19=2,"R","N"))</f>
        <v/>
      </c>
      <c r="D19" s="128" t="str">
        <f>IF(足元帳!K19="","",IF(足元帳!AZ19=1,"姫",IF(足元帳!AZ19=2,"本指名",IF(足元帳!AZ19=3,"NET",IF(足元帳!AZ19=4,"写真","")))))</f>
        <v/>
      </c>
      <c r="E19" s="128" t="str">
        <f>IF(足元帳!K19="","",足元帳!K19)</f>
        <v/>
      </c>
      <c r="F19" s="128" t="str">
        <f>IF(足元帳!K19="","",IF(足元帳!BB19=1,45,IF(足元帳!BB19=2,60,IF(足元帳!BB19=3,75,IF(足元帳!BB19=4,90,IF(足元帳!BB19=5,120,IF(足元帳!BB19=6,150,IF(足元帳!BB19=7,180,""))))))))</f>
        <v/>
      </c>
      <c r="G19" s="128" t="str">
        <f>IF(足元帳!K19="","",足元帳!A19)</f>
        <v/>
      </c>
      <c r="H19" s="125" t="str">
        <f>IF(足元帳!AP19="","",$H$1)</f>
        <v/>
      </c>
      <c r="I19" s="125" t="str">
        <f>IF(足元帳!AQ19="","",$I$1)</f>
        <v/>
      </c>
      <c r="J19" s="125" t="str">
        <f>IF(足元帳!AR19="","",$J$1)</f>
        <v/>
      </c>
      <c r="K19" s="125" t="str">
        <f>IF(足元帳!AS19="","",$K$1)</f>
        <v/>
      </c>
      <c r="L19" s="129" t="str">
        <f>IF(COUNTIF(足元帳!AT19,"*複合*"),"複合","")</f>
        <v/>
      </c>
      <c r="M19" s="129" t="str">
        <f>IF(COUNTIF(足元帳!AT19,"*店頭本指名*"),"店頭本指名","")</f>
        <v/>
      </c>
      <c r="N19" s="125" t="str">
        <f>IF(足元帳!U19="","",足元帳!U19)</f>
        <v/>
      </c>
      <c r="O19" s="125" t="str">
        <f>IF(足元帳!V19="","",足元帳!V19)</f>
        <v/>
      </c>
      <c r="P19" s="125" t="str">
        <f>IF(足元帳!W19="","",足元帳!W19)</f>
        <v/>
      </c>
      <c r="Q19" s="125" t="str">
        <f>IF(足元帳!X19="","",足元帳!X19)</f>
        <v/>
      </c>
      <c r="R19" s="125" t="str">
        <f>IF(足元帳!Y19="","",足元帳!Y19)</f>
        <v/>
      </c>
      <c r="S19" s="125" t="str">
        <f>IF(足元帳!Z19="","",足元帳!Z19)</f>
        <v/>
      </c>
      <c r="T19" s="125" t="str">
        <f>IF(足元帳!AT19="","",足元帳!AT19)</f>
        <v/>
      </c>
      <c r="U19" s="125" t="str">
        <f>IF(足元帳!AH19="●",足元帳!$AH$1&amp;足元帳!AW19,"")</f>
        <v/>
      </c>
      <c r="V19" s="125" t="str">
        <f>IF(足元帳!AI19="●",足元帳!$AI$1&amp;足元帳!AW19,"")</f>
        <v/>
      </c>
      <c r="W19" s="125" t="str">
        <f>IF(足元帳!AX19="","",足元帳!AX19)</f>
        <v/>
      </c>
      <c r="X19" s="125">
        <f>足元帳!BJ19</f>
        <v>0</v>
      </c>
      <c r="Y19" s="304" t="str">
        <f>"遅刻"&amp;AA19&amp;"名"</f>
        <v>遅刻0名</v>
      </c>
      <c r="Z19" s="305"/>
      <c r="AA19" s="307">
        <v>0</v>
      </c>
      <c r="AB19" s="305"/>
      <c r="AC19" s="309"/>
      <c r="AD19" s="243"/>
      <c r="AE19" s="244"/>
      <c r="AH19" s="642" t="s">
        <v>212</v>
      </c>
      <c r="AI19" s="135">
        <v>6</v>
      </c>
      <c r="AJ19" s="135">
        <f t="shared" ref="AJ19:AN20" si="5">COUNTIFS($G$2:$G$258,$AI19,$F$2:$F$258,AJ$1)</f>
        <v>0</v>
      </c>
      <c r="AK19" s="135">
        <f t="shared" si="5"/>
        <v>0</v>
      </c>
      <c r="AL19" s="135">
        <f t="shared" si="5"/>
        <v>0</v>
      </c>
      <c r="AM19" s="135">
        <f t="shared" si="5"/>
        <v>0</v>
      </c>
      <c r="AN19" s="135">
        <f t="shared" si="5"/>
        <v>0</v>
      </c>
      <c r="AO19" s="135">
        <f>AJ19+AK19+AL19+AM19+AN19</f>
        <v>0</v>
      </c>
      <c r="AP19" s="136">
        <f>AJ19*0.75+AK19*1+AL19*1.17+AM19*1.5+AN19*1.83</f>
        <v>0</v>
      </c>
      <c r="AR19" s="163">
        <f>MONTH(精算表!W1)</f>
        <v>10</v>
      </c>
      <c r="AS19" s="139" t="s">
        <v>213</v>
      </c>
      <c r="AT19" s="139">
        <f>DAY(精算表!W1)</f>
        <v>17</v>
      </c>
      <c r="AU19" s="139" t="s">
        <v>214</v>
      </c>
      <c r="AV19" s="139" t="str">
        <f>TEXT(精算表!W1,"aaaa")</f>
        <v>木曜日</v>
      </c>
      <c r="AW19" s="140" t="s">
        <v>215</v>
      </c>
      <c r="AX19" s="139"/>
      <c r="AY19" s="141"/>
      <c r="AZ19" s="141"/>
      <c r="BA19" s="141"/>
      <c r="BB19" s="141"/>
      <c r="BC19" s="141"/>
      <c r="BD19" s="141"/>
      <c r="BE19" s="164"/>
    </row>
    <row r="20" spans="1:57" ht="13.15" customHeight="1">
      <c r="A20" s="126">
        <v>19</v>
      </c>
      <c r="B20" s="127" t="str">
        <f>IF(足元帳!K20="","",精算表!$W$1)</f>
        <v/>
      </c>
      <c r="C20" s="128" t="str">
        <f>IF(足元帳!K20="","",IF(足元帳!AY20=2,"R","N"))</f>
        <v/>
      </c>
      <c r="D20" s="128" t="str">
        <f>IF(足元帳!K20="","",IF(足元帳!AZ20=1,"姫",IF(足元帳!AZ20=2,"本指名",IF(足元帳!AZ20=3,"NET",IF(足元帳!AZ20=4,"写真","")))))</f>
        <v/>
      </c>
      <c r="E20" s="128" t="str">
        <f>IF(足元帳!K20="","",足元帳!K20)</f>
        <v/>
      </c>
      <c r="F20" s="128" t="str">
        <f>IF(足元帳!K20="","",IF(足元帳!BB20=1,45,IF(足元帳!BB20=2,60,IF(足元帳!BB20=3,75,IF(足元帳!BB20=4,90,IF(足元帳!BB20=5,120,IF(足元帳!BB20=6,150,IF(足元帳!BB20=7,180,""))))))))</f>
        <v/>
      </c>
      <c r="G20" s="128" t="str">
        <f>IF(足元帳!K20="","",足元帳!A20)</f>
        <v/>
      </c>
      <c r="H20" s="125" t="str">
        <f>IF(足元帳!AP20="","",$H$1)</f>
        <v/>
      </c>
      <c r="I20" s="125" t="str">
        <f>IF(足元帳!AQ20="","",$I$1)</f>
        <v/>
      </c>
      <c r="J20" s="125" t="str">
        <f>IF(足元帳!AR20="","",$J$1)</f>
        <v/>
      </c>
      <c r="K20" s="125" t="str">
        <f>IF(足元帳!AS20="","",$K$1)</f>
        <v/>
      </c>
      <c r="L20" s="129" t="str">
        <f>IF(COUNTIF(足元帳!AT20,"*複合*"),"複合","")</f>
        <v/>
      </c>
      <c r="M20" s="129" t="str">
        <f>IF(COUNTIF(足元帳!AT20,"*店頭本指名*"),"店頭本指名","")</f>
        <v/>
      </c>
      <c r="N20" s="125" t="str">
        <f>IF(足元帳!U20="","",足元帳!U20)</f>
        <v/>
      </c>
      <c r="O20" s="125" t="str">
        <f>IF(足元帳!V20="","",足元帳!V20)</f>
        <v/>
      </c>
      <c r="P20" s="125" t="str">
        <f>IF(足元帳!W20="","",足元帳!W20)</f>
        <v/>
      </c>
      <c r="Q20" s="125" t="str">
        <f>IF(足元帳!X20="","",足元帳!X20)</f>
        <v/>
      </c>
      <c r="R20" s="125" t="str">
        <f>IF(足元帳!Y20="","",足元帳!Y20)</f>
        <v/>
      </c>
      <c r="S20" s="125" t="str">
        <f>IF(足元帳!Z20="","",足元帳!Z20)</f>
        <v/>
      </c>
      <c r="T20" s="125" t="str">
        <f>IF(足元帳!AT20="","",足元帳!AT20)</f>
        <v/>
      </c>
      <c r="U20" s="125" t="str">
        <f>IF(足元帳!AH20="●",足元帳!$AH$1&amp;足元帳!AW20,"")</f>
        <v/>
      </c>
      <c r="V20" s="125" t="str">
        <f>IF(足元帳!AI20="●",足元帳!$AI$1&amp;足元帳!AW20,"")</f>
        <v/>
      </c>
      <c r="W20" s="125" t="str">
        <f>IF(足元帳!AX20="","",足元帳!AX20)</f>
        <v/>
      </c>
      <c r="X20" s="125">
        <f>足元帳!BJ20</f>
        <v>0</v>
      </c>
      <c r="Y20" s="304" t="str">
        <f>"早退"&amp;AA20&amp;"名"</f>
        <v>早退0名</v>
      </c>
      <c r="Z20" s="305"/>
      <c r="AA20" s="307">
        <v>0</v>
      </c>
      <c r="AB20" s="305"/>
      <c r="AC20" s="309"/>
      <c r="AD20" s="243"/>
      <c r="AE20" s="244"/>
      <c r="AH20" s="642"/>
      <c r="AI20" s="135">
        <v>7</v>
      </c>
      <c r="AJ20" s="135">
        <f t="shared" si="5"/>
        <v>0</v>
      </c>
      <c r="AK20" s="135">
        <f t="shared" si="5"/>
        <v>0</v>
      </c>
      <c r="AL20" s="135">
        <f t="shared" si="5"/>
        <v>0</v>
      </c>
      <c r="AM20" s="135">
        <f t="shared" si="5"/>
        <v>0</v>
      </c>
      <c r="AN20" s="135">
        <f t="shared" si="5"/>
        <v>0</v>
      </c>
      <c r="AO20" s="135">
        <f>AJ20+AK20+AL20+AM20+AN20</f>
        <v>0</v>
      </c>
      <c r="AP20" s="136">
        <f>AJ20*0.75+AK20*1+AL20*1.17+AM20*1.5+AN20*1.83</f>
        <v>0</v>
      </c>
      <c r="AR20" s="165" t="s">
        <v>216</v>
      </c>
      <c r="AS20" s="139"/>
      <c r="AT20" s="139"/>
      <c r="AU20" s="139"/>
      <c r="AV20" s="139"/>
      <c r="AW20" s="139"/>
      <c r="AX20" s="139"/>
      <c r="AY20" s="141"/>
      <c r="AZ20" s="141"/>
      <c r="BA20" s="141"/>
      <c r="BB20" s="141"/>
      <c r="BC20" s="141"/>
      <c r="BD20" s="141"/>
      <c r="BE20" s="164"/>
    </row>
    <row r="21" spans="1:57" ht="13.15" customHeight="1">
      <c r="A21" s="126">
        <v>20</v>
      </c>
      <c r="B21" s="127" t="str">
        <f>IF(足元帳!K21="","",精算表!$W$1)</f>
        <v/>
      </c>
      <c r="C21" s="128" t="str">
        <f>IF(足元帳!K21="","",IF(足元帳!AY21=2,"R","N"))</f>
        <v/>
      </c>
      <c r="D21" s="128" t="str">
        <f>IF(足元帳!K21="","",IF(足元帳!AZ21=1,"姫",IF(足元帳!AZ21=2,"本指名",IF(足元帳!AZ21=3,"NET",IF(足元帳!AZ21=4,"写真","")))))</f>
        <v/>
      </c>
      <c r="E21" s="128" t="str">
        <f>IF(足元帳!K21="","",足元帳!K21)</f>
        <v/>
      </c>
      <c r="F21" s="128" t="str">
        <f>IF(足元帳!K21="","",IF(足元帳!BB21=1,45,IF(足元帳!BB21=2,60,IF(足元帳!BB21=3,75,IF(足元帳!BB21=4,90,IF(足元帳!BB21=5,120,IF(足元帳!BB21=6,150,IF(足元帳!BB21=7,180,""))))))))</f>
        <v/>
      </c>
      <c r="G21" s="128" t="str">
        <f>IF(足元帳!K21="","",足元帳!A21)</f>
        <v/>
      </c>
      <c r="H21" s="125" t="str">
        <f>IF(足元帳!AP21="","",$H$1)</f>
        <v/>
      </c>
      <c r="I21" s="125" t="str">
        <f>IF(足元帳!AQ21="","",$I$1)</f>
        <v/>
      </c>
      <c r="J21" s="125" t="str">
        <f>IF(足元帳!AR21="","",$J$1)</f>
        <v/>
      </c>
      <c r="K21" s="125" t="str">
        <f>IF(足元帳!AS21="","",$K$1)</f>
        <v/>
      </c>
      <c r="L21" s="129" t="str">
        <f>IF(COUNTIF(足元帳!AT21,"*複合*"),"複合","")</f>
        <v/>
      </c>
      <c r="M21" s="129" t="str">
        <f>IF(COUNTIF(足元帳!AT21,"*店頭本指名*"),"店頭本指名","")</f>
        <v/>
      </c>
      <c r="N21" s="125" t="str">
        <f>IF(足元帳!U21="","",足元帳!U21)</f>
        <v/>
      </c>
      <c r="O21" s="125" t="str">
        <f>IF(足元帳!V21="","",足元帳!V21)</f>
        <v/>
      </c>
      <c r="P21" s="125" t="str">
        <f>IF(足元帳!W21="","",足元帳!W21)</f>
        <v/>
      </c>
      <c r="Q21" s="125" t="str">
        <f>IF(足元帳!X21="","",足元帳!X21)</f>
        <v/>
      </c>
      <c r="R21" s="125" t="str">
        <f>IF(足元帳!Y21="","",足元帳!Y21)</f>
        <v/>
      </c>
      <c r="S21" s="125" t="str">
        <f>IF(足元帳!Z21="","",足元帳!Z21)</f>
        <v/>
      </c>
      <c r="T21" s="125" t="str">
        <f>IF(足元帳!AT21="","",足元帳!AT21)</f>
        <v/>
      </c>
      <c r="U21" s="125" t="str">
        <f>IF(足元帳!AH21="●",足元帳!$AH$1&amp;足元帳!AW21,"")</f>
        <v/>
      </c>
      <c r="V21" s="125" t="str">
        <f>IF(足元帳!AI21="●",足元帳!$AI$1&amp;足元帳!AW21,"")</f>
        <v/>
      </c>
      <c r="W21" s="125" t="str">
        <f>IF(足元帳!AX21="","",足元帳!AX21)</f>
        <v/>
      </c>
      <c r="X21" s="125">
        <f>足元帳!BJ21</f>
        <v>0</v>
      </c>
      <c r="Y21" s="304" t="str">
        <f>"追加"&amp;AA21&amp;"名"</f>
        <v>追加0名</v>
      </c>
      <c r="Z21" s="305"/>
      <c r="AA21" s="307">
        <v>0</v>
      </c>
      <c r="AB21" s="305"/>
      <c r="AC21" s="309"/>
      <c r="AD21" s="243"/>
      <c r="AE21" s="244"/>
      <c r="AH21" s="642" t="s">
        <v>217</v>
      </c>
      <c r="AI21" s="135">
        <v>6</v>
      </c>
      <c r="AJ21" s="135">
        <f t="shared" ref="AJ21:AN22" si="6">COUNTIFS($G$2:$G$258,$AI21,$F$2:$F$258,AJ$1,$X$2:$X$258,"3")</f>
        <v>0</v>
      </c>
      <c r="AK21" s="135">
        <f t="shared" si="6"/>
        <v>0</v>
      </c>
      <c r="AL21" s="135">
        <f t="shared" si="6"/>
        <v>0</v>
      </c>
      <c r="AM21" s="135">
        <f t="shared" si="6"/>
        <v>0</v>
      </c>
      <c r="AN21" s="135">
        <f t="shared" si="6"/>
        <v>0</v>
      </c>
      <c r="AO21" s="174" t="s">
        <v>218</v>
      </c>
      <c r="AP21" s="174" t="s">
        <v>218</v>
      </c>
      <c r="AR21" s="165" t="s">
        <v>219</v>
      </c>
      <c r="AS21" s="139"/>
      <c r="AT21" s="139"/>
      <c r="AU21" s="139"/>
      <c r="AV21" s="139"/>
      <c r="AW21" s="139"/>
      <c r="AX21" s="139"/>
      <c r="AY21" s="141"/>
      <c r="AZ21" s="141"/>
      <c r="BA21" s="141"/>
      <c r="BB21" s="141"/>
      <c r="BC21" s="141"/>
      <c r="BD21" s="141"/>
      <c r="BE21" s="164"/>
    </row>
    <row r="22" spans="1:57" ht="13.15" customHeight="1">
      <c r="A22" s="126">
        <v>21</v>
      </c>
      <c r="B22" s="127" t="str">
        <f>IF(足元帳!K22="","",精算表!$W$1)</f>
        <v/>
      </c>
      <c r="C22" s="128" t="str">
        <f>IF(足元帳!K22="","",IF(足元帳!AY22=2,"R","N"))</f>
        <v/>
      </c>
      <c r="D22" s="128" t="str">
        <f>IF(足元帳!K22="","",IF(足元帳!AZ22=1,"姫",IF(足元帳!AZ22=2,"本指名",IF(足元帳!AZ22=3,"NET",IF(足元帳!AZ22=4,"写真","")))))</f>
        <v/>
      </c>
      <c r="E22" s="128" t="str">
        <f>IF(足元帳!K22="","",足元帳!K22)</f>
        <v/>
      </c>
      <c r="F22" s="128" t="str">
        <f>IF(足元帳!K22="","",IF(足元帳!BB22=1,45,IF(足元帳!BB22=2,60,IF(足元帳!BB22=3,75,IF(足元帳!BB22=4,90,IF(足元帳!BB22=5,120,IF(足元帳!BB22=6,150,IF(足元帳!BB22=7,180,""))))))))</f>
        <v/>
      </c>
      <c r="G22" s="128" t="str">
        <f>IF(足元帳!K22="","",足元帳!A22)</f>
        <v/>
      </c>
      <c r="H22" s="125" t="str">
        <f>IF(足元帳!AP22="","",$H$1)</f>
        <v/>
      </c>
      <c r="I22" s="125" t="str">
        <f>IF(足元帳!AQ22="","",$I$1)</f>
        <v/>
      </c>
      <c r="J22" s="125" t="str">
        <f>IF(足元帳!AR22="","",$J$1)</f>
        <v/>
      </c>
      <c r="K22" s="125" t="str">
        <f>IF(足元帳!AS22="","",$K$1)</f>
        <v/>
      </c>
      <c r="L22" s="129" t="str">
        <f>IF(COUNTIF(足元帳!AT22,"*複合*"),"複合","")</f>
        <v/>
      </c>
      <c r="M22" s="129" t="str">
        <f>IF(COUNTIF(足元帳!AT22,"*店頭本指名*"),"店頭本指名","")</f>
        <v/>
      </c>
      <c r="N22" s="125" t="str">
        <f>IF(足元帳!U22="","",足元帳!U22)</f>
        <v/>
      </c>
      <c r="O22" s="125" t="str">
        <f>IF(足元帳!V22="","",足元帳!V22)</f>
        <v/>
      </c>
      <c r="P22" s="125" t="str">
        <f>IF(足元帳!W22="","",足元帳!W22)</f>
        <v/>
      </c>
      <c r="Q22" s="125" t="str">
        <f>IF(足元帳!X22="","",足元帳!X22)</f>
        <v/>
      </c>
      <c r="R22" s="125" t="str">
        <f>IF(足元帳!Y22="","",足元帳!Y22)</f>
        <v/>
      </c>
      <c r="S22" s="125" t="str">
        <f>IF(足元帳!Z22="","",足元帳!Z22)</f>
        <v/>
      </c>
      <c r="T22" s="125" t="str">
        <f>IF(足元帳!AT22="","",足元帳!AT22)</f>
        <v/>
      </c>
      <c r="U22" s="125" t="str">
        <f>IF(足元帳!AH22="●",足元帳!$AH$1&amp;足元帳!AW22,"")</f>
        <v/>
      </c>
      <c r="V22" s="125" t="str">
        <f>IF(足元帳!AI22="●",足元帳!$AI$1&amp;足元帳!AW22,"")</f>
        <v/>
      </c>
      <c r="W22" s="125" t="str">
        <f>IF(足元帳!AX22="","",足元帳!AX22)</f>
        <v/>
      </c>
      <c r="X22" s="125">
        <f>足元帳!BJ22</f>
        <v>0</v>
      </c>
      <c r="Y22" s="304" t="str">
        <f>"実ラスト"&amp;AA17-AA18-AA20+AA21&amp;"名"</f>
        <v>実ラスト0名</v>
      </c>
      <c r="Z22" s="305"/>
      <c r="AA22" s="306"/>
      <c r="AB22" s="305"/>
      <c r="AC22" s="309"/>
      <c r="AD22" s="243"/>
      <c r="AE22" s="244"/>
      <c r="AH22" s="642"/>
      <c r="AI22" s="135">
        <v>7</v>
      </c>
      <c r="AJ22" s="135">
        <f t="shared" si="6"/>
        <v>0</v>
      </c>
      <c r="AK22" s="135">
        <f t="shared" si="6"/>
        <v>0</v>
      </c>
      <c r="AL22" s="135">
        <f t="shared" si="6"/>
        <v>0</v>
      </c>
      <c r="AM22" s="135">
        <f t="shared" si="6"/>
        <v>0</v>
      </c>
      <c r="AN22" s="135">
        <f t="shared" si="6"/>
        <v>0</v>
      </c>
      <c r="AO22" s="174" t="s">
        <v>218</v>
      </c>
      <c r="AP22" s="174" t="s">
        <v>218</v>
      </c>
      <c r="AR22" s="165" t="s">
        <v>224</v>
      </c>
      <c r="AS22" s="139"/>
      <c r="AT22" s="139"/>
      <c r="AU22" s="139"/>
      <c r="AV22" s="139"/>
      <c r="AW22" s="139"/>
      <c r="AX22" s="139"/>
      <c r="AY22" s="141"/>
      <c r="AZ22" s="141"/>
      <c r="BA22" s="141"/>
      <c r="BB22" s="141"/>
      <c r="BC22" s="141"/>
      <c r="BD22" s="141"/>
      <c r="BE22" s="164"/>
    </row>
    <row r="23" spans="1:57" ht="13.15" customHeight="1">
      <c r="A23" s="126">
        <v>22</v>
      </c>
      <c r="B23" s="127" t="str">
        <f>IF(足元帳!K23="","",精算表!$W$1)</f>
        <v/>
      </c>
      <c r="C23" s="128" t="str">
        <f>IF(足元帳!K23="","",IF(足元帳!AY23=2,"R","N"))</f>
        <v/>
      </c>
      <c r="D23" s="128" t="str">
        <f>IF(足元帳!K23="","",IF(足元帳!AZ23=1,"姫",IF(足元帳!AZ23=2,"本指名",IF(足元帳!AZ23=3,"NET",IF(足元帳!AZ23=4,"写真","")))))</f>
        <v/>
      </c>
      <c r="E23" s="128" t="str">
        <f>IF(足元帳!K23="","",足元帳!K23)</f>
        <v/>
      </c>
      <c r="F23" s="128" t="str">
        <f>IF(足元帳!K23="","",IF(足元帳!BB23=1,45,IF(足元帳!BB23=2,60,IF(足元帳!BB23=3,75,IF(足元帳!BB23=4,90,IF(足元帳!BB23=5,120,IF(足元帳!BB23=6,150,IF(足元帳!BB23=7,180,""))))))))</f>
        <v/>
      </c>
      <c r="G23" s="128" t="str">
        <f>IF(足元帳!K23="","",足元帳!A23)</f>
        <v/>
      </c>
      <c r="H23" s="125" t="str">
        <f>IF(足元帳!AP23="","",$H$1)</f>
        <v/>
      </c>
      <c r="I23" s="125" t="str">
        <f>IF(足元帳!AQ23="","",$I$1)</f>
        <v/>
      </c>
      <c r="J23" s="125" t="str">
        <f>IF(足元帳!AR23="","",$J$1)</f>
        <v/>
      </c>
      <c r="K23" s="125" t="str">
        <f>IF(足元帳!AS23="","",$K$1)</f>
        <v/>
      </c>
      <c r="L23" s="129" t="str">
        <f>IF(COUNTIF(足元帳!AT23,"*複合*"),"複合","")</f>
        <v/>
      </c>
      <c r="M23" s="129" t="str">
        <f>IF(COUNTIF(足元帳!AT23,"*店頭本指名*"),"店頭本指名","")</f>
        <v/>
      </c>
      <c r="N23" s="125" t="str">
        <f>IF(足元帳!U23="","",足元帳!U23)</f>
        <v/>
      </c>
      <c r="O23" s="125" t="str">
        <f>IF(足元帳!V23="","",足元帳!V23)</f>
        <v/>
      </c>
      <c r="P23" s="125" t="str">
        <f>IF(足元帳!W23="","",足元帳!W23)</f>
        <v/>
      </c>
      <c r="Q23" s="125" t="str">
        <f>IF(足元帳!X23="","",足元帳!X23)</f>
        <v/>
      </c>
      <c r="R23" s="125" t="str">
        <f>IF(足元帳!Y23="","",足元帳!Y23)</f>
        <v/>
      </c>
      <c r="S23" s="125" t="str">
        <f>IF(足元帳!Z23="","",足元帳!Z23)</f>
        <v/>
      </c>
      <c r="T23" s="125" t="str">
        <f>IF(足元帳!AT23="","",足元帳!AT23)</f>
        <v/>
      </c>
      <c r="U23" s="125" t="str">
        <f>IF(足元帳!AH23="●",足元帳!$AH$1&amp;足元帳!AW23,"")</f>
        <v/>
      </c>
      <c r="V23" s="125" t="str">
        <f>IF(足元帳!AI23="●",足元帳!$AI$1&amp;足元帳!AW23,"")</f>
        <v/>
      </c>
      <c r="W23" s="125" t="str">
        <f>IF(足元帳!AX23="","",足元帳!AX23)</f>
        <v/>
      </c>
      <c r="X23" s="125">
        <f>足元帳!BJ23</f>
        <v>0</v>
      </c>
      <c r="Y23" s="305"/>
      <c r="Z23" s="305"/>
      <c r="AA23" s="306"/>
      <c r="AB23" s="305"/>
      <c r="AC23" s="309"/>
      <c r="AD23" s="243"/>
      <c r="AE23" s="244"/>
      <c r="AR23" s="163"/>
      <c r="AS23" s="139"/>
      <c r="AT23" s="139"/>
      <c r="AU23" s="139"/>
      <c r="AV23" s="139"/>
      <c r="AW23" s="139"/>
      <c r="AX23" s="139"/>
      <c r="AY23" s="141"/>
      <c r="AZ23" s="141"/>
      <c r="BA23" s="141"/>
      <c r="BB23" s="141"/>
      <c r="BC23" s="141"/>
      <c r="BD23" s="141"/>
      <c r="BE23" s="164"/>
    </row>
    <row r="24" spans="1:57" ht="13.15" customHeight="1">
      <c r="A24" s="126">
        <v>23</v>
      </c>
      <c r="B24" s="127" t="str">
        <f>IF(足元帳!K24="","",精算表!$W$1)</f>
        <v/>
      </c>
      <c r="C24" s="128" t="str">
        <f>IF(足元帳!K24="","",IF(足元帳!AY24=2,"R","N"))</f>
        <v/>
      </c>
      <c r="D24" s="128" t="str">
        <f>IF(足元帳!K24="","",IF(足元帳!AZ24=1,"姫",IF(足元帳!AZ24=2,"本指名",IF(足元帳!AZ24=3,"NET",IF(足元帳!AZ24=4,"写真","")))))</f>
        <v/>
      </c>
      <c r="E24" s="128" t="str">
        <f>IF(足元帳!K24="","",足元帳!K24)</f>
        <v/>
      </c>
      <c r="F24" s="128" t="str">
        <f>IF(足元帳!K24="","",IF(足元帳!BB24=1,45,IF(足元帳!BB24=2,60,IF(足元帳!BB24=3,75,IF(足元帳!BB24=4,90,IF(足元帳!BB24=5,120,IF(足元帳!BB24=6,150,IF(足元帳!BB24=7,180,""))))))))</f>
        <v/>
      </c>
      <c r="G24" s="128" t="str">
        <f>IF(足元帳!K24="","",足元帳!A24)</f>
        <v/>
      </c>
      <c r="H24" s="125" t="str">
        <f>IF(足元帳!AP24="","",$H$1)</f>
        <v/>
      </c>
      <c r="I24" s="125" t="str">
        <f>IF(足元帳!AQ24="","",$I$1)</f>
        <v/>
      </c>
      <c r="J24" s="125" t="str">
        <f>IF(足元帳!AR24="","",$J$1)</f>
        <v/>
      </c>
      <c r="K24" s="125" t="str">
        <f>IF(足元帳!AS24="","",$K$1)</f>
        <v/>
      </c>
      <c r="L24" s="129" t="str">
        <f>IF(COUNTIF(足元帳!AT24,"*複合*"),"複合","")</f>
        <v/>
      </c>
      <c r="M24" s="129" t="str">
        <f>IF(COUNTIF(足元帳!AT24,"*店頭本指名*"),"店頭本指名","")</f>
        <v/>
      </c>
      <c r="N24" s="125" t="str">
        <f>IF(足元帳!U24="","",足元帳!U24)</f>
        <v/>
      </c>
      <c r="O24" s="125" t="str">
        <f>IF(足元帳!V24="","",足元帳!V24)</f>
        <v/>
      </c>
      <c r="P24" s="125" t="str">
        <f>IF(足元帳!W24="","",足元帳!W24)</f>
        <v/>
      </c>
      <c r="Q24" s="125" t="str">
        <f>IF(足元帳!X24="","",足元帳!X24)</f>
        <v/>
      </c>
      <c r="R24" s="125" t="str">
        <f>IF(足元帳!Y24="","",足元帳!Y24)</f>
        <v/>
      </c>
      <c r="S24" s="125" t="str">
        <f>IF(足元帳!Z24="","",足元帳!Z24)</f>
        <v/>
      </c>
      <c r="T24" s="125" t="str">
        <f>IF(足元帳!AT24="","",足元帳!AT24)</f>
        <v/>
      </c>
      <c r="U24" s="125" t="str">
        <f>IF(足元帳!AH24="●",足元帳!$AH$1&amp;足元帳!AW24,"")</f>
        <v/>
      </c>
      <c r="V24" s="125" t="str">
        <f>IF(足元帳!AI24="●",足元帳!$AI$1&amp;足元帳!AW24,"")</f>
        <v/>
      </c>
      <c r="W24" s="125" t="str">
        <f>IF(足元帳!AX24="","",足元帳!AX24)</f>
        <v/>
      </c>
      <c r="X24" s="125">
        <f>足元帳!BJ24</f>
        <v>0</v>
      </c>
      <c r="Y24" s="311"/>
      <c r="Z24" s="305"/>
      <c r="AA24" s="306"/>
      <c r="AB24" s="305"/>
      <c r="AC24" s="309"/>
      <c r="AD24" s="243"/>
      <c r="AE24" s="244"/>
      <c r="AR24" s="166" t="s">
        <v>226</v>
      </c>
      <c r="AS24" s="139" t="s">
        <v>227</v>
      </c>
      <c r="AT24" s="139" t="str">
        <f>AJ19&amp;"/"</f>
        <v>0/</v>
      </c>
      <c r="AU24" s="139" t="str">
        <f t="shared" ref="AU24:AW24" si="7">AK19&amp;"/"</f>
        <v>0/</v>
      </c>
      <c r="AV24" s="139" t="str">
        <f t="shared" si="7"/>
        <v>0/</v>
      </c>
      <c r="AW24" s="139" t="str">
        <f t="shared" si="7"/>
        <v>0/</v>
      </c>
      <c r="AX24" s="139">
        <f>AN19</f>
        <v>0</v>
      </c>
      <c r="AY24" s="141" t="s">
        <v>228</v>
      </c>
      <c r="AZ24" s="141" t="str">
        <f>AJ21&amp;"/"</f>
        <v>0/</v>
      </c>
      <c r="BA24" s="141" t="str">
        <f t="shared" ref="BA24:BC24" si="8">AK21&amp;"/"</f>
        <v>0/</v>
      </c>
      <c r="BB24" s="141" t="str">
        <f t="shared" si="8"/>
        <v>0/</v>
      </c>
      <c r="BC24" s="141" t="str">
        <f t="shared" si="8"/>
        <v>0/</v>
      </c>
      <c r="BD24" s="141">
        <f>AN21</f>
        <v>0</v>
      </c>
      <c r="BE24" s="164" t="s">
        <v>229</v>
      </c>
    </row>
    <row r="25" spans="1:57" ht="13.15" customHeight="1">
      <c r="A25" s="126">
        <v>24</v>
      </c>
      <c r="B25" s="127" t="str">
        <f>IF(足元帳!K25="","",精算表!$W$1)</f>
        <v/>
      </c>
      <c r="C25" s="128" t="str">
        <f>IF(足元帳!K25="","",IF(足元帳!AY25=2,"R","N"))</f>
        <v/>
      </c>
      <c r="D25" s="128" t="str">
        <f>IF(足元帳!K25="","",IF(足元帳!AZ25=1,"姫",IF(足元帳!AZ25=2,"本指名",IF(足元帳!AZ25=3,"NET",IF(足元帳!AZ25=4,"写真","")))))</f>
        <v/>
      </c>
      <c r="E25" s="128" t="str">
        <f>IF(足元帳!K25="","",足元帳!K25)</f>
        <v/>
      </c>
      <c r="F25" s="128" t="str">
        <f>IF(足元帳!K25="","",IF(足元帳!BB25=1,45,IF(足元帳!BB25=2,60,IF(足元帳!BB25=3,75,IF(足元帳!BB25=4,90,IF(足元帳!BB25=5,120,IF(足元帳!BB25=6,150,IF(足元帳!BB25=7,180,""))))))))</f>
        <v/>
      </c>
      <c r="G25" s="128" t="str">
        <f>IF(足元帳!K25="","",足元帳!A25)</f>
        <v/>
      </c>
      <c r="H25" s="125" t="str">
        <f>IF(足元帳!AP25="","",$H$1)</f>
        <v/>
      </c>
      <c r="I25" s="125" t="str">
        <f>IF(足元帳!AQ25="","",$I$1)</f>
        <v/>
      </c>
      <c r="J25" s="125" t="str">
        <f>IF(足元帳!AR25="","",$J$1)</f>
        <v/>
      </c>
      <c r="K25" s="125" t="str">
        <f>IF(足元帳!AS25="","",$K$1)</f>
        <v/>
      </c>
      <c r="L25" s="129" t="str">
        <f>IF(COUNTIF(足元帳!AT25,"*複合*"),"複合","")</f>
        <v/>
      </c>
      <c r="M25" s="129" t="str">
        <f>IF(COUNTIF(足元帳!AT25,"*店頭本指名*"),"店頭本指名","")</f>
        <v/>
      </c>
      <c r="N25" s="125" t="str">
        <f>IF(足元帳!U25="","",足元帳!U25)</f>
        <v/>
      </c>
      <c r="O25" s="125" t="str">
        <f>IF(足元帳!V25="","",足元帳!V25)</f>
        <v/>
      </c>
      <c r="P25" s="125" t="str">
        <f>IF(足元帳!W25="","",足元帳!W25)</f>
        <v/>
      </c>
      <c r="Q25" s="125" t="str">
        <f>IF(足元帳!X25="","",足元帳!X25)</f>
        <v/>
      </c>
      <c r="R25" s="125" t="str">
        <f>IF(足元帳!Y25="","",足元帳!Y25)</f>
        <v/>
      </c>
      <c r="S25" s="125" t="str">
        <f>IF(足元帳!Z25="","",足元帳!Z25)</f>
        <v/>
      </c>
      <c r="T25" s="125" t="str">
        <f>IF(足元帳!AT25="","",足元帳!AT25)</f>
        <v/>
      </c>
      <c r="U25" s="125" t="str">
        <f>IF(足元帳!AH25="●",足元帳!$AH$1&amp;足元帳!AW25,"")</f>
        <v/>
      </c>
      <c r="V25" s="125" t="str">
        <f>IF(足元帳!AI25="●",足元帳!$AI$1&amp;足元帳!AW25,"")</f>
        <v/>
      </c>
      <c r="W25" s="125" t="str">
        <f>IF(足元帳!AX25="","",足元帳!AX25)</f>
        <v/>
      </c>
      <c r="X25" s="125">
        <f>足元帳!BJ25</f>
        <v>0</v>
      </c>
      <c r="Y25" s="305" t="str">
        <f>"総本数"&amp;精算表!BK37&amp;"本"</f>
        <v>総本数0本</v>
      </c>
      <c r="Z25" s="305"/>
      <c r="AA25" s="306"/>
      <c r="AB25" s="305"/>
      <c r="AC25" s="305"/>
      <c r="AR25" s="166" t="s">
        <v>230</v>
      </c>
      <c r="AS25" s="139">
        <f>AO19</f>
        <v>0</v>
      </c>
      <c r="AT25" s="139" t="s">
        <v>231</v>
      </c>
      <c r="AU25" s="142" t="s">
        <v>230</v>
      </c>
      <c r="AV25" s="143">
        <f>AP19</f>
        <v>0</v>
      </c>
      <c r="AW25" s="139" t="s">
        <v>232</v>
      </c>
      <c r="AX25" s="139"/>
      <c r="AY25" s="141"/>
      <c r="AZ25" s="141"/>
      <c r="BA25" s="141"/>
      <c r="BB25" s="141"/>
      <c r="BC25" s="141"/>
      <c r="BD25" s="141"/>
      <c r="BE25" s="164"/>
    </row>
    <row r="26" spans="1:57" ht="13.15" customHeight="1">
      <c r="A26" s="126">
        <v>25</v>
      </c>
      <c r="B26" s="127" t="str">
        <f>IF(足元帳!K26="","",精算表!$W$1)</f>
        <v/>
      </c>
      <c r="C26" s="128" t="str">
        <f>IF(足元帳!K26="","",IF(足元帳!AY26=2,"R","N"))</f>
        <v/>
      </c>
      <c r="D26" s="128" t="str">
        <f>IF(足元帳!K26="","",IF(足元帳!AZ26=1,"姫",IF(足元帳!AZ26=2,"本指名",IF(足元帳!AZ26=3,"NET",IF(足元帳!AZ26=4,"写真","")))))</f>
        <v/>
      </c>
      <c r="E26" s="128" t="str">
        <f>IF(足元帳!K26="","",足元帳!K26)</f>
        <v/>
      </c>
      <c r="F26" s="128" t="str">
        <f>IF(足元帳!K26="","",IF(足元帳!BB26=1,45,IF(足元帳!BB26=2,60,IF(足元帳!BB26=3,75,IF(足元帳!BB26=4,90,IF(足元帳!BB26=5,120,IF(足元帳!BB26=6,150,IF(足元帳!BB26=7,180,""))))))))</f>
        <v/>
      </c>
      <c r="G26" s="128" t="str">
        <f>IF(足元帳!K26="","",足元帳!A26)</f>
        <v/>
      </c>
      <c r="H26" s="125" t="str">
        <f>IF(足元帳!AP26="","",$H$1)</f>
        <v/>
      </c>
      <c r="I26" s="125" t="str">
        <f>IF(足元帳!AQ26="","",$I$1)</f>
        <v/>
      </c>
      <c r="J26" s="125" t="str">
        <f>IF(足元帳!AR26="","",$J$1)</f>
        <v/>
      </c>
      <c r="K26" s="125" t="str">
        <f>IF(足元帳!AS26="","",$K$1)</f>
        <v/>
      </c>
      <c r="L26" s="129" t="str">
        <f>IF(COUNTIF(足元帳!AT26,"*複合*"),"複合","")</f>
        <v/>
      </c>
      <c r="M26" s="129" t="str">
        <f>IF(COUNTIF(足元帳!AT26,"*店頭本指名*"),"店頭本指名","")</f>
        <v/>
      </c>
      <c r="N26" s="125" t="str">
        <f>IF(足元帳!U26="","",足元帳!U26)</f>
        <v/>
      </c>
      <c r="O26" s="125" t="str">
        <f>IF(足元帳!V26="","",足元帳!V26)</f>
        <v/>
      </c>
      <c r="P26" s="125" t="str">
        <f>IF(足元帳!W26="","",足元帳!W26)</f>
        <v/>
      </c>
      <c r="Q26" s="125" t="str">
        <f>IF(足元帳!X26="","",足元帳!X26)</f>
        <v/>
      </c>
      <c r="R26" s="125" t="str">
        <f>IF(足元帳!Y26="","",足元帳!Y26)</f>
        <v/>
      </c>
      <c r="S26" s="125" t="str">
        <f>IF(足元帳!Z26="","",足元帳!Z26)</f>
        <v/>
      </c>
      <c r="T26" s="125" t="str">
        <f>IF(足元帳!AT26="","",足元帳!AT26)</f>
        <v/>
      </c>
      <c r="U26" s="125" t="str">
        <f>IF(足元帳!AH26="●",足元帳!$AH$1&amp;足元帳!AW26,"")</f>
        <v/>
      </c>
      <c r="V26" s="125" t="str">
        <f>IF(足元帳!AI26="●",足元帳!$AI$1&amp;足元帳!AW26,"")</f>
        <v/>
      </c>
      <c r="W26" s="125" t="str">
        <f>IF(足元帳!AX26="","",足元帳!AX26)</f>
        <v/>
      </c>
      <c r="X26" s="125">
        <f>足元帳!BJ26</f>
        <v>0</v>
      </c>
      <c r="Y26" s="305" t="str">
        <f>"総ポイント"&amp;精算表!BJ39&amp;"pt"</f>
        <v>総ポイント0pt</v>
      </c>
      <c r="Z26" s="305"/>
      <c r="AA26" s="306"/>
      <c r="AB26" s="305"/>
      <c r="AC26" s="305"/>
      <c r="AR26" s="163" t="s">
        <v>234</v>
      </c>
      <c r="AS26" s="167"/>
      <c r="AT26" s="139" t="str">
        <f>AJ20+AJ19&amp;"/"</f>
        <v>0/</v>
      </c>
      <c r="AU26" s="139" t="str">
        <f>AK19+AK20&amp;"/"</f>
        <v>0/</v>
      </c>
      <c r="AV26" s="139" t="str">
        <f>AL19+AL20&amp;"/"</f>
        <v>0/</v>
      </c>
      <c r="AW26" s="139" t="str">
        <f>AM19+AM20&amp;"/"</f>
        <v>0/</v>
      </c>
      <c r="AX26" s="139">
        <f>AN19+AN20</f>
        <v>0</v>
      </c>
      <c r="AY26" s="141" t="s">
        <v>228</v>
      </c>
      <c r="AZ26" s="141" t="str">
        <f>AJ21+AJ22&amp;"/"</f>
        <v>0/</v>
      </c>
      <c r="BA26" s="141" t="str">
        <f>AK21+AK22&amp;"/"</f>
        <v>0/</v>
      </c>
      <c r="BB26" s="141" t="str">
        <f>AL21+AL22&amp;"/"</f>
        <v>0/</v>
      </c>
      <c r="BC26" s="141" t="str">
        <f>AM21+AM22&amp;"/"</f>
        <v>0/</v>
      </c>
      <c r="BD26" s="141">
        <f>AN21+AN22</f>
        <v>0</v>
      </c>
      <c r="BE26" s="164" t="s">
        <v>229</v>
      </c>
    </row>
    <row r="27" spans="1:57" ht="13.15" customHeight="1">
      <c r="A27" s="126">
        <v>26</v>
      </c>
      <c r="B27" s="127" t="str">
        <f>IF(足元帳!K27="","",精算表!$W$1)</f>
        <v/>
      </c>
      <c r="C27" s="128" t="str">
        <f>IF(足元帳!K27="","",IF(足元帳!AY27=2,"R","N"))</f>
        <v/>
      </c>
      <c r="D27" s="128" t="str">
        <f>IF(足元帳!K27="","",IF(足元帳!AZ27=1,"姫",IF(足元帳!AZ27=2,"本指名",IF(足元帳!AZ27=3,"NET",IF(足元帳!AZ27=4,"写真","")))))</f>
        <v/>
      </c>
      <c r="E27" s="128" t="str">
        <f>IF(足元帳!K27="","",足元帳!K27)</f>
        <v/>
      </c>
      <c r="F27" s="128" t="str">
        <f>IF(足元帳!K27="","",IF(足元帳!BB27=1,45,IF(足元帳!BB27=2,60,IF(足元帳!BB27=3,75,IF(足元帳!BB27=4,90,IF(足元帳!BB27=5,120,IF(足元帳!BB27=6,150,IF(足元帳!BB27=7,180,""))))))))</f>
        <v/>
      </c>
      <c r="G27" s="128" t="str">
        <f>IF(足元帳!K27="","",足元帳!A27)</f>
        <v/>
      </c>
      <c r="H27" s="125" t="str">
        <f>IF(足元帳!AP27="","",$H$1)</f>
        <v/>
      </c>
      <c r="I27" s="125" t="str">
        <f>IF(足元帳!AQ27="","",$I$1)</f>
        <v/>
      </c>
      <c r="J27" s="125" t="str">
        <f>IF(足元帳!AR27="","",$J$1)</f>
        <v/>
      </c>
      <c r="K27" s="125" t="str">
        <f>IF(足元帳!AS27="","",$K$1)</f>
        <v/>
      </c>
      <c r="L27" s="129" t="str">
        <f>IF(COUNTIF(足元帳!AT27,"*複合*"),"複合","")</f>
        <v/>
      </c>
      <c r="M27" s="129" t="str">
        <f>IF(COUNTIF(足元帳!AT27,"*店頭本指名*"),"店頭本指名","")</f>
        <v/>
      </c>
      <c r="N27" s="125" t="str">
        <f>IF(足元帳!U27="","",足元帳!U27)</f>
        <v/>
      </c>
      <c r="O27" s="125" t="str">
        <f>IF(足元帳!V27="","",足元帳!V27)</f>
        <v/>
      </c>
      <c r="P27" s="125" t="str">
        <f>IF(足元帳!W27="","",足元帳!W27)</f>
        <v/>
      </c>
      <c r="Q27" s="125" t="str">
        <f>IF(足元帳!X27="","",足元帳!X27)</f>
        <v/>
      </c>
      <c r="R27" s="125" t="str">
        <f>IF(足元帳!Y27="","",足元帳!Y27)</f>
        <v/>
      </c>
      <c r="S27" s="125" t="str">
        <f>IF(足元帳!Z27="","",足元帳!Z27)</f>
        <v/>
      </c>
      <c r="T27" s="125" t="str">
        <f>IF(足元帳!AT27="","",足元帳!AT27)</f>
        <v/>
      </c>
      <c r="U27" s="125" t="str">
        <f>IF(足元帳!AH27="●",足元帳!$AH$1&amp;足元帳!AW27,"")</f>
        <v/>
      </c>
      <c r="V27" s="125" t="str">
        <f>IF(足元帳!AI27="●",足元帳!$AI$1&amp;足元帳!AW27,"")</f>
        <v/>
      </c>
      <c r="W27" s="125" t="str">
        <f>IF(足元帳!AX27="","",足元帳!AX27)</f>
        <v/>
      </c>
      <c r="X27" s="125">
        <f>足元帳!BJ27</f>
        <v>0</v>
      </c>
      <c r="Y27" s="305"/>
      <c r="Z27" s="305"/>
      <c r="AA27" s="306"/>
      <c r="AB27" s="305"/>
      <c r="AC27" s="305"/>
      <c r="AR27" s="163"/>
      <c r="AS27" s="139">
        <f>AO19+AO20</f>
        <v>0</v>
      </c>
      <c r="AT27" s="139" t="s">
        <v>231</v>
      </c>
      <c r="AU27" s="139"/>
      <c r="AV27" s="143">
        <f>AP19+AP20</f>
        <v>0</v>
      </c>
      <c r="AW27" s="139" t="s">
        <v>232</v>
      </c>
      <c r="AX27" s="139"/>
      <c r="AY27" s="141"/>
      <c r="AZ27" s="141"/>
      <c r="BA27" s="141"/>
      <c r="BB27" s="141"/>
      <c r="BC27" s="141"/>
      <c r="BD27" s="141"/>
      <c r="BE27" s="164"/>
    </row>
    <row r="28" spans="1:57" ht="13.15" customHeight="1">
      <c r="A28" s="126">
        <v>27</v>
      </c>
      <c r="B28" s="127" t="str">
        <f>IF(足元帳!K28="","",精算表!$W$1)</f>
        <v/>
      </c>
      <c r="C28" s="128" t="str">
        <f>IF(足元帳!K28="","",IF(足元帳!AY28=2,"R","N"))</f>
        <v/>
      </c>
      <c r="D28" s="128" t="str">
        <f>IF(足元帳!K28="","",IF(足元帳!AZ28=1,"姫",IF(足元帳!AZ28=2,"本指名",IF(足元帳!AZ28=3,"NET",IF(足元帳!AZ28=4,"写真","")))))</f>
        <v/>
      </c>
      <c r="E28" s="128" t="str">
        <f>IF(足元帳!K28="","",足元帳!K28)</f>
        <v/>
      </c>
      <c r="F28" s="128" t="str">
        <f>IF(足元帳!K28="","",IF(足元帳!BB28=1,45,IF(足元帳!BB28=2,60,IF(足元帳!BB28=3,75,IF(足元帳!BB28=4,90,IF(足元帳!BB28=5,120,IF(足元帳!BB28=6,150,IF(足元帳!BB28=7,180,""))))))))</f>
        <v/>
      </c>
      <c r="G28" s="128" t="str">
        <f>IF(足元帳!K28="","",足元帳!A28)</f>
        <v/>
      </c>
      <c r="H28" s="125" t="str">
        <f>IF(足元帳!AP28="","",$H$1)</f>
        <v/>
      </c>
      <c r="I28" s="125" t="str">
        <f>IF(足元帳!AQ28="","",$I$1)</f>
        <v/>
      </c>
      <c r="J28" s="125" t="str">
        <f>IF(足元帳!AR28="","",$J$1)</f>
        <v/>
      </c>
      <c r="K28" s="125" t="str">
        <f>IF(足元帳!AS28="","",$K$1)</f>
        <v/>
      </c>
      <c r="L28" s="129" t="str">
        <f>IF(COUNTIF(足元帳!AT28,"*複合*"),"複合","")</f>
        <v/>
      </c>
      <c r="M28" s="129" t="str">
        <f>IF(COUNTIF(足元帳!AT28,"*店頭本指名*"),"店頭本指名","")</f>
        <v/>
      </c>
      <c r="N28" s="125" t="str">
        <f>IF(足元帳!U28="","",足元帳!U28)</f>
        <v/>
      </c>
      <c r="O28" s="125" t="str">
        <f>IF(足元帳!V28="","",足元帳!V28)</f>
        <v/>
      </c>
      <c r="P28" s="125" t="str">
        <f>IF(足元帳!W28="","",足元帳!W28)</f>
        <v/>
      </c>
      <c r="Q28" s="125" t="str">
        <f>IF(足元帳!X28="","",足元帳!X28)</f>
        <v/>
      </c>
      <c r="R28" s="125" t="str">
        <f>IF(足元帳!Y28="","",足元帳!Y28)</f>
        <v/>
      </c>
      <c r="S28" s="125" t="str">
        <f>IF(足元帳!Z28="","",足元帳!Z28)</f>
        <v/>
      </c>
      <c r="T28" s="125" t="str">
        <f>IF(足元帳!AT28="","",足元帳!AT28)</f>
        <v/>
      </c>
      <c r="U28" s="125" t="str">
        <f>IF(足元帳!AH28="●",足元帳!$AH$1&amp;足元帳!AW28,"")</f>
        <v/>
      </c>
      <c r="V28" s="125" t="str">
        <f>IF(足元帳!AI28="●",足元帳!$AI$1&amp;足元帳!AW28,"")</f>
        <v/>
      </c>
      <c r="W28" s="125" t="str">
        <f>IF(足元帳!AX28="","",足元帳!AX28)</f>
        <v/>
      </c>
      <c r="X28" s="125">
        <f>足元帳!BJ28</f>
        <v>0</v>
      </c>
      <c r="Y28" s="305" t="str">
        <f>"当日予算比"&amp;精算表!BJ39-AA28&amp;"pt"</f>
        <v>当日予算比0pt</v>
      </c>
      <c r="Z28" s="305"/>
      <c r="AA28" s="307">
        <v>0</v>
      </c>
      <c r="AB28" s="305" t="s">
        <v>257</v>
      </c>
      <c r="AC28" s="305"/>
      <c r="AR28" s="163" t="s">
        <v>225</v>
      </c>
      <c r="AS28" s="139" t="s">
        <v>222</v>
      </c>
      <c r="AT28" s="139">
        <f>AI25</f>
        <v>0</v>
      </c>
      <c r="AU28" s="139" t="s">
        <v>235</v>
      </c>
      <c r="AV28" s="139" t="s">
        <v>230</v>
      </c>
      <c r="AW28" s="139" t="s">
        <v>223</v>
      </c>
      <c r="AX28" s="139">
        <f>AJ25</f>
        <v>0</v>
      </c>
      <c r="AY28" s="141" t="s">
        <v>235</v>
      </c>
      <c r="AZ28" s="141"/>
      <c r="BA28" s="141"/>
      <c r="BB28" s="141"/>
      <c r="BC28" s="141"/>
      <c r="BD28" s="141"/>
      <c r="BE28" s="164"/>
    </row>
    <row r="29" spans="1:57" ht="13.15" customHeight="1" thickBot="1">
      <c r="A29" s="126">
        <v>28</v>
      </c>
      <c r="B29" s="127" t="str">
        <f>IF(足元帳!K29="","",精算表!$W$1)</f>
        <v/>
      </c>
      <c r="C29" s="128" t="str">
        <f>IF(足元帳!K29="","",IF(足元帳!AY29=2,"R","N"))</f>
        <v/>
      </c>
      <c r="D29" s="128" t="str">
        <f>IF(足元帳!K29="","",IF(足元帳!AZ29=1,"姫",IF(足元帳!AZ29=2,"本指名",IF(足元帳!AZ29=3,"NET",IF(足元帳!AZ29=4,"写真","")))))</f>
        <v/>
      </c>
      <c r="E29" s="128" t="str">
        <f>IF(足元帳!K29="","",足元帳!K29)</f>
        <v/>
      </c>
      <c r="F29" s="128" t="str">
        <f>IF(足元帳!K29="","",IF(足元帳!BB29=1,45,IF(足元帳!BB29=2,60,IF(足元帳!BB29=3,75,IF(足元帳!BB29=4,90,IF(足元帳!BB29=5,120,IF(足元帳!BB29=6,150,IF(足元帳!BB29=7,180,""))))))))</f>
        <v/>
      </c>
      <c r="G29" s="128" t="str">
        <f>IF(足元帳!K29="","",足元帳!A29)</f>
        <v/>
      </c>
      <c r="H29" s="125" t="str">
        <f>IF(足元帳!AP29="","",$H$1)</f>
        <v/>
      </c>
      <c r="I29" s="125" t="str">
        <f>IF(足元帳!AQ29="","",$I$1)</f>
        <v/>
      </c>
      <c r="J29" s="125" t="str">
        <f>IF(足元帳!AR29="","",$J$1)</f>
        <v/>
      </c>
      <c r="K29" s="125" t="str">
        <f>IF(足元帳!AS29="","",$K$1)</f>
        <v/>
      </c>
      <c r="L29" s="129" t="str">
        <f>IF(COUNTIF(足元帳!AT29,"*複合*"),"複合","")</f>
        <v/>
      </c>
      <c r="M29" s="129" t="str">
        <f>IF(COUNTIF(足元帳!AT29,"*店頭本指名*"),"店頭本指名","")</f>
        <v/>
      </c>
      <c r="N29" s="125" t="str">
        <f>IF(足元帳!U29="","",足元帳!U29)</f>
        <v/>
      </c>
      <c r="O29" s="125" t="str">
        <f>IF(足元帳!V29="","",足元帳!V29)</f>
        <v/>
      </c>
      <c r="P29" s="125" t="str">
        <f>IF(足元帳!W29="","",足元帳!W29)</f>
        <v/>
      </c>
      <c r="Q29" s="125" t="str">
        <f>IF(足元帳!X29="","",足元帳!X29)</f>
        <v/>
      </c>
      <c r="R29" s="125" t="str">
        <f>IF(足元帳!Y29="","",足元帳!Y29)</f>
        <v/>
      </c>
      <c r="S29" s="125" t="str">
        <f>IF(足元帳!Z29="","",足元帳!Z29)</f>
        <v/>
      </c>
      <c r="T29" s="125" t="str">
        <f>IF(足元帳!AT29="","",足元帳!AT29)</f>
        <v/>
      </c>
      <c r="U29" s="125" t="str">
        <f>IF(足元帳!AH29="●",足元帳!$AH$1&amp;足元帳!AW29,"")</f>
        <v/>
      </c>
      <c r="V29" s="125" t="str">
        <f>IF(足元帳!AI29="●",足元帳!$AI$1&amp;足元帳!AW29,"")</f>
        <v/>
      </c>
      <c r="W29" s="125" t="str">
        <f>IF(足元帳!AX29="","",足元帳!AX29)</f>
        <v/>
      </c>
      <c r="X29" s="125">
        <f>足元帳!BJ29</f>
        <v>0</v>
      </c>
      <c r="Y29" s="306" t="str">
        <f>"当月予算比"&amp;AA29-(AA28-精算表!BJ39)&amp;"pt"</f>
        <v>当月予算比0pt</v>
      </c>
      <c r="Z29" s="306"/>
      <c r="AA29" s="307">
        <v>0</v>
      </c>
      <c r="AB29" s="650" t="s">
        <v>258</v>
      </c>
      <c r="AC29" s="651"/>
      <c r="AR29" s="168" t="s">
        <v>236</v>
      </c>
      <c r="AS29" s="169"/>
      <c r="AT29" s="169"/>
      <c r="AU29" s="169"/>
      <c r="AV29" s="169"/>
      <c r="AW29" s="169"/>
      <c r="AX29" s="169"/>
      <c r="AY29" s="170"/>
      <c r="AZ29" s="170"/>
      <c r="BA29" s="170"/>
      <c r="BB29" s="170"/>
      <c r="BC29" s="170"/>
      <c r="BD29" s="170"/>
      <c r="BE29" s="171"/>
    </row>
    <row r="30" spans="1:57" ht="13.15" customHeight="1">
      <c r="A30" s="126">
        <v>29</v>
      </c>
      <c r="B30" s="127" t="str">
        <f>IF(足元帳!K30="","",精算表!$W$1)</f>
        <v/>
      </c>
      <c r="C30" s="128" t="str">
        <f>IF(足元帳!K30="","",IF(足元帳!AY30=2,"R","N"))</f>
        <v/>
      </c>
      <c r="D30" s="128" t="str">
        <f>IF(足元帳!K30="","",IF(足元帳!AZ30=1,"姫",IF(足元帳!AZ30=2,"本指名",IF(足元帳!AZ30=3,"NET",IF(足元帳!AZ30=4,"写真","")))))</f>
        <v/>
      </c>
      <c r="E30" s="128" t="str">
        <f>IF(足元帳!K30="","",足元帳!K30)</f>
        <v/>
      </c>
      <c r="F30" s="128" t="str">
        <f>IF(足元帳!K30="","",IF(足元帳!BB30=1,45,IF(足元帳!BB30=2,60,IF(足元帳!BB30=3,75,IF(足元帳!BB30=4,90,IF(足元帳!BB30=5,120,IF(足元帳!BB30=6,150,IF(足元帳!BB30=7,180,""))))))))</f>
        <v/>
      </c>
      <c r="G30" s="128" t="str">
        <f>IF(足元帳!K30="","",足元帳!A30)</f>
        <v/>
      </c>
      <c r="H30" s="125" t="str">
        <f>IF(足元帳!AP30="","",$H$1)</f>
        <v/>
      </c>
      <c r="I30" s="125" t="str">
        <f>IF(足元帳!AQ30="","",$I$1)</f>
        <v/>
      </c>
      <c r="J30" s="125" t="str">
        <f>IF(足元帳!AR30="","",$J$1)</f>
        <v/>
      </c>
      <c r="K30" s="125" t="str">
        <f>IF(足元帳!AS30="","",$K$1)</f>
        <v/>
      </c>
      <c r="L30" s="129" t="str">
        <f>IF(COUNTIF(足元帳!AT30,"*複合*"),"複合","")</f>
        <v/>
      </c>
      <c r="M30" s="129" t="str">
        <f>IF(COUNTIF(足元帳!AT30,"*店頭本指名*"),"店頭本指名","")</f>
        <v/>
      </c>
      <c r="N30" s="125" t="str">
        <f>IF(足元帳!U30="","",足元帳!U30)</f>
        <v/>
      </c>
      <c r="O30" s="125" t="str">
        <f>IF(足元帳!V30="","",足元帳!V30)</f>
        <v/>
      </c>
      <c r="P30" s="125" t="str">
        <f>IF(足元帳!W30="","",足元帳!W30)</f>
        <v/>
      </c>
      <c r="Q30" s="125" t="str">
        <f>IF(足元帳!X30="","",足元帳!X30)</f>
        <v/>
      </c>
      <c r="R30" s="125" t="str">
        <f>IF(足元帳!Y30="","",足元帳!Y30)</f>
        <v/>
      </c>
      <c r="S30" s="125" t="str">
        <f>IF(足元帳!Z30="","",足元帳!Z30)</f>
        <v/>
      </c>
      <c r="T30" s="125" t="str">
        <f>IF(足元帳!AT30="","",足元帳!AT30)</f>
        <v/>
      </c>
      <c r="U30" s="125" t="str">
        <f>IF(足元帳!AH30="●",足元帳!$AH$1&amp;足元帳!AW30,"")</f>
        <v/>
      </c>
      <c r="V30" s="125" t="str">
        <f>IF(足元帳!AI30="●",足元帳!$AI$1&amp;足元帳!AW30,"")</f>
        <v/>
      </c>
      <c r="W30" s="125" t="str">
        <f>IF(足元帳!AX30="","",足元帳!AX30)</f>
        <v/>
      </c>
      <c r="X30" s="125">
        <f>足元帳!BJ30</f>
        <v>0</v>
      </c>
      <c r="Y30" s="305" t="str">
        <f>"当月累計"&amp;AA30+精算表!BJ39&amp;"pt"</f>
        <v>当月累計0pt</v>
      </c>
      <c r="Z30" s="305"/>
      <c r="AA30" s="307">
        <v>0</v>
      </c>
      <c r="AB30" s="312" t="s">
        <v>255</v>
      </c>
      <c r="AC30" s="305"/>
      <c r="AR30" s="138"/>
      <c r="AS30" s="138"/>
      <c r="AT30" s="138"/>
      <c r="AU30" s="138"/>
      <c r="AV30" s="138"/>
      <c r="AW30" s="138"/>
      <c r="AX30" s="138"/>
      <c r="AY30" s="138"/>
    </row>
    <row r="31" spans="1:57" ht="13.15" customHeight="1" thickBot="1">
      <c r="A31" s="126">
        <v>30</v>
      </c>
      <c r="B31" s="127" t="str">
        <f>IF(足元帳!K31="","",精算表!$W$1)</f>
        <v/>
      </c>
      <c r="C31" s="128" t="str">
        <f>IF(足元帳!K31="","",IF(足元帳!AY31=2,"R","N"))</f>
        <v/>
      </c>
      <c r="D31" s="128" t="str">
        <f>IF(足元帳!K31="","",IF(足元帳!AZ31=1,"姫",IF(足元帳!AZ31=2,"本指名",IF(足元帳!AZ31=3,"NET",IF(足元帳!AZ31=4,"写真","")))))</f>
        <v/>
      </c>
      <c r="E31" s="128" t="str">
        <f>IF(足元帳!K31="","",足元帳!K31)</f>
        <v/>
      </c>
      <c r="F31" s="128" t="str">
        <f>IF(足元帳!K31="","",IF(足元帳!BB31=1,45,IF(足元帳!BB31=2,60,IF(足元帳!BB31=3,75,IF(足元帳!BB31=4,90,IF(足元帳!BB31=5,120,IF(足元帳!BB31=6,150,IF(足元帳!BB31=7,180,""))))))))</f>
        <v/>
      </c>
      <c r="G31" s="128" t="str">
        <f>IF(足元帳!K31="","",足元帳!A31)</f>
        <v/>
      </c>
      <c r="H31" s="125" t="str">
        <f>IF(足元帳!AP31="","",$H$1)</f>
        <v/>
      </c>
      <c r="I31" s="125" t="str">
        <f>IF(足元帳!AQ31="","",$I$1)</f>
        <v/>
      </c>
      <c r="J31" s="125" t="str">
        <f>IF(足元帳!AR31="","",$J$1)</f>
        <v/>
      </c>
      <c r="K31" s="125" t="str">
        <f>IF(足元帳!AS31="","",$K$1)</f>
        <v/>
      </c>
      <c r="L31" s="129" t="str">
        <f>IF(COUNTIF(足元帳!AT31,"*複合*"),"複合","")</f>
        <v/>
      </c>
      <c r="M31" s="129" t="str">
        <f>IF(COUNTIF(足元帳!AT31,"*店頭本指名*"),"店頭本指名","")</f>
        <v/>
      </c>
      <c r="N31" s="125" t="str">
        <f>IF(足元帳!U31="","",足元帳!U31)</f>
        <v/>
      </c>
      <c r="O31" s="125" t="str">
        <f>IF(足元帳!V31="","",足元帳!V31)</f>
        <v/>
      </c>
      <c r="P31" s="125" t="str">
        <f>IF(足元帳!W31="","",足元帳!W31)</f>
        <v/>
      </c>
      <c r="Q31" s="125" t="str">
        <f>IF(足元帳!X31="","",足元帳!X31)</f>
        <v/>
      </c>
      <c r="R31" s="125" t="str">
        <f>IF(足元帳!Y31="","",足元帳!Y31)</f>
        <v/>
      </c>
      <c r="S31" s="125" t="str">
        <f>IF(足元帳!Z31="","",足元帳!Z31)</f>
        <v/>
      </c>
      <c r="T31" s="125" t="str">
        <f>IF(足元帳!AT31="","",足元帳!AT31)</f>
        <v/>
      </c>
      <c r="U31" s="125" t="str">
        <f>IF(足元帳!AH31="●",足元帳!$AH$1&amp;足元帳!AW31,"")</f>
        <v/>
      </c>
      <c r="V31" s="125" t="str">
        <f>IF(足元帳!AI31="●",足元帳!$AI$1&amp;足元帳!AW31,"")</f>
        <v/>
      </c>
      <c r="W31" s="125" t="str">
        <f>IF(足元帳!AX31="","",足元帳!AX31)</f>
        <v/>
      </c>
      <c r="X31" s="125">
        <f>足元帳!BJ31</f>
        <v>0</v>
      </c>
      <c r="Y31" s="305"/>
      <c r="Z31" s="305"/>
      <c r="AA31" s="306"/>
      <c r="AB31" s="312"/>
      <c r="AC31" s="305"/>
      <c r="AH31" s="124"/>
      <c r="AI31" s="135"/>
      <c r="AJ31" s="135">
        <v>45</v>
      </c>
      <c r="AK31" s="135">
        <v>60</v>
      </c>
      <c r="AL31" s="135">
        <v>75</v>
      </c>
      <c r="AM31" s="135">
        <v>90</v>
      </c>
      <c r="AN31" s="135">
        <v>110</v>
      </c>
      <c r="AO31" s="135" t="s">
        <v>210</v>
      </c>
      <c r="AP31" s="135" t="s">
        <v>211</v>
      </c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</row>
    <row r="32" spans="1:57" ht="13.15" customHeight="1">
      <c r="A32" s="126">
        <v>31</v>
      </c>
      <c r="B32" s="127" t="str">
        <f>IF(足元帳!K32="","",精算表!$W$1)</f>
        <v/>
      </c>
      <c r="C32" s="128" t="str">
        <f>IF(足元帳!K32="","",IF(足元帳!AY32=2,"R","N"))</f>
        <v/>
      </c>
      <c r="D32" s="128" t="str">
        <f>IF(足元帳!K32="","",IF(足元帳!AZ32=1,"姫",IF(足元帳!AZ32=2,"本指名",IF(足元帳!AZ32=3,"NET",IF(足元帳!AZ32=4,"写真","")))))</f>
        <v/>
      </c>
      <c r="E32" s="128" t="str">
        <f>IF(足元帳!K32="","",足元帳!K32)</f>
        <v/>
      </c>
      <c r="F32" s="128" t="str">
        <f>IF(足元帳!K32="","",IF(足元帳!BB32=1,45,IF(足元帳!BB32=2,60,IF(足元帳!BB32=3,75,IF(足元帳!BB32=4,90,IF(足元帳!BB32=5,120,IF(足元帳!BB32=6,150,IF(足元帳!BB32=7,180,""))))))))</f>
        <v/>
      </c>
      <c r="G32" s="128" t="str">
        <f>IF(足元帳!K32="","",足元帳!A32)</f>
        <v/>
      </c>
      <c r="H32" s="125" t="str">
        <f>IF(足元帳!AP32="","",$H$1)</f>
        <v/>
      </c>
      <c r="I32" s="125" t="str">
        <f>IF(足元帳!AQ32="","",$I$1)</f>
        <v/>
      </c>
      <c r="J32" s="125" t="str">
        <f>IF(足元帳!AR32="","",$J$1)</f>
        <v/>
      </c>
      <c r="K32" s="125" t="str">
        <f>IF(足元帳!AS32="","",$K$1)</f>
        <v/>
      </c>
      <c r="L32" s="129" t="str">
        <f>IF(COUNTIF(足元帳!AT32,"*複合*"),"複合","")</f>
        <v/>
      </c>
      <c r="M32" s="129" t="str">
        <f>IF(COUNTIF(足元帳!AT32,"*店頭本指名*"),"店頭本指名","")</f>
        <v/>
      </c>
      <c r="N32" s="125" t="str">
        <f>IF(足元帳!U32="","",足元帳!U32)</f>
        <v/>
      </c>
      <c r="O32" s="125" t="str">
        <f>IF(足元帳!V32="","",足元帳!V32)</f>
        <v/>
      </c>
      <c r="P32" s="125" t="str">
        <f>IF(足元帳!W32="","",足元帳!W32)</f>
        <v/>
      </c>
      <c r="Q32" s="125" t="str">
        <f>IF(足元帳!X32="","",足元帳!X32)</f>
        <v/>
      </c>
      <c r="R32" s="125" t="str">
        <f>IF(足元帳!Y32="","",足元帳!Y32)</f>
        <v/>
      </c>
      <c r="S32" s="125" t="str">
        <f>IF(足元帳!Z32="","",足元帳!Z32)</f>
        <v/>
      </c>
      <c r="T32" s="125" t="str">
        <f>IF(足元帳!AT32="","",足元帳!AT32)</f>
        <v/>
      </c>
      <c r="U32" s="125" t="str">
        <f>IF(足元帳!AH32="●",足元帳!$AH$1&amp;足元帳!AW32,"")</f>
        <v/>
      </c>
      <c r="V32" s="125" t="str">
        <f>IF(足元帳!AI32="●",足元帳!$AI$1&amp;足元帳!AW32,"")</f>
        <v/>
      </c>
      <c r="W32" s="125" t="str">
        <f>IF(足元帳!AX32="","",足元帳!AX32)</f>
        <v/>
      </c>
      <c r="X32" s="125">
        <f>足元帳!BJ32</f>
        <v>0</v>
      </c>
      <c r="Y32" s="305" t="str">
        <f>"本日予算"&amp;AA32&amp;"pt"</f>
        <v>本日予算0pt</v>
      </c>
      <c r="Z32" s="305"/>
      <c r="AA32" s="307">
        <v>0</v>
      </c>
      <c r="AB32" s="312" t="s">
        <v>256</v>
      </c>
      <c r="AC32" s="305"/>
      <c r="AH32" s="642" t="s">
        <v>212</v>
      </c>
      <c r="AI32" s="135">
        <v>8</v>
      </c>
      <c r="AJ32" s="135">
        <f t="shared" ref="AJ32:AN33" si="9">COUNTIFS($G$2:$G$258,$AI32,$F$2:$F$258,AJ$1)</f>
        <v>0</v>
      </c>
      <c r="AK32" s="135">
        <f t="shared" si="9"/>
        <v>0</v>
      </c>
      <c r="AL32" s="135">
        <f t="shared" si="9"/>
        <v>0</v>
      </c>
      <c r="AM32" s="135">
        <f t="shared" si="9"/>
        <v>0</v>
      </c>
      <c r="AN32" s="135">
        <f t="shared" si="9"/>
        <v>0</v>
      </c>
      <c r="AO32" s="135">
        <f>AJ32+AK32+AL32+AM32+AN32</f>
        <v>0</v>
      </c>
      <c r="AP32" s="136">
        <f>AJ32*0.75+AK32*1+AL32*1.17+AM32*1.5+AN32*1.83</f>
        <v>0</v>
      </c>
      <c r="AR32" s="175">
        <f>MONTH(精算表!W1)</f>
        <v>10</v>
      </c>
      <c r="AS32" s="176" t="s">
        <v>213</v>
      </c>
      <c r="AT32" s="176">
        <f>DAY(精算表!W1)</f>
        <v>17</v>
      </c>
      <c r="AU32" s="176" t="s">
        <v>214</v>
      </c>
      <c r="AV32" s="176" t="str">
        <f>TEXT(精算表!W1,"aaaa")</f>
        <v>木曜日</v>
      </c>
      <c r="AW32" s="177" t="s">
        <v>237</v>
      </c>
      <c r="AX32" s="176"/>
      <c r="AY32" s="178"/>
      <c r="AZ32" s="178"/>
      <c r="BA32" s="178"/>
      <c r="BB32" s="178"/>
      <c r="BC32" s="178"/>
      <c r="BD32" s="178"/>
      <c r="BE32" s="179"/>
    </row>
    <row r="33" spans="1:57" ht="13.15" customHeight="1">
      <c r="A33" s="126">
        <v>32</v>
      </c>
      <c r="B33" s="127" t="str">
        <f>IF(足元帳!K33="","",精算表!$W$1)</f>
        <v/>
      </c>
      <c r="C33" s="128" t="str">
        <f>IF(足元帳!K33="","",IF(足元帳!AY33=2,"R","N"))</f>
        <v/>
      </c>
      <c r="D33" s="128" t="str">
        <f>IF(足元帳!K33="","",IF(足元帳!AZ33=1,"姫",IF(足元帳!AZ33=2,"本指名",IF(足元帳!AZ33=3,"NET",IF(足元帳!AZ33=4,"写真","")))))</f>
        <v/>
      </c>
      <c r="E33" s="128" t="str">
        <f>IF(足元帳!K33="","",足元帳!K33)</f>
        <v/>
      </c>
      <c r="F33" s="128" t="str">
        <f>IF(足元帳!K33="","",IF(足元帳!BB33=1,45,IF(足元帳!BB33=2,60,IF(足元帳!BB33=3,75,IF(足元帳!BB33=4,90,IF(足元帳!BB33=5,120,IF(足元帳!BB33=6,150,IF(足元帳!BB33=7,180,""))))))))</f>
        <v/>
      </c>
      <c r="G33" s="128" t="str">
        <f>IF(足元帳!K33="","",足元帳!A33)</f>
        <v/>
      </c>
      <c r="H33" s="125" t="str">
        <f>IF(足元帳!AP33="","",$H$1)</f>
        <v/>
      </c>
      <c r="I33" s="125" t="str">
        <f>IF(足元帳!AQ33="","",$I$1)</f>
        <v/>
      </c>
      <c r="J33" s="125" t="str">
        <f>IF(足元帳!AR33="","",$J$1)</f>
        <v/>
      </c>
      <c r="K33" s="125" t="str">
        <f>IF(足元帳!AS33="","",$K$1)</f>
        <v/>
      </c>
      <c r="L33" s="129" t="str">
        <f>IF(COUNTIF(足元帳!AT33,"*複合*"),"複合","")</f>
        <v/>
      </c>
      <c r="M33" s="129" t="str">
        <f>IF(COUNTIF(足元帳!AT33,"*店頭本指名*"),"店頭本指名","")</f>
        <v/>
      </c>
      <c r="N33" s="125" t="str">
        <f>IF(足元帳!U33="","",足元帳!U33)</f>
        <v/>
      </c>
      <c r="O33" s="125" t="str">
        <f>IF(足元帳!V33="","",足元帳!V33)</f>
        <v/>
      </c>
      <c r="P33" s="125" t="str">
        <f>IF(足元帳!W33="","",足元帳!W33)</f>
        <v/>
      </c>
      <c r="Q33" s="125" t="str">
        <f>IF(足元帳!X33="","",足元帳!X33)</f>
        <v/>
      </c>
      <c r="R33" s="125" t="str">
        <f>IF(足元帳!Y33="","",足元帳!Y33)</f>
        <v/>
      </c>
      <c r="S33" s="125" t="str">
        <f>IF(足元帳!Z33="","",足元帳!Z33)</f>
        <v/>
      </c>
      <c r="T33" s="125" t="str">
        <f>IF(足元帳!AT33="","",足元帳!AT33)</f>
        <v/>
      </c>
      <c r="U33" s="125" t="str">
        <f>IF(足元帳!AH33="●",足元帳!$AH$1&amp;足元帳!AW33,"")</f>
        <v/>
      </c>
      <c r="V33" s="125" t="str">
        <f>IF(足元帳!AI33="●",足元帳!$AI$1&amp;足元帳!AW33,"")</f>
        <v/>
      </c>
      <c r="W33" s="125" t="str">
        <f>IF(足元帳!AX33="","",足元帳!AX33)</f>
        <v/>
      </c>
      <c r="X33" s="125">
        <f>足元帳!BJ33</f>
        <v>0</v>
      </c>
      <c r="Y33" s="305"/>
      <c r="Z33" s="305"/>
      <c r="AA33" s="306"/>
      <c r="AB33" s="312"/>
      <c r="AC33" s="305"/>
      <c r="AH33" s="642"/>
      <c r="AI33" s="135">
        <v>9</v>
      </c>
      <c r="AJ33" s="135">
        <f t="shared" si="9"/>
        <v>0</v>
      </c>
      <c r="AK33" s="135">
        <f t="shared" si="9"/>
        <v>0</v>
      </c>
      <c r="AL33" s="135">
        <f t="shared" si="9"/>
        <v>0</v>
      </c>
      <c r="AM33" s="135">
        <f t="shared" si="9"/>
        <v>0</v>
      </c>
      <c r="AN33" s="135">
        <f t="shared" si="9"/>
        <v>0</v>
      </c>
      <c r="AO33" s="135">
        <f>AJ33+AK33+AL33+AM33+AN33</f>
        <v>0</v>
      </c>
      <c r="AP33" s="136">
        <f>AJ33*0.75+AK33*1+AL33*1.17+AM33*1.5+AN33*1.83</f>
        <v>0</v>
      </c>
      <c r="AR33" s="173" t="s">
        <v>216</v>
      </c>
      <c r="AS33" s="139"/>
      <c r="AT33" s="139"/>
      <c r="AU33" s="139"/>
      <c r="AV33" s="139"/>
      <c r="AW33" s="139"/>
      <c r="AX33" s="139"/>
      <c r="AY33" s="141"/>
      <c r="AZ33" s="141"/>
      <c r="BA33" s="141"/>
      <c r="BB33" s="141"/>
      <c r="BC33" s="141"/>
      <c r="BD33" s="141"/>
      <c r="BE33" s="164"/>
    </row>
    <row r="34" spans="1:57" ht="13.15" customHeight="1">
      <c r="A34" s="126">
        <v>33</v>
      </c>
      <c r="B34" s="127" t="str">
        <f>IF(足元帳!K34="","",精算表!$W$1)</f>
        <v/>
      </c>
      <c r="C34" s="128" t="str">
        <f>IF(足元帳!K34="","",IF(足元帳!AY34=2,"R","N"))</f>
        <v/>
      </c>
      <c r="D34" s="128" t="str">
        <f>IF(足元帳!K34="","",IF(足元帳!AZ34=1,"姫",IF(足元帳!AZ34=2,"本指名",IF(足元帳!AZ34=3,"NET",IF(足元帳!AZ34=4,"写真","")))))</f>
        <v/>
      </c>
      <c r="E34" s="128" t="str">
        <f>IF(足元帳!K34="","",足元帳!K34)</f>
        <v/>
      </c>
      <c r="F34" s="128" t="str">
        <f>IF(足元帳!K34="","",IF(足元帳!BB34=1,45,IF(足元帳!BB34=2,60,IF(足元帳!BB34=3,75,IF(足元帳!BB34=4,90,IF(足元帳!BB34=5,120,IF(足元帳!BB34=6,150,IF(足元帳!BB34=7,180,""))))))))</f>
        <v/>
      </c>
      <c r="G34" s="128" t="str">
        <f>IF(足元帳!K34="","",足元帳!A34)</f>
        <v/>
      </c>
      <c r="H34" s="125" t="str">
        <f>IF(足元帳!AP34="","",$H$1)</f>
        <v/>
      </c>
      <c r="I34" s="125" t="str">
        <f>IF(足元帳!AQ34="","",$I$1)</f>
        <v/>
      </c>
      <c r="J34" s="125" t="str">
        <f>IF(足元帳!AR34="","",$J$1)</f>
        <v/>
      </c>
      <c r="K34" s="125" t="str">
        <f>IF(足元帳!AS34="","",$K$1)</f>
        <v/>
      </c>
      <c r="L34" s="129" t="str">
        <f>IF(COUNTIF(足元帳!AT34,"*複合*"),"複合","")</f>
        <v/>
      </c>
      <c r="M34" s="129" t="str">
        <f>IF(COUNTIF(足元帳!AT34,"*店頭本指名*"),"店頭本指名","")</f>
        <v/>
      </c>
      <c r="N34" s="125" t="str">
        <f>IF(足元帳!U34="","",足元帳!U34)</f>
        <v/>
      </c>
      <c r="O34" s="125" t="str">
        <f>IF(足元帳!V34="","",足元帳!V34)</f>
        <v/>
      </c>
      <c r="P34" s="125" t="str">
        <f>IF(足元帳!W34="","",足元帳!W34)</f>
        <v/>
      </c>
      <c r="Q34" s="125" t="str">
        <f>IF(足元帳!X34="","",足元帳!X34)</f>
        <v/>
      </c>
      <c r="R34" s="125" t="str">
        <f>IF(足元帳!Y34="","",足元帳!Y34)</f>
        <v/>
      </c>
      <c r="S34" s="125" t="str">
        <f>IF(足元帳!Z34="","",足元帳!Z34)</f>
        <v/>
      </c>
      <c r="T34" s="125" t="str">
        <f>IF(足元帳!AT34="","",足元帳!AT34)</f>
        <v/>
      </c>
      <c r="U34" s="125" t="str">
        <f>IF(足元帳!AH34="●",足元帳!$AH$1&amp;足元帳!AW34,"")</f>
        <v/>
      </c>
      <c r="V34" s="125" t="str">
        <f>IF(足元帳!AI34="●",足元帳!$AI$1&amp;足元帳!AW34,"")</f>
        <v/>
      </c>
      <c r="W34" s="125" t="str">
        <f>IF(足元帳!AX34="","",足元帳!AX34)</f>
        <v/>
      </c>
      <c r="X34" s="125">
        <f>足元帳!BJ34</f>
        <v>0</v>
      </c>
      <c r="Y34" s="305" t="str">
        <f>"全部屋稼働予定"&amp;IF(AA34="","無し",AA34&amp;"時")</f>
        <v>全部屋稼働予定無し</v>
      </c>
      <c r="Z34" s="305"/>
      <c r="AA34" s="307"/>
      <c r="AB34" s="312" t="s">
        <v>260</v>
      </c>
      <c r="AC34" s="305"/>
      <c r="AH34" s="642" t="s">
        <v>217</v>
      </c>
      <c r="AI34" s="135">
        <v>8</v>
      </c>
      <c r="AJ34" s="135">
        <f t="shared" ref="AJ34:AN35" si="10">COUNTIFS($G$2:$G$258,$AI34,$F$2:$F$258,AJ$1,$X$2:$X$258,"9")</f>
        <v>0</v>
      </c>
      <c r="AK34" s="135">
        <f t="shared" si="10"/>
        <v>0</v>
      </c>
      <c r="AL34" s="135">
        <f t="shared" si="10"/>
        <v>0</v>
      </c>
      <c r="AM34" s="135">
        <f t="shared" si="10"/>
        <v>0</v>
      </c>
      <c r="AN34" s="135">
        <f t="shared" si="10"/>
        <v>0</v>
      </c>
      <c r="AO34" s="174" t="s">
        <v>218</v>
      </c>
      <c r="AP34" s="174" t="s">
        <v>218</v>
      </c>
      <c r="AR34" s="165" t="s">
        <v>219</v>
      </c>
      <c r="AS34" s="139"/>
      <c r="AT34" s="139"/>
      <c r="AU34" s="139"/>
      <c r="AV34" s="139"/>
      <c r="AW34" s="139"/>
      <c r="AX34" s="139"/>
      <c r="AY34" s="141"/>
      <c r="AZ34" s="141"/>
      <c r="BA34" s="141"/>
      <c r="BB34" s="141"/>
      <c r="BC34" s="141"/>
      <c r="BD34" s="141"/>
      <c r="BE34" s="164"/>
    </row>
    <row r="35" spans="1:57" ht="13.15" customHeight="1">
      <c r="A35" s="126">
        <v>34</v>
      </c>
      <c r="B35" s="127" t="str">
        <f>IF(足元帳!K35="","",精算表!$W$1)</f>
        <v/>
      </c>
      <c r="C35" s="128" t="str">
        <f>IF(足元帳!K35="","",IF(足元帳!AY35=2,"R","N"))</f>
        <v/>
      </c>
      <c r="D35" s="128" t="str">
        <f>IF(足元帳!K35="","",IF(足元帳!AZ35=1,"姫",IF(足元帳!AZ35=2,"本指名",IF(足元帳!AZ35=3,"NET",IF(足元帳!AZ35=4,"写真","")))))</f>
        <v/>
      </c>
      <c r="E35" s="128" t="str">
        <f>IF(足元帳!K35="","",足元帳!K35)</f>
        <v/>
      </c>
      <c r="F35" s="128" t="str">
        <f>IF(足元帳!K35="","",IF(足元帳!BB35=1,45,IF(足元帳!BB35=2,60,IF(足元帳!BB35=3,75,IF(足元帳!BB35=4,90,IF(足元帳!BB35=5,120,IF(足元帳!BB35=6,150,IF(足元帳!BB35=7,180,""))))))))</f>
        <v/>
      </c>
      <c r="G35" s="128" t="str">
        <f>IF(足元帳!K35="","",足元帳!A35)</f>
        <v/>
      </c>
      <c r="H35" s="125" t="str">
        <f>IF(足元帳!AP35="","",$H$1)</f>
        <v/>
      </c>
      <c r="I35" s="125" t="str">
        <f>IF(足元帳!AQ35="","",$I$1)</f>
        <v/>
      </c>
      <c r="J35" s="125" t="str">
        <f>IF(足元帳!AR35="","",$J$1)</f>
        <v/>
      </c>
      <c r="K35" s="125" t="str">
        <f>IF(足元帳!AS35="","",$K$1)</f>
        <v/>
      </c>
      <c r="L35" s="129" t="str">
        <f>IF(COUNTIF(足元帳!AT35,"*複合*"),"複合","")</f>
        <v/>
      </c>
      <c r="M35" s="129" t="str">
        <f>IF(COUNTIF(足元帳!AT35,"*店頭本指名*"),"店頭本指名","")</f>
        <v/>
      </c>
      <c r="N35" s="125" t="str">
        <f>IF(足元帳!U35="","",足元帳!U35)</f>
        <v/>
      </c>
      <c r="O35" s="125" t="str">
        <f>IF(足元帳!V35="","",足元帳!V35)</f>
        <v/>
      </c>
      <c r="P35" s="125" t="str">
        <f>IF(足元帳!W35="","",足元帳!W35)</f>
        <v/>
      </c>
      <c r="Q35" s="125" t="str">
        <f>IF(足元帳!X35="","",足元帳!X35)</f>
        <v/>
      </c>
      <c r="R35" s="125" t="str">
        <f>IF(足元帳!Y35="","",足元帳!Y35)</f>
        <v/>
      </c>
      <c r="S35" s="125" t="str">
        <f>IF(足元帳!Z35="","",足元帳!Z35)</f>
        <v/>
      </c>
      <c r="T35" s="125" t="str">
        <f>IF(足元帳!AT35="","",足元帳!AT35)</f>
        <v/>
      </c>
      <c r="U35" s="125" t="str">
        <f>IF(足元帳!AH35="●",足元帳!$AH$1&amp;足元帳!AW35,"")</f>
        <v/>
      </c>
      <c r="V35" s="125" t="str">
        <f>IF(足元帳!AI35="●",足元帳!$AI$1&amp;足元帳!AW35,"")</f>
        <v/>
      </c>
      <c r="W35" s="125" t="str">
        <f>IF(足元帳!AX35="","",足元帳!AX35)</f>
        <v/>
      </c>
      <c r="X35" s="125">
        <f>足元帳!BJ35</f>
        <v>0</v>
      </c>
      <c r="Y35" s="305" t="str">
        <f>"帰客"&amp;来店帰客表!E23&amp;"名"</f>
        <v>帰客0名</v>
      </c>
      <c r="Z35" s="305"/>
      <c r="AA35" s="306"/>
      <c r="AB35" s="312"/>
      <c r="AC35" s="305"/>
      <c r="AH35" s="642"/>
      <c r="AI35" s="135">
        <v>9</v>
      </c>
      <c r="AJ35" s="135">
        <f t="shared" si="10"/>
        <v>0</v>
      </c>
      <c r="AK35" s="135">
        <f t="shared" si="10"/>
        <v>0</v>
      </c>
      <c r="AL35" s="135">
        <f t="shared" si="10"/>
        <v>0</v>
      </c>
      <c r="AM35" s="135">
        <f t="shared" si="10"/>
        <v>0</v>
      </c>
      <c r="AN35" s="135">
        <f t="shared" si="10"/>
        <v>0</v>
      </c>
      <c r="AO35" s="174" t="s">
        <v>218</v>
      </c>
      <c r="AP35" s="174" t="s">
        <v>218</v>
      </c>
      <c r="AR35" s="165" t="s">
        <v>220</v>
      </c>
      <c r="AS35" s="139"/>
      <c r="AT35" s="139"/>
      <c r="AU35" s="139"/>
      <c r="AV35" s="139"/>
      <c r="AW35" s="139"/>
      <c r="AX35" s="139"/>
      <c r="AY35" s="141"/>
      <c r="AZ35" s="141"/>
      <c r="BA35" s="141"/>
      <c r="BB35" s="141"/>
      <c r="BC35" s="141"/>
      <c r="BD35" s="141"/>
      <c r="BE35" s="164"/>
    </row>
    <row r="36" spans="1:57" ht="13.15" customHeight="1">
      <c r="A36" s="126">
        <v>35</v>
      </c>
      <c r="B36" s="127" t="str">
        <f>IF(足元帳!K36="","",精算表!$W$1)</f>
        <v/>
      </c>
      <c r="C36" s="128" t="str">
        <f>IF(足元帳!K36="","",IF(足元帳!AY36=2,"R","N"))</f>
        <v/>
      </c>
      <c r="D36" s="128" t="str">
        <f>IF(足元帳!K36="","",IF(足元帳!AZ36=1,"姫",IF(足元帳!AZ36=2,"本指名",IF(足元帳!AZ36=3,"NET",IF(足元帳!AZ36=4,"写真","")))))</f>
        <v/>
      </c>
      <c r="E36" s="128" t="str">
        <f>IF(足元帳!K36="","",足元帳!K36)</f>
        <v/>
      </c>
      <c r="F36" s="128" t="str">
        <f>IF(足元帳!K36="","",IF(足元帳!BB36=1,45,IF(足元帳!BB36=2,60,IF(足元帳!BB36=3,75,IF(足元帳!BB36=4,90,IF(足元帳!BB36=5,120,IF(足元帳!BB36=6,150,IF(足元帳!BB36=7,180,""))))))))</f>
        <v/>
      </c>
      <c r="G36" s="128" t="str">
        <f>IF(足元帳!K36="","",足元帳!A36)</f>
        <v/>
      </c>
      <c r="H36" s="125" t="str">
        <f>IF(足元帳!AP36="","",$H$1)</f>
        <v/>
      </c>
      <c r="I36" s="125" t="str">
        <f>IF(足元帳!AQ36="","",$I$1)</f>
        <v/>
      </c>
      <c r="J36" s="125" t="str">
        <f>IF(足元帳!AR36="","",$J$1)</f>
        <v/>
      </c>
      <c r="K36" s="125" t="str">
        <f>IF(足元帳!AS36="","",$K$1)</f>
        <v/>
      </c>
      <c r="L36" s="129" t="str">
        <f>IF(COUNTIF(足元帳!AT36,"*複合*"),"複合","")</f>
        <v/>
      </c>
      <c r="M36" s="129" t="str">
        <f>IF(COUNTIF(足元帳!AT36,"*店頭本指名*"),"店頭本指名","")</f>
        <v/>
      </c>
      <c r="N36" s="125" t="str">
        <f>IF(足元帳!U36="","",足元帳!U36)</f>
        <v/>
      </c>
      <c r="O36" s="125" t="str">
        <f>IF(足元帳!V36="","",足元帳!V36)</f>
        <v/>
      </c>
      <c r="P36" s="125" t="str">
        <f>IF(足元帳!W36="","",足元帳!W36)</f>
        <v/>
      </c>
      <c r="Q36" s="125" t="str">
        <f>IF(足元帳!X36="","",足元帳!X36)</f>
        <v/>
      </c>
      <c r="R36" s="125" t="str">
        <f>IF(足元帳!Y36="","",足元帳!Y36)</f>
        <v/>
      </c>
      <c r="S36" s="125" t="str">
        <f>IF(足元帳!Z36="","",足元帳!Z36)</f>
        <v/>
      </c>
      <c r="T36" s="125" t="str">
        <f>IF(足元帳!AT36="","",足元帳!AT36)</f>
        <v/>
      </c>
      <c r="U36" s="125" t="str">
        <f>IF(足元帳!AH36="●",足元帳!$AH$1&amp;足元帳!AW36,"")</f>
        <v/>
      </c>
      <c r="V36" s="125" t="str">
        <f>IF(足元帳!AI36="●",足元帳!$AI$1&amp;足元帳!AW36,"")</f>
        <v/>
      </c>
      <c r="W36" s="125" t="str">
        <f>IF(足元帳!AX36="","",足元帳!AX36)</f>
        <v/>
      </c>
      <c r="X36" s="125">
        <f>足元帳!BJ36</f>
        <v>0</v>
      </c>
      <c r="Y36" s="305"/>
      <c r="Z36" s="305"/>
      <c r="AA36" s="305"/>
      <c r="AB36" s="305"/>
      <c r="AC36" s="305"/>
      <c r="AR36" s="165" t="s">
        <v>221</v>
      </c>
      <c r="AS36" s="139"/>
      <c r="AT36" s="139"/>
      <c r="AU36" s="139"/>
      <c r="AV36" s="139"/>
      <c r="AW36" s="139"/>
      <c r="AX36" s="139"/>
      <c r="AY36" s="141"/>
      <c r="AZ36" s="141"/>
      <c r="BA36" s="141"/>
      <c r="BB36" s="141"/>
      <c r="BC36" s="141"/>
      <c r="BD36" s="141"/>
      <c r="BE36" s="164"/>
    </row>
    <row r="37" spans="1:57" ht="13.15" customHeight="1">
      <c r="A37" s="126">
        <v>36</v>
      </c>
      <c r="B37" s="127" t="str">
        <f>IF(足元帳!K37="","",精算表!$W$1)</f>
        <v/>
      </c>
      <c r="C37" s="128" t="str">
        <f>IF(足元帳!K37="","",IF(足元帳!AY37=2,"R","N"))</f>
        <v/>
      </c>
      <c r="D37" s="128" t="str">
        <f>IF(足元帳!K37="","",IF(足元帳!AZ37=1,"姫",IF(足元帳!AZ37=2,"本指名",IF(足元帳!AZ37=3,"NET",IF(足元帳!AZ37=4,"写真","")))))</f>
        <v/>
      </c>
      <c r="E37" s="128" t="str">
        <f>IF(足元帳!K37="","",足元帳!K37)</f>
        <v/>
      </c>
      <c r="F37" s="128" t="str">
        <f>IF(足元帳!K37="","",IF(足元帳!BB37=1,45,IF(足元帳!BB37=2,60,IF(足元帳!BB37=3,75,IF(足元帳!BB37=4,90,IF(足元帳!BB37=5,120,IF(足元帳!BB37=6,150,IF(足元帳!BB37=7,180,""))))))))</f>
        <v/>
      </c>
      <c r="G37" s="128" t="str">
        <f>IF(足元帳!K37="","",足元帳!A37)</f>
        <v/>
      </c>
      <c r="H37" s="125" t="str">
        <f>IF(足元帳!AP37="","",$H$1)</f>
        <v/>
      </c>
      <c r="I37" s="125" t="str">
        <f>IF(足元帳!AQ37="","",$I$1)</f>
        <v/>
      </c>
      <c r="J37" s="125" t="str">
        <f>IF(足元帳!AR37="","",$J$1)</f>
        <v/>
      </c>
      <c r="K37" s="125" t="str">
        <f>IF(足元帳!AS37="","",$K$1)</f>
        <v/>
      </c>
      <c r="L37" s="129" t="str">
        <f>IF(COUNTIF(足元帳!AT37,"*複合*"),"複合","")</f>
        <v/>
      </c>
      <c r="M37" s="129" t="str">
        <f>IF(COUNTIF(足元帳!AT37,"*店頭本指名*"),"店頭本指名","")</f>
        <v/>
      </c>
      <c r="N37" s="125" t="str">
        <f>IF(足元帳!U37="","",足元帳!U37)</f>
        <v/>
      </c>
      <c r="O37" s="125" t="str">
        <f>IF(足元帳!V37="","",足元帳!V37)</f>
        <v/>
      </c>
      <c r="P37" s="125" t="str">
        <f>IF(足元帳!W37="","",足元帳!W37)</f>
        <v/>
      </c>
      <c r="Q37" s="125" t="str">
        <f>IF(足元帳!X37="","",足元帳!X37)</f>
        <v/>
      </c>
      <c r="R37" s="125" t="str">
        <f>IF(足元帳!Y37="","",足元帳!Y37)</f>
        <v/>
      </c>
      <c r="S37" s="125" t="str">
        <f>IF(足元帳!Z37="","",足元帳!Z37)</f>
        <v/>
      </c>
      <c r="T37" s="125" t="str">
        <f>IF(足元帳!AT37="","",足元帳!AT37)</f>
        <v/>
      </c>
      <c r="U37" s="125" t="str">
        <f>IF(足元帳!AH37="●",足元帳!$AH$1&amp;足元帳!AW37,"")</f>
        <v/>
      </c>
      <c r="V37" s="125" t="str">
        <f>IF(足元帳!AI37="●",足元帳!$AI$1&amp;足元帳!AW37,"")</f>
        <v/>
      </c>
      <c r="W37" s="125" t="str">
        <f>IF(足元帳!AX37="","",足元帳!AX37)</f>
        <v/>
      </c>
      <c r="X37" s="125">
        <f>足元帳!BJ37</f>
        <v>0</v>
      </c>
      <c r="Y37" s="305" t="str">
        <f>"ラスト待機"&amp;IF(AA37="","　無し","　"&amp;COUNTA(AA37:AL37)&amp;"名　"&amp;AA37&amp;"さん　")&amp;IF(AB37="","",AB37&amp;"さん　")&amp;IF(AC37="","",AC37&amp;"さん　")&amp;IF(AD37="","",AD37&amp;"さん　")&amp;IF(AE37="","",AE37&amp;"さん　")&amp;IF(AF37="","",AF37&amp;"さん　")&amp;IF(AG37="","",AG37&amp;"さん　")&amp;IF(AH37="","",AH37&amp;"さん　")&amp;IF(AI37="","",AI37&amp;"さん　")&amp;IF(AJ37="","",AJ37&amp;"さん　")&amp;IF(AK37="","",AK37&amp;"さん　")&amp;IF(AL37="","",AL37&amp;"さん　")</f>
        <v>ラスト待機　無し</v>
      </c>
      <c r="Z37" s="305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R37" s="165" t="s">
        <v>238</v>
      </c>
      <c r="AS37" s="139"/>
      <c r="AT37" s="139"/>
      <c r="AU37" s="139"/>
      <c r="AV37" s="139"/>
      <c r="AW37" s="139"/>
      <c r="AX37" s="139"/>
      <c r="AY37" s="141"/>
      <c r="AZ37" s="141"/>
      <c r="BA37" s="141"/>
      <c r="BB37" s="141"/>
      <c r="BC37" s="141"/>
      <c r="BD37" s="141"/>
      <c r="BE37" s="164"/>
    </row>
    <row r="38" spans="1:57" ht="13.15" customHeight="1">
      <c r="A38" s="126">
        <v>37</v>
      </c>
      <c r="B38" s="127" t="str">
        <f>IF(足元帳!K38="","",精算表!$W$1)</f>
        <v/>
      </c>
      <c r="C38" s="128" t="str">
        <f>IF(足元帳!K38="","",IF(足元帳!AY38=2,"R","N"))</f>
        <v/>
      </c>
      <c r="D38" s="128" t="str">
        <f>IF(足元帳!K38="","",IF(足元帳!AZ38=1,"姫",IF(足元帳!AZ38=2,"本指名",IF(足元帳!AZ38=3,"NET",IF(足元帳!AZ38=4,"写真","")))))</f>
        <v/>
      </c>
      <c r="E38" s="128" t="str">
        <f>IF(足元帳!K38="","",足元帳!K38)</f>
        <v/>
      </c>
      <c r="F38" s="128" t="str">
        <f>IF(足元帳!K38="","",IF(足元帳!BB38=1,45,IF(足元帳!BB38=2,60,IF(足元帳!BB38=3,75,IF(足元帳!BB38=4,90,IF(足元帳!BB38=5,120,IF(足元帳!BB38=6,150,IF(足元帳!BB38=7,180,""))))))))</f>
        <v/>
      </c>
      <c r="G38" s="128" t="str">
        <f>IF(足元帳!K38="","",足元帳!A38)</f>
        <v/>
      </c>
      <c r="H38" s="125" t="str">
        <f>IF(足元帳!AP38="","",$H$1)</f>
        <v/>
      </c>
      <c r="I38" s="125" t="str">
        <f>IF(足元帳!AQ38="","",$I$1)</f>
        <v/>
      </c>
      <c r="J38" s="125" t="str">
        <f>IF(足元帳!AR38="","",$J$1)</f>
        <v/>
      </c>
      <c r="K38" s="125" t="str">
        <f>IF(足元帳!AS38="","",$K$1)</f>
        <v/>
      </c>
      <c r="L38" s="129" t="str">
        <f>IF(COUNTIF(足元帳!AT38,"*複合*"),"複合","")</f>
        <v/>
      </c>
      <c r="M38" s="129" t="str">
        <f>IF(COUNTIF(足元帳!AT38,"*店頭本指名*"),"店頭本指名","")</f>
        <v/>
      </c>
      <c r="N38" s="125" t="str">
        <f>IF(足元帳!U38="","",足元帳!U38)</f>
        <v/>
      </c>
      <c r="O38" s="125" t="str">
        <f>IF(足元帳!V38="","",足元帳!V38)</f>
        <v/>
      </c>
      <c r="P38" s="125" t="str">
        <f>IF(足元帳!W38="","",足元帳!W38)</f>
        <v/>
      </c>
      <c r="Q38" s="125" t="str">
        <f>IF(足元帳!X38="","",足元帳!X38)</f>
        <v/>
      </c>
      <c r="R38" s="125" t="str">
        <f>IF(足元帳!Y38="","",足元帳!Y38)</f>
        <v/>
      </c>
      <c r="S38" s="125" t="str">
        <f>IF(足元帳!Z38="","",足元帳!Z38)</f>
        <v/>
      </c>
      <c r="T38" s="125" t="str">
        <f>IF(足元帳!AT38="","",足元帳!AT38)</f>
        <v/>
      </c>
      <c r="U38" s="125" t="str">
        <f>IF(足元帳!AH38="●",足元帳!$AH$1&amp;足元帳!AW38,"")</f>
        <v/>
      </c>
      <c r="V38" s="125" t="str">
        <f>IF(足元帳!AI38="●",足元帳!$AI$1&amp;足元帳!AW38,"")</f>
        <v/>
      </c>
      <c r="W38" s="125" t="str">
        <f>IF(足元帳!AX38="","",足元帳!AX38)</f>
        <v/>
      </c>
      <c r="X38" s="125">
        <f>足元帳!BJ38</f>
        <v>0</v>
      </c>
      <c r="Y38" s="305" t="str">
        <f>"現状在籍"&amp;AA38&amp;"名"</f>
        <v>現状在籍58名</v>
      </c>
      <c r="Z38" s="305"/>
      <c r="AA38" s="307">
        <v>58</v>
      </c>
      <c r="AB38" s="305" t="s">
        <v>261</v>
      </c>
      <c r="AC38" s="305"/>
      <c r="AR38" s="165" t="s">
        <v>239</v>
      </c>
      <c r="AS38" s="139"/>
      <c r="AT38" s="139"/>
      <c r="AU38" s="139"/>
      <c r="AV38" s="139"/>
      <c r="AW38" s="139"/>
      <c r="AX38" s="139"/>
      <c r="AY38" s="141"/>
      <c r="AZ38" s="141"/>
      <c r="BA38" s="141"/>
      <c r="BB38" s="141"/>
      <c r="BC38" s="141"/>
      <c r="BD38" s="141"/>
      <c r="BE38" s="164"/>
    </row>
    <row r="39" spans="1:57" ht="13.15" customHeight="1">
      <c r="A39" s="126">
        <v>38</v>
      </c>
      <c r="B39" s="127" t="str">
        <f>IF(足元帳!K39="","",精算表!$W$1)</f>
        <v/>
      </c>
      <c r="C39" s="128" t="str">
        <f>IF(足元帳!K39="","",IF(足元帳!AY39=2,"R","N"))</f>
        <v/>
      </c>
      <c r="D39" s="128" t="str">
        <f>IF(足元帳!K39="","",IF(足元帳!AZ39=1,"姫",IF(足元帳!AZ39=2,"本指名",IF(足元帳!AZ39=3,"NET",IF(足元帳!AZ39=4,"写真","")))))</f>
        <v/>
      </c>
      <c r="E39" s="128" t="str">
        <f>IF(足元帳!K39="","",足元帳!K39)</f>
        <v/>
      </c>
      <c r="F39" s="128" t="str">
        <f>IF(足元帳!K39="","",IF(足元帳!BB39=1,45,IF(足元帳!BB39=2,60,IF(足元帳!BB39=3,75,IF(足元帳!BB39=4,90,IF(足元帳!BB39=5,120,IF(足元帳!BB39=6,150,IF(足元帳!BB39=7,180,""))))))))</f>
        <v/>
      </c>
      <c r="G39" s="128" t="str">
        <f>IF(足元帳!K39="","",足元帳!A39)</f>
        <v/>
      </c>
      <c r="H39" s="125" t="str">
        <f>IF(足元帳!AP39="","",$H$1)</f>
        <v/>
      </c>
      <c r="I39" s="125" t="str">
        <f>IF(足元帳!AQ39="","",$I$1)</f>
        <v/>
      </c>
      <c r="J39" s="125" t="str">
        <f>IF(足元帳!AR39="","",$J$1)</f>
        <v/>
      </c>
      <c r="K39" s="125" t="str">
        <f>IF(足元帳!AS39="","",$K$1)</f>
        <v/>
      </c>
      <c r="L39" s="129" t="str">
        <f>IF(COUNTIF(足元帳!AT39,"*複合*"),"複合","")</f>
        <v/>
      </c>
      <c r="M39" s="129" t="str">
        <f>IF(COUNTIF(足元帳!AT39,"*店頭本指名*"),"店頭本指名","")</f>
        <v/>
      </c>
      <c r="N39" s="125" t="str">
        <f>IF(足元帳!U39="","",足元帳!U39)</f>
        <v/>
      </c>
      <c r="O39" s="125" t="str">
        <f>IF(足元帳!V39="","",足元帳!V39)</f>
        <v/>
      </c>
      <c r="P39" s="125" t="str">
        <f>IF(足元帳!W39="","",足元帳!W39)</f>
        <v/>
      </c>
      <c r="Q39" s="125" t="str">
        <f>IF(足元帳!X39="","",足元帳!X39)</f>
        <v/>
      </c>
      <c r="R39" s="125" t="str">
        <f>IF(足元帳!Y39="","",足元帳!Y39)</f>
        <v/>
      </c>
      <c r="S39" s="125" t="str">
        <f>IF(足元帳!Z39="","",足元帳!Z39)</f>
        <v/>
      </c>
      <c r="T39" s="125" t="str">
        <f>IF(足元帳!AT39="","",足元帳!AT39)</f>
        <v/>
      </c>
      <c r="U39" s="125" t="str">
        <f>IF(足元帳!AH39="●",足元帳!$AH$1&amp;足元帳!AW39,"")</f>
        <v/>
      </c>
      <c r="V39" s="125" t="str">
        <f>IF(足元帳!AI39="●",足元帳!$AI$1&amp;足元帳!AW39,"")</f>
        <v/>
      </c>
      <c r="W39" s="125" t="str">
        <f>IF(足元帳!AX39="","",足元帳!AX39)</f>
        <v/>
      </c>
      <c r="X39" s="125">
        <f>足元帳!BJ39</f>
        <v>0</v>
      </c>
      <c r="Y39" s="306"/>
      <c r="Z39" s="306"/>
      <c r="AA39" s="306"/>
      <c r="AB39" s="306"/>
      <c r="AC39" s="306"/>
      <c r="AD39" s="167"/>
      <c r="AE39" s="167"/>
      <c r="AF39" s="167"/>
      <c r="AG39" s="167"/>
      <c r="AH39" s="167"/>
      <c r="AI39" s="167"/>
      <c r="AJ39" s="167"/>
      <c r="AK39" s="167"/>
      <c r="AL39" s="167"/>
      <c r="AR39" s="172"/>
      <c r="AS39" s="139"/>
      <c r="AT39" s="139"/>
      <c r="AU39" s="139"/>
      <c r="AV39" s="139"/>
      <c r="AW39" s="139"/>
      <c r="AX39" s="139"/>
      <c r="AY39" s="141"/>
      <c r="AZ39" s="141"/>
      <c r="BA39" s="141"/>
      <c r="BB39" s="141"/>
      <c r="BC39" s="141"/>
      <c r="BD39" s="141"/>
      <c r="BE39" s="164"/>
    </row>
    <row r="40" spans="1:57" ht="13.15" customHeight="1">
      <c r="A40" s="126">
        <v>39</v>
      </c>
      <c r="B40" s="127" t="str">
        <f>IF(足元帳!K40="","",精算表!$W$1)</f>
        <v/>
      </c>
      <c r="C40" s="128" t="str">
        <f>IF(足元帳!K40="","",IF(足元帳!AY40=2,"R","N"))</f>
        <v/>
      </c>
      <c r="D40" s="128" t="str">
        <f>IF(足元帳!K40="","",IF(足元帳!AZ40=1,"姫",IF(足元帳!AZ40=2,"本指名",IF(足元帳!AZ40=3,"NET",IF(足元帳!AZ40=4,"写真","")))))</f>
        <v/>
      </c>
      <c r="E40" s="128" t="str">
        <f>IF(足元帳!K40="","",足元帳!K40)</f>
        <v/>
      </c>
      <c r="F40" s="128" t="str">
        <f>IF(足元帳!K40="","",IF(足元帳!BB40=1,45,IF(足元帳!BB40=2,60,IF(足元帳!BB40=3,75,IF(足元帳!BB40=4,90,IF(足元帳!BB40=5,120,IF(足元帳!BB40=6,150,IF(足元帳!BB40=7,180,""))))))))</f>
        <v/>
      </c>
      <c r="G40" s="128" t="str">
        <f>IF(足元帳!K40="","",足元帳!A40)</f>
        <v/>
      </c>
      <c r="H40" s="125" t="str">
        <f>IF(足元帳!AP40="","",$H$1)</f>
        <v/>
      </c>
      <c r="I40" s="125" t="str">
        <f>IF(足元帳!AQ40="","",$I$1)</f>
        <v/>
      </c>
      <c r="J40" s="125" t="str">
        <f>IF(足元帳!AR40="","",$J$1)</f>
        <v/>
      </c>
      <c r="K40" s="125" t="str">
        <f>IF(足元帳!AS40="","",$K$1)</f>
        <v/>
      </c>
      <c r="L40" s="129" t="str">
        <f>IF(COUNTIF(足元帳!AT40,"*複合*"),"複合","")</f>
        <v/>
      </c>
      <c r="M40" s="129" t="str">
        <f>IF(COUNTIF(足元帳!AT40,"*店頭本指名*"),"店頭本指名","")</f>
        <v/>
      </c>
      <c r="N40" s="125" t="str">
        <f>IF(足元帳!U40="","",足元帳!U40)</f>
        <v/>
      </c>
      <c r="O40" s="125" t="str">
        <f>IF(足元帳!V40="","",足元帳!V40)</f>
        <v/>
      </c>
      <c r="P40" s="125" t="str">
        <f>IF(足元帳!W40="","",足元帳!W40)</f>
        <v/>
      </c>
      <c r="Q40" s="125" t="str">
        <f>IF(足元帳!X40="","",足元帳!X40)</f>
        <v/>
      </c>
      <c r="R40" s="125" t="str">
        <f>IF(足元帳!Y40="","",足元帳!Y40)</f>
        <v/>
      </c>
      <c r="S40" s="125" t="str">
        <f>IF(足元帳!Z40="","",足元帳!Z40)</f>
        <v/>
      </c>
      <c r="T40" s="125" t="str">
        <f>IF(足元帳!AT40="","",足元帳!AT40)</f>
        <v/>
      </c>
      <c r="U40" s="125" t="str">
        <f>IF(足元帳!AH40="●",足元帳!$AH$1&amp;足元帳!AW40,"")</f>
        <v/>
      </c>
      <c r="V40" s="125" t="str">
        <f>IF(足元帳!AI40="●",足元帳!$AI$1&amp;足元帳!AW40,"")</f>
        <v/>
      </c>
      <c r="W40" s="125" t="str">
        <f>IF(足元帳!AX40="","",足元帳!AX40)</f>
        <v/>
      </c>
      <c r="X40" s="125">
        <f>足元帳!BJ40</f>
        <v>0</v>
      </c>
      <c r="Y40" s="305" t="s">
        <v>386</v>
      </c>
      <c r="Z40" s="305"/>
      <c r="AA40" s="306"/>
      <c r="AB40" s="306"/>
      <c r="AC40" s="305"/>
      <c r="AR40" s="166"/>
      <c r="AS40" s="139"/>
      <c r="AT40" s="139"/>
      <c r="AU40" s="142"/>
      <c r="AV40" s="143"/>
      <c r="AW40" s="139"/>
      <c r="AX40" s="139"/>
      <c r="AY40" s="141"/>
      <c r="AZ40" s="141"/>
      <c r="BA40" s="141"/>
      <c r="BB40" s="141"/>
      <c r="BC40" s="141"/>
      <c r="BD40" s="141"/>
      <c r="BE40" s="164"/>
    </row>
    <row r="41" spans="1:57" ht="13.15" customHeight="1">
      <c r="A41" s="126">
        <v>40</v>
      </c>
      <c r="B41" s="127" t="str">
        <f>IF(足元帳!K41="","",精算表!$W$1)</f>
        <v/>
      </c>
      <c r="C41" s="128" t="str">
        <f>IF(足元帳!K41="","",IF(足元帳!AY41=2,"R","N"))</f>
        <v/>
      </c>
      <c r="D41" s="128" t="str">
        <f>IF(足元帳!K41="","",IF(足元帳!AZ41=1,"姫",IF(足元帳!AZ41=2,"本指名",IF(足元帳!AZ41=3,"NET",IF(足元帳!AZ41=4,"写真","")))))</f>
        <v/>
      </c>
      <c r="E41" s="128" t="str">
        <f>IF(足元帳!K41="","",足元帳!K41)</f>
        <v/>
      </c>
      <c r="F41" s="128" t="str">
        <f>IF(足元帳!K41="","",IF(足元帳!BB41=1,45,IF(足元帳!BB41=2,60,IF(足元帳!BB41=3,75,IF(足元帳!BB41=4,90,IF(足元帳!BB41=5,120,IF(足元帳!BB41=6,150,IF(足元帳!BB41=7,180,""))))))))</f>
        <v/>
      </c>
      <c r="G41" s="128" t="str">
        <f>IF(足元帳!K41="","",足元帳!A41)</f>
        <v/>
      </c>
      <c r="H41" s="125" t="str">
        <f>IF(足元帳!AP41="","",$H$1)</f>
        <v/>
      </c>
      <c r="I41" s="125" t="str">
        <f>IF(足元帳!AQ41="","",$I$1)</f>
        <v/>
      </c>
      <c r="J41" s="125" t="str">
        <f>IF(足元帳!AR41="","",$J$1)</f>
        <v/>
      </c>
      <c r="K41" s="125" t="str">
        <f>IF(足元帳!AS41="","",$K$1)</f>
        <v/>
      </c>
      <c r="L41" s="291" t="str">
        <f>IF(COUNTIF(足元帳!AT41,"*複合*"),"複合","")</f>
        <v/>
      </c>
      <c r="M41" s="291" t="str">
        <f>IF(COUNTIF(足元帳!AT41,"*店頭本指名*"),"店頭本指名","")</f>
        <v/>
      </c>
      <c r="N41" s="125" t="str">
        <f>IF(足元帳!U41="","",足元帳!U41)</f>
        <v/>
      </c>
      <c r="O41" s="125" t="str">
        <f>IF(足元帳!V41="","",足元帳!V41)</f>
        <v/>
      </c>
      <c r="P41" s="125" t="str">
        <f>IF(足元帳!W41="","",足元帳!W41)</f>
        <v/>
      </c>
      <c r="Q41" s="125" t="str">
        <f>IF(足元帳!X41="","",足元帳!X41)</f>
        <v/>
      </c>
      <c r="R41" s="125" t="str">
        <f>IF(足元帳!Y41="","",足元帳!Y41)</f>
        <v/>
      </c>
      <c r="S41" s="125" t="str">
        <f>IF(足元帳!Z41="","",足元帳!Z41)</f>
        <v/>
      </c>
      <c r="T41" s="125" t="str">
        <f>IF(足元帳!AT41="","",足元帳!AT41)</f>
        <v/>
      </c>
      <c r="U41" s="125" t="str">
        <f>IF(足元帳!AH41="●",足元帳!$AH$1&amp;足元帳!AW41,"")</f>
        <v/>
      </c>
      <c r="V41" s="125" t="str">
        <f>IF(足元帳!AI41="●",足元帳!$AI$1&amp;足元帳!AW41,"")</f>
        <v/>
      </c>
      <c r="W41" s="125" t="str">
        <f>IF(足元帳!AX41="","",足元帳!AX41)</f>
        <v/>
      </c>
      <c r="X41" s="125">
        <f>足元帳!BJ41</f>
        <v>0</v>
      </c>
      <c r="Y41" s="305" t="str">
        <f>"　"&amp;AA41</f>
        <v>　</v>
      </c>
      <c r="Z41" s="305"/>
      <c r="AA41" s="307"/>
      <c r="AB41" s="305"/>
      <c r="AC41" s="305"/>
      <c r="AR41" s="166"/>
      <c r="AS41" s="139"/>
      <c r="AT41" s="139"/>
      <c r="AU41" s="142"/>
      <c r="AV41" s="143"/>
      <c r="AW41" s="139"/>
      <c r="AX41" s="139"/>
      <c r="AY41" s="141"/>
      <c r="AZ41" s="141"/>
      <c r="BA41" s="141"/>
      <c r="BB41" s="141"/>
      <c r="BC41" s="141"/>
      <c r="BD41" s="141"/>
      <c r="BE41" s="164"/>
    </row>
    <row r="42" spans="1:57" ht="13.15" customHeight="1">
      <c r="A42" s="126">
        <v>41</v>
      </c>
      <c r="B42" s="127" t="str">
        <f>IF(足元帳!K42="","",精算表!$W$1)</f>
        <v/>
      </c>
      <c r="C42" s="128" t="str">
        <f>IF(足元帳!K42="","",IF(足元帳!AY42=2,"R","N"))</f>
        <v/>
      </c>
      <c r="D42" s="128" t="str">
        <f>IF(足元帳!K42="","",IF(足元帳!AZ42=1,"姫",IF(足元帳!AZ42=2,"本指名",IF(足元帳!AZ42=3,"NET",IF(足元帳!AZ42=4,"写真","")))))</f>
        <v/>
      </c>
      <c r="E42" s="128" t="str">
        <f>IF(足元帳!K42="","",足元帳!K42)</f>
        <v/>
      </c>
      <c r="F42" s="128" t="str">
        <f>IF(足元帳!K42="","",IF(足元帳!BB42=1,45,IF(足元帳!BB42=2,60,IF(足元帳!BB42=3,75,IF(足元帳!BB42=4,90,IF(足元帳!BB42=5,120,IF(足元帳!BB42=6,150,IF(足元帳!BB42=7,180,""))))))))</f>
        <v/>
      </c>
      <c r="G42" s="128" t="str">
        <f>IF(足元帳!K42="","",足元帳!A42)</f>
        <v/>
      </c>
      <c r="H42" s="125" t="str">
        <f>IF(足元帳!AP42="","",$H$1)</f>
        <v/>
      </c>
      <c r="I42" s="125" t="str">
        <f>IF(足元帳!AQ42="","",$I$1)</f>
        <v/>
      </c>
      <c r="J42" s="125" t="str">
        <f>IF(足元帳!AR42="","",$J$1)</f>
        <v/>
      </c>
      <c r="K42" s="125" t="str">
        <f>IF(足元帳!AS42="","",$K$1)</f>
        <v/>
      </c>
      <c r="L42" s="291" t="str">
        <f>IF(COUNTIF(足元帳!AT42,"*複合*"),"複合","")</f>
        <v/>
      </c>
      <c r="M42" s="291" t="str">
        <f>IF(COUNTIF(足元帳!AT42,"*店頭本指名*"),"店頭本指名","")</f>
        <v/>
      </c>
      <c r="N42" s="125" t="str">
        <f>IF(足元帳!U42="","",足元帳!U42)</f>
        <v/>
      </c>
      <c r="O42" s="125" t="str">
        <f>IF(足元帳!V42="","",足元帳!V42)</f>
        <v/>
      </c>
      <c r="P42" s="125" t="str">
        <f>IF(足元帳!W42="","",足元帳!W42)</f>
        <v/>
      </c>
      <c r="Q42" s="125" t="str">
        <f>IF(足元帳!X42="","",足元帳!X42)</f>
        <v/>
      </c>
      <c r="R42" s="125" t="str">
        <f>IF(足元帳!Y42="","",足元帳!Y42)</f>
        <v/>
      </c>
      <c r="S42" s="125" t="str">
        <f>IF(足元帳!Z42="","",足元帳!Z42)</f>
        <v/>
      </c>
      <c r="T42" s="125" t="str">
        <f>IF(足元帳!AT42="","",足元帳!AT42)</f>
        <v/>
      </c>
      <c r="U42" s="125" t="str">
        <f>IF(足元帳!AH42="●",足元帳!$AH$1&amp;足元帳!AW42,"")</f>
        <v/>
      </c>
      <c r="V42" s="125" t="str">
        <f>IF(足元帳!AI42="●",足元帳!$AI$1&amp;足元帳!AW42,"")</f>
        <v/>
      </c>
      <c r="W42" s="125" t="str">
        <f>IF(足元帳!AX42="","",足元帳!AX42)</f>
        <v/>
      </c>
      <c r="X42" s="125">
        <f>足元帳!BJ42</f>
        <v>0</v>
      </c>
      <c r="Y42" s="305" t="s">
        <v>387</v>
      </c>
      <c r="Z42" s="305"/>
      <c r="AA42" s="306"/>
      <c r="AB42" s="305"/>
      <c r="AC42" s="305"/>
      <c r="AR42" s="166"/>
      <c r="AS42" s="139"/>
      <c r="AT42" s="139"/>
      <c r="AU42" s="142"/>
      <c r="AV42" s="143"/>
      <c r="AW42" s="139"/>
      <c r="AX42" s="139"/>
      <c r="AY42" s="141"/>
      <c r="AZ42" s="141"/>
      <c r="BA42" s="141"/>
      <c r="BB42" s="141"/>
      <c r="BC42" s="141"/>
      <c r="BD42" s="141"/>
      <c r="BE42" s="164"/>
    </row>
    <row r="43" spans="1:57" ht="13.15" customHeight="1">
      <c r="A43" s="126">
        <v>42</v>
      </c>
      <c r="B43" s="127" t="str">
        <f>IF(足元帳!K43="","",精算表!$W$1)</f>
        <v/>
      </c>
      <c r="C43" s="128" t="str">
        <f>IF(足元帳!K43="","",IF(足元帳!AY43=2,"R","N"))</f>
        <v/>
      </c>
      <c r="D43" s="128" t="str">
        <f>IF(足元帳!K43="","",IF(足元帳!AZ43=1,"姫",IF(足元帳!AZ43=2,"本指名",IF(足元帳!AZ43=3,"NET",IF(足元帳!AZ43=4,"写真","")))))</f>
        <v/>
      </c>
      <c r="E43" s="128" t="str">
        <f>IF(足元帳!K43="","",足元帳!K43)</f>
        <v/>
      </c>
      <c r="F43" s="128" t="str">
        <f>IF(足元帳!K43="","",IF(足元帳!BB43=1,45,IF(足元帳!BB43=2,60,IF(足元帳!BB43=3,75,IF(足元帳!BB43=4,90,IF(足元帳!BB43=5,120,IF(足元帳!BB43=6,150,IF(足元帳!BB43=7,180,""))))))))</f>
        <v/>
      </c>
      <c r="G43" s="128" t="str">
        <f>IF(足元帳!K43="","",足元帳!A43)</f>
        <v/>
      </c>
      <c r="H43" s="125" t="str">
        <f>IF(足元帳!AP43="","",$H$1)</f>
        <v/>
      </c>
      <c r="I43" s="125" t="str">
        <f>IF(足元帳!AQ43="","",$I$1)</f>
        <v/>
      </c>
      <c r="J43" s="125" t="str">
        <f>IF(足元帳!AR43="","",$J$1)</f>
        <v/>
      </c>
      <c r="K43" s="125" t="str">
        <f>IF(足元帳!AS43="","",$K$1)</f>
        <v/>
      </c>
      <c r="L43" s="291" t="str">
        <f>IF(COUNTIF(足元帳!AT43,"*複合*"),"複合","")</f>
        <v/>
      </c>
      <c r="M43" s="291" t="str">
        <f>IF(COUNTIF(足元帳!AT43,"*店頭本指名*"),"店頭本指名","")</f>
        <v/>
      </c>
      <c r="N43" s="125" t="str">
        <f>IF(足元帳!U43="","",足元帳!U43)</f>
        <v/>
      </c>
      <c r="O43" s="125" t="str">
        <f>IF(足元帳!V43="","",足元帳!V43)</f>
        <v/>
      </c>
      <c r="P43" s="125" t="str">
        <f>IF(足元帳!W43="","",足元帳!W43)</f>
        <v/>
      </c>
      <c r="Q43" s="125" t="str">
        <f>IF(足元帳!X43="","",足元帳!X43)</f>
        <v/>
      </c>
      <c r="R43" s="125" t="str">
        <f>IF(足元帳!Y43="","",足元帳!Y43)</f>
        <v/>
      </c>
      <c r="S43" s="125" t="str">
        <f>IF(足元帳!Z43="","",足元帳!Z43)</f>
        <v/>
      </c>
      <c r="T43" s="125" t="str">
        <f>IF(足元帳!AT43="","",足元帳!AT43)</f>
        <v/>
      </c>
      <c r="U43" s="125" t="str">
        <f>IF(足元帳!AH43="●",足元帳!$AH$1&amp;足元帳!AW43,"")</f>
        <v/>
      </c>
      <c r="V43" s="125" t="str">
        <f>IF(足元帳!AI43="●",足元帳!$AI$1&amp;足元帳!AW43,"")</f>
        <v/>
      </c>
      <c r="W43" s="125" t="str">
        <f>IF(足元帳!AX43="","",足元帳!AX43)</f>
        <v/>
      </c>
      <c r="X43" s="125">
        <f>足元帳!BJ43</f>
        <v>0</v>
      </c>
      <c r="Y43" s="305" t="str">
        <f>"　早番　　"&amp;AA43</f>
        <v>　早番　　0</v>
      </c>
      <c r="Z43" s="305"/>
      <c r="AA43" s="307">
        <f t="array" ref="AA43">LOOKUP(MAX(COUNTIF(来店帰客表!G8,来店帰客表!G15)),COUNTIF(来店帰客表!G8,来店帰客表!G15),来店帰客表!G8:G15)</f>
        <v>0</v>
      </c>
      <c r="AB43" s="305"/>
      <c r="AC43" s="305"/>
      <c r="AR43" s="166"/>
      <c r="AS43" s="139"/>
      <c r="AT43" s="139"/>
      <c r="AU43" s="142"/>
      <c r="AV43" s="143"/>
      <c r="AW43" s="139"/>
      <c r="AX43" s="139"/>
      <c r="AY43" s="141"/>
      <c r="AZ43" s="141"/>
      <c r="BA43" s="141"/>
      <c r="BB43" s="141"/>
      <c r="BC43" s="141"/>
      <c r="BD43" s="141"/>
      <c r="BE43" s="164"/>
    </row>
    <row r="44" spans="1:57" ht="13.15" customHeight="1">
      <c r="A44" s="126">
        <v>43</v>
      </c>
      <c r="B44" s="127" t="str">
        <f>IF(足元帳!K44="","",精算表!$W$1)</f>
        <v/>
      </c>
      <c r="C44" s="128" t="str">
        <f>IF(足元帳!K44="","",IF(足元帳!AY44=2,"R","N"))</f>
        <v/>
      </c>
      <c r="D44" s="128" t="str">
        <f>IF(足元帳!K44="","",IF(足元帳!AZ44=1,"姫",IF(足元帳!AZ44=2,"本指名",IF(足元帳!AZ44=3,"NET",IF(足元帳!AZ44=4,"写真","")))))</f>
        <v/>
      </c>
      <c r="E44" s="128" t="str">
        <f>IF(足元帳!K44="","",足元帳!K44)</f>
        <v/>
      </c>
      <c r="F44" s="128" t="str">
        <f>IF(足元帳!K44="","",IF(足元帳!BB44=1,45,IF(足元帳!BB44=2,60,IF(足元帳!BB44=3,75,IF(足元帳!BB44=4,90,IF(足元帳!BB44=5,120,IF(足元帳!BB44=6,150,IF(足元帳!BB44=7,180,""))))))))</f>
        <v/>
      </c>
      <c r="G44" s="128" t="str">
        <f>IF(足元帳!K44="","",足元帳!A44)</f>
        <v/>
      </c>
      <c r="H44" s="125" t="str">
        <f>IF(足元帳!AP44="","",$H$1)</f>
        <v/>
      </c>
      <c r="I44" s="125" t="str">
        <f>IF(足元帳!AQ44="","",$I$1)</f>
        <v/>
      </c>
      <c r="J44" s="125" t="str">
        <f>IF(足元帳!AR44="","",$J$1)</f>
        <v/>
      </c>
      <c r="K44" s="125" t="str">
        <f>IF(足元帳!AS44="","",$K$1)</f>
        <v/>
      </c>
      <c r="L44" s="291" t="str">
        <f>IF(COUNTIF(足元帳!AT44,"*複合*"),"複合","")</f>
        <v/>
      </c>
      <c r="M44" s="291" t="str">
        <f>IF(COUNTIF(足元帳!AT44,"*店頭本指名*"),"店頭本指名","")</f>
        <v/>
      </c>
      <c r="N44" s="125" t="str">
        <f>IF(足元帳!U44="","",足元帳!U44)</f>
        <v/>
      </c>
      <c r="O44" s="125" t="str">
        <f>IF(足元帳!V44="","",足元帳!V44)</f>
        <v/>
      </c>
      <c r="P44" s="125" t="str">
        <f>IF(足元帳!W44="","",足元帳!W44)</f>
        <v/>
      </c>
      <c r="Q44" s="125" t="str">
        <f>IF(足元帳!X44="","",足元帳!X44)</f>
        <v/>
      </c>
      <c r="R44" s="125" t="str">
        <f>IF(足元帳!Y44="","",足元帳!Y44)</f>
        <v/>
      </c>
      <c r="S44" s="125" t="str">
        <f>IF(足元帳!Z44="","",足元帳!Z44)</f>
        <v/>
      </c>
      <c r="T44" s="125" t="str">
        <f>IF(足元帳!AT44="","",足元帳!AT44)</f>
        <v/>
      </c>
      <c r="U44" s="125" t="str">
        <f>IF(足元帳!AH44="●",足元帳!$AH$1&amp;足元帳!AW44,"")</f>
        <v/>
      </c>
      <c r="V44" s="125" t="str">
        <f>IF(足元帳!AI44="●",足元帳!$AI$1&amp;足元帳!AW44,"")</f>
        <v/>
      </c>
      <c r="W44" s="125" t="str">
        <f>IF(足元帳!AX44="","",足元帳!AX44)</f>
        <v/>
      </c>
      <c r="X44" s="125">
        <f>足元帳!BJ44</f>
        <v>0</v>
      </c>
      <c r="Y44" s="305" t="str">
        <f>"　遅番　　"&amp;AA44</f>
        <v>　遅番　　0</v>
      </c>
      <c r="Z44" s="305"/>
      <c r="AA44" s="307">
        <f t="array" ref="AA44">LOOKUP(MAX(COUNTIF(来店帰客表!G16,来店帰客表!G22)),COUNTIF(来店帰客表!G16,来店帰客表!G22),来店帰客表!G16:G22)</f>
        <v>0</v>
      </c>
      <c r="AB44" s="305"/>
      <c r="AC44" s="305"/>
      <c r="AR44" s="166"/>
      <c r="AS44" s="139"/>
      <c r="AT44" s="139"/>
      <c r="AU44" s="142"/>
      <c r="AV44" s="143"/>
      <c r="AW44" s="139"/>
      <c r="AX44" s="139"/>
      <c r="AY44" s="141"/>
      <c r="AZ44" s="141"/>
      <c r="BA44" s="141"/>
      <c r="BB44" s="141"/>
      <c r="BC44" s="141"/>
      <c r="BD44" s="141"/>
      <c r="BE44" s="164"/>
    </row>
    <row r="45" spans="1:57" ht="13.15" customHeight="1">
      <c r="A45" s="126">
        <v>44</v>
      </c>
      <c r="B45" s="127" t="str">
        <f>IF(足元帳!K45="","",精算表!$W$1)</f>
        <v/>
      </c>
      <c r="C45" s="128" t="str">
        <f>IF(足元帳!K45="","",IF(足元帳!AY45=2,"R","N"))</f>
        <v/>
      </c>
      <c r="D45" s="128" t="str">
        <f>IF(足元帳!K45="","",IF(足元帳!AZ45=1,"姫",IF(足元帳!AZ45=2,"本指名",IF(足元帳!AZ45=3,"NET",IF(足元帳!AZ45=4,"写真","")))))</f>
        <v/>
      </c>
      <c r="E45" s="128" t="str">
        <f>IF(足元帳!K45="","",足元帳!K45)</f>
        <v/>
      </c>
      <c r="F45" s="128" t="str">
        <f>IF(足元帳!K45="","",IF(足元帳!BB45=1,45,IF(足元帳!BB45=2,60,IF(足元帳!BB45=3,75,IF(足元帳!BB45=4,90,IF(足元帳!BB45=5,120,IF(足元帳!BB45=6,150,IF(足元帳!BB45=7,180,""))))))))</f>
        <v/>
      </c>
      <c r="G45" s="128" t="str">
        <f>IF(足元帳!K45="","",足元帳!A45)</f>
        <v/>
      </c>
      <c r="H45" s="125" t="str">
        <f>IF(足元帳!AP45="","",$H$1)</f>
        <v/>
      </c>
      <c r="I45" s="125" t="str">
        <f>IF(足元帳!AQ45="","",$I$1)</f>
        <v/>
      </c>
      <c r="J45" s="125" t="str">
        <f>IF(足元帳!AR45="","",$J$1)</f>
        <v/>
      </c>
      <c r="K45" s="125" t="str">
        <f>IF(足元帳!AS45="","",$K$1)</f>
        <v/>
      </c>
      <c r="L45" s="291" t="str">
        <f>IF(COUNTIF(足元帳!AT45,"*複合*"),"複合","")</f>
        <v/>
      </c>
      <c r="M45" s="291" t="str">
        <f>IF(COUNTIF(足元帳!AT45,"*店頭本指名*"),"店頭本指名","")</f>
        <v/>
      </c>
      <c r="N45" s="125" t="str">
        <f>IF(足元帳!U45="","",足元帳!U45)</f>
        <v/>
      </c>
      <c r="O45" s="125" t="str">
        <f>IF(足元帳!V45="","",足元帳!V45)</f>
        <v/>
      </c>
      <c r="P45" s="125" t="str">
        <f>IF(足元帳!W45="","",足元帳!W45)</f>
        <v/>
      </c>
      <c r="Q45" s="125" t="str">
        <f>IF(足元帳!X45="","",足元帳!X45)</f>
        <v/>
      </c>
      <c r="R45" s="125" t="str">
        <f>IF(足元帳!Y45="","",足元帳!Y45)</f>
        <v/>
      </c>
      <c r="S45" s="125" t="str">
        <f>IF(足元帳!Z45="","",足元帳!Z45)</f>
        <v/>
      </c>
      <c r="T45" s="125" t="str">
        <f>IF(足元帳!AT45="","",足元帳!AT45)</f>
        <v/>
      </c>
      <c r="U45" s="125" t="str">
        <f>IF(足元帳!AH45="●",足元帳!$AH$1&amp;足元帳!AW45,"")</f>
        <v/>
      </c>
      <c r="V45" s="125" t="str">
        <f>IF(足元帳!AI45="●",足元帳!$AI$1&amp;足元帳!AW45,"")</f>
        <v/>
      </c>
      <c r="W45" s="125" t="str">
        <f>IF(足元帳!AX45="","",足元帳!AX45)</f>
        <v/>
      </c>
      <c r="X45" s="125">
        <f>足元帳!BJ45</f>
        <v>0</v>
      </c>
      <c r="Y45" s="305" t="s">
        <v>390</v>
      </c>
      <c r="Z45" s="305"/>
      <c r="AA45" s="306"/>
      <c r="AB45" s="306"/>
      <c r="AC45" s="305"/>
      <c r="AR45" s="166"/>
      <c r="AS45" s="139"/>
      <c r="AT45" s="139"/>
      <c r="AU45" s="142"/>
      <c r="AV45" s="143"/>
      <c r="AW45" s="139"/>
      <c r="AX45" s="139"/>
      <c r="AY45" s="141"/>
      <c r="AZ45" s="141"/>
      <c r="BA45" s="141"/>
      <c r="BB45" s="141"/>
      <c r="BC45" s="141"/>
      <c r="BD45" s="141"/>
      <c r="BE45" s="164"/>
    </row>
    <row r="46" spans="1:57" ht="13.15" customHeight="1">
      <c r="A46" s="126">
        <v>45</v>
      </c>
      <c r="B46" s="127" t="str">
        <f>IF(足元帳!K46="","",精算表!$W$1)</f>
        <v/>
      </c>
      <c r="C46" s="128" t="str">
        <f>IF(足元帳!K46="","",IF(足元帳!AY46=2,"R","N"))</f>
        <v/>
      </c>
      <c r="D46" s="128" t="str">
        <f>IF(足元帳!K46="","",IF(足元帳!AZ46=1,"姫",IF(足元帳!AZ46=2,"本指名",IF(足元帳!AZ46=3,"NET",IF(足元帳!AZ46=4,"写真","")))))</f>
        <v/>
      </c>
      <c r="E46" s="128" t="str">
        <f>IF(足元帳!K46="","",足元帳!K46)</f>
        <v/>
      </c>
      <c r="F46" s="128" t="str">
        <f>IF(足元帳!K46="","",IF(足元帳!BB46=1,45,IF(足元帳!BB46=2,60,IF(足元帳!BB46=3,75,IF(足元帳!BB46=4,90,IF(足元帳!BB46=5,120,IF(足元帳!BB46=6,150,IF(足元帳!BB46=7,180,""))))))))</f>
        <v/>
      </c>
      <c r="G46" s="128" t="str">
        <f>IF(足元帳!K46="","",足元帳!A46)</f>
        <v/>
      </c>
      <c r="H46" s="125" t="str">
        <f>IF(足元帳!AP46="","",$H$1)</f>
        <v/>
      </c>
      <c r="I46" s="125" t="str">
        <f>IF(足元帳!AQ46="","",$I$1)</f>
        <v/>
      </c>
      <c r="J46" s="125" t="str">
        <f>IF(足元帳!AR46="","",$J$1)</f>
        <v/>
      </c>
      <c r="K46" s="125" t="str">
        <f>IF(足元帳!AS46="","",$K$1)</f>
        <v/>
      </c>
      <c r="L46" s="291" t="str">
        <f>IF(COUNTIF(足元帳!AT46,"*複合*"),"複合","")</f>
        <v/>
      </c>
      <c r="M46" s="291" t="str">
        <f>IF(COUNTIF(足元帳!AT46,"*店頭本指名*"),"店頭本指名","")</f>
        <v/>
      </c>
      <c r="N46" s="125" t="str">
        <f>IF(足元帳!U46="","",足元帳!U46)</f>
        <v/>
      </c>
      <c r="O46" s="125" t="str">
        <f>IF(足元帳!V46="","",足元帳!V46)</f>
        <v/>
      </c>
      <c r="P46" s="125" t="str">
        <f>IF(足元帳!W46="","",足元帳!W46)</f>
        <v/>
      </c>
      <c r="Q46" s="125" t="str">
        <f>IF(足元帳!X46="","",足元帳!X46)</f>
        <v/>
      </c>
      <c r="R46" s="125" t="str">
        <f>IF(足元帳!Y46="","",足元帳!Y46)</f>
        <v/>
      </c>
      <c r="S46" s="125" t="str">
        <f>IF(足元帳!Z46="","",足元帳!Z46)</f>
        <v/>
      </c>
      <c r="T46" s="125" t="str">
        <f>IF(足元帳!AT46="","",足元帳!AT46)</f>
        <v/>
      </c>
      <c r="U46" s="125" t="str">
        <f>IF(足元帳!AH46="●",足元帳!$AH$1&amp;足元帳!AW46,"")</f>
        <v/>
      </c>
      <c r="V46" s="125" t="str">
        <f>IF(足元帳!AI46="●",足元帳!$AI$1&amp;足元帳!AW46,"")</f>
        <v/>
      </c>
      <c r="W46" s="125" t="str">
        <f>IF(足元帳!AX46="","",足元帳!AX46)</f>
        <v/>
      </c>
      <c r="X46" s="125">
        <f>足元帳!BJ46</f>
        <v>0</v>
      </c>
      <c r="AA46" s="167"/>
      <c r="AB46" s="167"/>
      <c r="AR46" s="166"/>
      <c r="AS46" s="139"/>
      <c r="AT46" s="139"/>
      <c r="AU46" s="142"/>
      <c r="AV46" s="143"/>
      <c r="AW46" s="139"/>
      <c r="AX46" s="139"/>
      <c r="AY46" s="141"/>
      <c r="AZ46" s="141"/>
      <c r="BA46" s="141"/>
      <c r="BB46" s="141"/>
      <c r="BC46" s="141"/>
      <c r="BD46" s="141"/>
      <c r="BE46" s="164"/>
    </row>
    <row r="47" spans="1:57" ht="13.15" customHeight="1">
      <c r="A47" s="126">
        <v>46</v>
      </c>
      <c r="B47" s="127" t="str">
        <f>IF(足元帳!K47="","",精算表!$W$1)</f>
        <v/>
      </c>
      <c r="C47" s="128" t="str">
        <f>IF(足元帳!K47="","",IF(足元帳!AY47=2,"R","N"))</f>
        <v/>
      </c>
      <c r="D47" s="128" t="str">
        <f>IF(足元帳!K47="","",IF(足元帳!AZ47=1,"姫",IF(足元帳!AZ47=2,"本指名",IF(足元帳!AZ47=3,"NET",IF(足元帳!AZ47=4,"写真","")))))</f>
        <v/>
      </c>
      <c r="E47" s="128" t="str">
        <f>IF(足元帳!K47="","",足元帳!K47)</f>
        <v/>
      </c>
      <c r="F47" s="128" t="str">
        <f>IF(足元帳!K47="","",IF(足元帳!BB47=1,45,IF(足元帳!BB47=2,60,IF(足元帳!BB47=3,75,IF(足元帳!BB47=4,90,IF(足元帳!BB47=5,120,IF(足元帳!BB47=6,150,IF(足元帳!BB47=7,180,""))))))))</f>
        <v/>
      </c>
      <c r="G47" s="128" t="str">
        <f>IF(足元帳!K47="","",足元帳!A47)</f>
        <v/>
      </c>
      <c r="H47" s="125" t="str">
        <f>IF(足元帳!AP47="","",$H$1)</f>
        <v/>
      </c>
      <c r="I47" s="125" t="str">
        <f>IF(足元帳!AQ47="","",$I$1)</f>
        <v/>
      </c>
      <c r="J47" s="125" t="str">
        <f>IF(足元帳!AR47="","",$J$1)</f>
        <v/>
      </c>
      <c r="K47" s="125" t="str">
        <f>IF(足元帳!AS47="","",$K$1)</f>
        <v/>
      </c>
      <c r="L47" s="291" t="str">
        <f>IF(COUNTIF(足元帳!AT47,"*複合*"),"複合","")</f>
        <v/>
      </c>
      <c r="M47" s="291" t="str">
        <f>IF(COUNTIF(足元帳!AT47,"*店頭本指名*"),"店頭本指名","")</f>
        <v/>
      </c>
      <c r="N47" s="125" t="str">
        <f>IF(足元帳!U47="","",足元帳!U47)</f>
        <v/>
      </c>
      <c r="O47" s="125" t="str">
        <f>IF(足元帳!V47="","",足元帳!V47)</f>
        <v/>
      </c>
      <c r="P47" s="125" t="str">
        <f>IF(足元帳!W47="","",足元帳!W47)</f>
        <v/>
      </c>
      <c r="Q47" s="125" t="str">
        <f>IF(足元帳!X47="","",足元帳!X47)</f>
        <v/>
      </c>
      <c r="R47" s="125" t="str">
        <f>IF(足元帳!Y47="","",足元帳!Y47)</f>
        <v/>
      </c>
      <c r="S47" s="125" t="str">
        <f>IF(足元帳!Z47="","",足元帳!Z47)</f>
        <v/>
      </c>
      <c r="T47" s="125" t="str">
        <f>IF(足元帳!AT47="","",足元帳!AT47)</f>
        <v/>
      </c>
      <c r="U47" s="125" t="str">
        <f>IF(足元帳!AH47="●",足元帳!$AH$1&amp;足元帳!AW47,"")</f>
        <v/>
      </c>
      <c r="V47" s="125" t="str">
        <f>IF(足元帳!AI47="●",足元帳!$AI$1&amp;足元帳!AW47,"")</f>
        <v/>
      </c>
      <c r="W47" s="125" t="str">
        <f>IF(足元帳!AX47="","",足元帳!AX47)</f>
        <v/>
      </c>
      <c r="X47" s="125">
        <f>足元帳!BJ47</f>
        <v>0</v>
      </c>
      <c r="AA47" s="167"/>
      <c r="AB47" s="167"/>
      <c r="AR47" s="166"/>
      <c r="AS47" s="139"/>
      <c r="AT47" s="139"/>
      <c r="AU47" s="142"/>
      <c r="AV47" s="143"/>
      <c r="AW47" s="139"/>
      <c r="AX47" s="139"/>
      <c r="AY47" s="141"/>
      <c r="AZ47" s="141"/>
      <c r="BA47" s="141"/>
      <c r="BB47" s="141"/>
      <c r="BC47" s="141"/>
      <c r="BD47" s="141"/>
      <c r="BE47" s="164"/>
    </row>
    <row r="48" spans="1:57" ht="13.15" customHeight="1">
      <c r="A48" s="126">
        <v>47</v>
      </c>
      <c r="B48" s="127" t="str">
        <f>IF(足元帳!K48="","",精算表!$W$1)</f>
        <v/>
      </c>
      <c r="C48" s="128" t="str">
        <f>IF(足元帳!K48="","",IF(足元帳!AY48=2,"R","N"))</f>
        <v/>
      </c>
      <c r="D48" s="128" t="str">
        <f>IF(足元帳!K48="","",IF(足元帳!AZ48=1,"姫",IF(足元帳!AZ48=2,"本指名",IF(足元帳!AZ48=3,"NET",IF(足元帳!AZ48=4,"写真","")))))</f>
        <v/>
      </c>
      <c r="E48" s="128" t="str">
        <f>IF(足元帳!K48="","",足元帳!K48)</f>
        <v/>
      </c>
      <c r="F48" s="128" t="str">
        <f>IF(足元帳!K48="","",IF(足元帳!BB48=1,45,IF(足元帳!BB48=2,60,IF(足元帳!BB48=3,75,IF(足元帳!BB48=4,90,IF(足元帳!BB48=5,120,IF(足元帳!BB48=6,150,IF(足元帳!BB48=7,180,""))))))))</f>
        <v/>
      </c>
      <c r="G48" s="128" t="str">
        <f>IF(足元帳!K48="","",足元帳!A48)</f>
        <v/>
      </c>
      <c r="H48" s="125" t="str">
        <f>IF(足元帳!AP48="","",$H$1)</f>
        <v/>
      </c>
      <c r="I48" s="125" t="str">
        <f>IF(足元帳!AQ48="","",$I$1)</f>
        <v/>
      </c>
      <c r="J48" s="125" t="str">
        <f>IF(足元帳!AR48="","",$J$1)</f>
        <v/>
      </c>
      <c r="K48" s="125" t="str">
        <f>IF(足元帳!AS48="","",$K$1)</f>
        <v/>
      </c>
      <c r="L48" s="291" t="str">
        <f>IF(COUNTIF(足元帳!AT48,"*複合*"),"複合","")</f>
        <v/>
      </c>
      <c r="M48" s="291" t="str">
        <f>IF(COUNTIF(足元帳!AT48,"*店頭本指名*"),"店頭本指名","")</f>
        <v/>
      </c>
      <c r="N48" s="125" t="str">
        <f>IF(足元帳!U48="","",足元帳!U48)</f>
        <v/>
      </c>
      <c r="O48" s="125" t="str">
        <f>IF(足元帳!V48="","",足元帳!V48)</f>
        <v/>
      </c>
      <c r="P48" s="125" t="str">
        <f>IF(足元帳!W48="","",足元帳!W48)</f>
        <v/>
      </c>
      <c r="Q48" s="125" t="str">
        <f>IF(足元帳!X48="","",足元帳!X48)</f>
        <v/>
      </c>
      <c r="R48" s="125" t="str">
        <f>IF(足元帳!Y48="","",足元帳!Y48)</f>
        <v/>
      </c>
      <c r="S48" s="125" t="str">
        <f>IF(足元帳!Z48="","",足元帳!Z48)</f>
        <v/>
      </c>
      <c r="T48" s="125" t="str">
        <f>IF(足元帳!AT48="","",足元帳!AT48)</f>
        <v/>
      </c>
      <c r="U48" s="125" t="str">
        <f>IF(足元帳!AH48="●",足元帳!$AH$1&amp;足元帳!AW48,"")</f>
        <v/>
      </c>
      <c r="V48" s="125" t="str">
        <f>IF(足元帳!AI48="●",足元帳!$AI$1&amp;足元帳!AW48,"")</f>
        <v/>
      </c>
      <c r="W48" s="125" t="str">
        <f>IF(足元帳!AX48="","",足元帳!AX48)</f>
        <v/>
      </c>
      <c r="X48" s="125">
        <f>足元帳!BJ48</f>
        <v>0</v>
      </c>
      <c r="AR48" s="180" t="s">
        <v>224</v>
      </c>
      <c r="AS48" s="139"/>
      <c r="AT48" s="139"/>
      <c r="AU48" s="139"/>
      <c r="AV48" s="139"/>
      <c r="AW48" s="139"/>
      <c r="AX48" s="139"/>
      <c r="AY48" s="141"/>
      <c r="AZ48" s="141"/>
      <c r="BA48" s="141"/>
      <c r="BB48" s="141"/>
      <c r="BC48" s="141"/>
      <c r="BD48" s="141"/>
      <c r="BE48" s="164"/>
    </row>
    <row r="49" spans="1:57" ht="13.15" customHeight="1">
      <c r="A49" s="126">
        <v>48</v>
      </c>
      <c r="B49" s="127" t="str">
        <f>IF(足元帳!K49="","",精算表!$W$1)</f>
        <v/>
      </c>
      <c r="C49" s="128" t="str">
        <f>IF(足元帳!K49="","",IF(足元帳!AY49=2,"R","N"))</f>
        <v/>
      </c>
      <c r="D49" s="128" t="str">
        <f>IF(足元帳!K49="","",IF(足元帳!AZ49=1,"姫",IF(足元帳!AZ49=2,"本指名",IF(足元帳!AZ49=3,"NET",IF(足元帳!AZ49=4,"写真","")))))</f>
        <v/>
      </c>
      <c r="E49" s="128" t="str">
        <f>IF(足元帳!K49="","",足元帳!K49)</f>
        <v/>
      </c>
      <c r="F49" s="128" t="str">
        <f>IF(足元帳!K49="","",IF(足元帳!BB49=1,45,IF(足元帳!BB49=2,60,IF(足元帳!BB49=3,75,IF(足元帳!BB49=4,90,IF(足元帳!BB49=5,120,IF(足元帳!BB49=6,150,IF(足元帳!BB49=7,180,""))))))))</f>
        <v/>
      </c>
      <c r="G49" s="128" t="str">
        <f>IF(足元帳!K49="","",足元帳!A49)</f>
        <v/>
      </c>
      <c r="H49" s="125" t="str">
        <f>IF(足元帳!AP49="","",$H$1)</f>
        <v/>
      </c>
      <c r="I49" s="125" t="str">
        <f>IF(足元帳!AQ49="","",$I$1)</f>
        <v/>
      </c>
      <c r="J49" s="125" t="str">
        <f>IF(足元帳!AR49="","",$J$1)</f>
        <v/>
      </c>
      <c r="K49" s="125" t="str">
        <f>IF(足元帳!AS49="","",$K$1)</f>
        <v/>
      </c>
      <c r="L49" s="291" t="str">
        <f>IF(COUNTIF(足元帳!AT49,"*複合*"),"複合","")</f>
        <v/>
      </c>
      <c r="M49" s="291" t="str">
        <f>IF(COUNTIF(足元帳!AT49,"*店頭本指名*"),"店頭本指名","")</f>
        <v/>
      </c>
      <c r="N49" s="125" t="str">
        <f>IF(足元帳!U49="","",足元帳!U49)</f>
        <v/>
      </c>
      <c r="O49" s="125" t="str">
        <f>IF(足元帳!V49="","",足元帳!V49)</f>
        <v/>
      </c>
      <c r="P49" s="125" t="str">
        <f>IF(足元帳!W49="","",足元帳!W49)</f>
        <v/>
      </c>
      <c r="Q49" s="125" t="str">
        <f>IF(足元帳!X49="","",足元帳!X49)</f>
        <v/>
      </c>
      <c r="R49" s="125" t="str">
        <f>IF(足元帳!Y49="","",足元帳!Y49)</f>
        <v/>
      </c>
      <c r="S49" s="125" t="str">
        <f>IF(足元帳!Z49="","",足元帳!Z49)</f>
        <v/>
      </c>
      <c r="T49" s="125" t="str">
        <f>IF(足元帳!AT49="","",足元帳!AT49)</f>
        <v/>
      </c>
      <c r="U49" s="125" t="str">
        <f>IF(足元帳!AH49="●",足元帳!$AH$1&amp;足元帳!AW49,"")</f>
        <v/>
      </c>
      <c r="V49" s="125" t="str">
        <f>IF(足元帳!AI49="●",足元帳!$AI$1&amp;足元帳!AW49,"")</f>
        <v/>
      </c>
      <c r="W49" s="125" t="str">
        <f>IF(足元帳!AX49="","",足元帳!AX49)</f>
        <v/>
      </c>
      <c r="X49" s="125">
        <f>足元帳!BJ49</f>
        <v>0</v>
      </c>
      <c r="AR49" s="166"/>
      <c r="AS49" s="139"/>
      <c r="AT49" s="139"/>
      <c r="AU49" s="142"/>
      <c r="AV49" s="143"/>
      <c r="AW49" s="139"/>
      <c r="AX49" s="139"/>
      <c r="AY49" s="141"/>
      <c r="AZ49" s="141"/>
      <c r="BA49" s="141"/>
      <c r="BB49" s="141"/>
      <c r="BC49" s="141"/>
      <c r="BD49" s="141"/>
      <c r="BE49" s="164"/>
    </row>
    <row r="50" spans="1:57" ht="13.15" customHeight="1">
      <c r="A50" s="126">
        <v>49</v>
      </c>
      <c r="B50" s="127" t="str">
        <f>IF(足元帳!K50="","",精算表!$W$1)</f>
        <v/>
      </c>
      <c r="C50" s="128" t="str">
        <f>IF(足元帳!K50="","",IF(足元帳!AY50=2,"R","N"))</f>
        <v/>
      </c>
      <c r="D50" s="128" t="str">
        <f>IF(足元帳!K50="","",IF(足元帳!AZ50=1,"姫",IF(足元帳!AZ50=2,"本指名",IF(足元帳!AZ50=3,"NET",IF(足元帳!AZ50=4,"写真","")))))</f>
        <v/>
      </c>
      <c r="E50" s="128" t="str">
        <f>IF(足元帳!K50="","",足元帳!K50)</f>
        <v/>
      </c>
      <c r="F50" s="128" t="str">
        <f>IF(足元帳!K50="","",IF(足元帳!BB50=1,45,IF(足元帳!BB50=2,60,IF(足元帳!BB50=3,75,IF(足元帳!BB50=4,90,IF(足元帳!BB50=5,120,IF(足元帳!BB50=6,150,IF(足元帳!BB50=7,180,""))))))))</f>
        <v/>
      </c>
      <c r="G50" s="128" t="str">
        <f>IF(足元帳!K50="","",足元帳!A50)</f>
        <v/>
      </c>
      <c r="H50" s="125" t="str">
        <f>IF(足元帳!AP50="","",$H$1)</f>
        <v/>
      </c>
      <c r="I50" s="125" t="str">
        <f>IF(足元帳!AQ50="","",$I$1)</f>
        <v/>
      </c>
      <c r="J50" s="125" t="str">
        <f>IF(足元帳!AR50="","",$J$1)</f>
        <v/>
      </c>
      <c r="K50" s="125" t="str">
        <f>IF(足元帳!AS50="","",$K$1)</f>
        <v/>
      </c>
      <c r="L50" s="291" t="str">
        <f>IF(COUNTIF(足元帳!AT50,"*複合*"),"複合","")</f>
        <v/>
      </c>
      <c r="M50" s="291" t="str">
        <f>IF(COUNTIF(足元帳!AT50,"*店頭本指名*"),"店頭本指名","")</f>
        <v/>
      </c>
      <c r="N50" s="125" t="str">
        <f>IF(足元帳!U50="","",足元帳!U50)</f>
        <v/>
      </c>
      <c r="O50" s="125" t="str">
        <f>IF(足元帳!V50="","",足元帳!V50)</f>
        <v/>
      </c>
      <c r="P50" s="125" t="str">
        <f>IF(足元帳!W50="","",足元帳!W50)</f>
        <v/>
      </c>
      <c r="Q50" s="125" t="str">
        <f>IF(足元帳!X50="","",足元帳!X50)</f>
        <v/>
      </c>
      <c r="R50" s="125" t="str">
        <f>IF(足元帳!Y50="","",足元帳!Y50)</f>
        <v/>
      </c>
      <c r="S50" s="125" t="str">
        <f>IF(足元帳!Z50="","",足元帳!Z50)</f>
        <v/>
      </c>
      <c r="T50" s="125" t="str">
        <f>IF(足元帳!AT50="","",足元帳!AT50)</f>
        <v/>
      </c>
      <c r="U50" s="125" t="str">
        <f>IF(足元帳!AH50="●",足元帳!$AH$1&amp;足元帳!AW50,"")</f>
        <v/>
      </c>
      <c r="V50" s="125" t="str">
        <f>IF(足元帳!AI50="●",足元帳!$AI$1&amp;足元帳!AW50,"")</f>
        <v/>
      </c>
      <c r="W50" s="125" t="str">
        <f>IF(足元帳!AX50="","",足元帳!AX50)</f>
        <v/>
      </c>
      <c r="X50" s="125">
        <f>足元帳!BJ50</f>
        <v>0</v>
      </c>
      <c r="Y50" s="211"/>
      <c r="AR50" s="163" t="str">
        <f>"　"&amp;AI32</f>
        <v>　8</v>
      </c>
      <c r="AS50" s="167" t="s">
        <v>227</v>
      </c>
      <c r="AT50" s="139" t="str">
        <f>AJ32&amp;"/"</f>
        <v>0/</v>
      </c>
      <c r="AU50" s="139" t="str">
        <f>AK32&amp;"/"</f>
        <v>0/</v>
      </c>
      <c r="AV50" s="139" t="str">
        <f>AL32&amp;"/"</f>
        <v>0/</v>
      </c>
      <c r="AW50" s="139" t="str">
        <f>AM32&amp;"/"</f>
        <v>0/</v>
      </c>
      <c r="AX50" s="139">
        <f>AN32</f>
        <v>0</v>
      </c>
      <c r="AY50" s="141" t="s">
        <v>228</v>
      </c>
      <c r="AZ50" s="141" t="str">
        <f>AJ34&amp;"/"</f>
        <v>0/</v>
      </c>
      <c r="BA50" s="141" t="str">
        <f>AK34&amp;"/"</f>
        <v>0/</v>
      </c>
      <c r="BB50" s="141" t="str">
        <f>AL34&amp;"/"</f>
        <v>0/</v>
      </c>
      <c r="BC50" s="141" t="str">
        <f>AM34&amp;"/"</f>
        <v>0/</v>
      </c>
      <c r="BD50" s="141">
        <f>AN34</f>
        <v>0</v>
      </c>
      <c r="BE50" s="164" t="s">
        <v>229</v>
      </c>
    </row>
    <row r="51" spans="1:57" ht="13.15" customHeight="1">
      <c r="A51" s="126">
        <v>50</v>
      </c>
      <c r="B51" s="127" t="str">
        <f>IF(足元帳!K51="","",精算表!$W$1)</f>
        <v/>
      </c>
      <c r="C51" s="128" t="str">
        <f>IF(足元帳!K51="","",IF(足元帳!AY51=2,"R","N"))</f>
        <v/>
      </c>
      <c r="D51" s="128" t="str">
        <f>IF(足元帳!K51="","",IF(足元帳!AZ51=1,"姫",IF(足元帳!AZ51=2,"本指名",IF(足元帳!AZ51=3,"NET",IF(足元帳!AZ51=4,"写真","")))))</f>
        <v/>
      </c>
      <c r="E51" s="128" t="str">
        <f>IF(足元帳!K51="","",足元帳!K51)</f>
        <v/>
      </c>
      <c r="F51" s="128" t="str">
        <f>IF(足元帳!K51="","",IF(足元帳!BB51=1,45,IF(足元帳!BB51=2,60,IF(足元帳!BB51=3,75,IF(足元帳!BB51=4,90,IF(足元帳!BB51=5,120,IF(足元帳!BB51=6,150,IF(足元帳!BB51=7,180,""))))))))</f>
        <v/>
      </c>
      <c r="G51" s="128" t="str">
        <f>IF(足元帳!K51="","",足元帳!A51)</f>
        <v/>
      </c>
      <c r="H51" s="125" t="str">
        <f>IF(足元帳!AP51="","",$H$1)</f>
        <v/>
      </c>
      <c r="I51" s="125" t="str">
        <f>IF(足元帳!AQ51="","",$I$1)</f>
        <v/>
      </c>
      <c r="J51" s="125" t="str">
        <f>IF(足元帳!AR51="","",$J$1)</f>
        <v/>
      </c>
      <c r="K51" s="125" t="str">
        <f>IF(足元帳!AS51="","",$K$1)</f>
        <v/>
      </c>
      <c r="L51" s="291" t="str">
        <f>IF(COUNTIF(足元帳!AT51,"*複合*"),"複合","")</f>
        <v/>
      </c>
      <c r="M51" s="291" t="str">
        <f>IF(COUNTIF(足元帳!AT51,"*店頭本指名*"),"店頭本指名","")</f>
        <v/>
      </c>
      <c r="N51" s="125" t="str">
        <f>IF(足元帳!U51="","",足元帳!U51)</f>
        <v/>
      </c>
      <c r="O51" s="125" t="str">
        <f>IF(足元帳!V51="","",足元帳!V51)</f>
        <v/>
      </c>
      <c r="P51" s="125" t="str">
        <f>IF(足元帳!W51="","",足元帳!W51)</f>
        <v/>
      </c>
      <c r="Q51" s="125" t="str">
        <f>IF(足元帳!X51="","",足元帳!X51)</f>
        <v/>
      </c>
      <c r="R51" s="125" t="str">
        <f>IF(足元帳!Y51="","",足元帳!Y51)</f>
        <v/>
      </c>
      <c r="S51" s="125" t="str">
        <f>IF(足元帳!Z51="","",足元帳!Z51)</f>
        <v/>
      </c>
      <c r="T51" s="125" t="str">
        <f>IF(足元帳!AT51="","",足元帳!AT51)</f>
        <v/>
      </c>
      <c r="U51" s="125" t="str">
        <f>IF(足元帳!AH51="●",足元帳!$AH$1&amp;足元帳!AW51,"")</f>
        <v/>
      </c>
      <c r="V51" s="125" t="str">
        <f>IF(足元帳!AI51="●",足元帳!$AI$1&amp;足元帳!AW51,"")</f>
        <v/>
      </c>
      <c r="W51" s="125" t="str">
        <f>IF(足元帳!AX51="","",足元帳!AX51)</f>
        <v/>
      </c>
      <c r="X51" s="125">
        <f>足元帳!BJ51</f>
        <v>0</v>
      </c>
      <c r="Y51" s="225"/>
      <c r="AR51" s="163" t="s">
        <v>230</v>
      </c>
      <c r="AS51" s="139">
        <f>AO32</f>
        <v>0</v>
      </c>
      <c r="AT51" s="139" t="s">
        <v>231</v>
      </c>
      <c r="AU51" s="139" t="s">
        <v>230</v>
      </c>
      <c r="AV51" s="143">
        <f>AP32</f>
        <v>0</v>
      </c>
      <c r="AW51" s="139" t="s">
        <v>232</v>
      </c>
      <c r="AX51" s="139"/>
      <c r="AY51" s="141"/>
      <c r="AZ51" s="141"/>
      <c r="BA51" s="141"/>
      <c r="BB51" s="141"/>
      <c r="BC51" s="141"/>
      <c r="BD51" s="141"/>
      <c r="BE51" s="164"/>
    </row>
    <row r="52" spans="1:57" ht="13.15" customHeight="1">
      <c r="A52" s="126">
        <v>51</v>
      </c>
      <c r="B52" s="127" t="str">
        <f>IF(足元帳!K52="","",精算表!$W$1)</f>
        <v/>
      </c>
      <c r="C52" s="128" t="str">
        <f>IF(足元帳!K52="","",IF(足元帳!AY52=2,"R","N"))</f>
        <v/>
      </c>
      <c r="D52" s="128" t="str">
        <f>IF(足元帳!K52="","",IF(足元帳!AZ52=1,"姫",IF(足元帳!AZ52=2,"本指名",IF(足元帳!AZ52=3,"NET",IF(足元帳!AZ52=4,"写真","")))))</f>
        <v/>
      </c>
      <c r="E52" s="128" t="str">
        <f>IF(足元帳!K52="","",足元帳!K52)</f>
        <v/>
      </c>
      <c r="F52" s="128" t="str">
        <f>IF(足元帳!K52="","",IF(足元帳!BB52=1,45,IF(足元帳!BB52=2,60,IF(足元帳!BB52=3,75,IF(足元帳!BB52=4,90,IF(足元帳!BB52=5,120,IF(足元帳!BB52=6,150,IF(足元帳!BB52=7,180,""))))))))</f>
        <v/>
      </c>
      <c r="G52" s="128" t="str">
        <f>IF(足元帳!K52="","",足元帳!A52)</f>
        <v/>
      </c>
      <c r="H52" s="125" t="str">
        <f>IF(足元帳!AP52="","",$H$1)</f>
        <v/>
      </c>
      <c r="I52" s="125" t="str">
        <f>IF(足元帳!AQ52="","",$I$1)</f>
        <v/>
      </c>
      <c r="J52" s="125" t="str">
        <f>IF(足元帳!AR52="","",$J$1)</f>
        <v/>
      </c>
      <c r="K52" s="125" t="str">
        <f>IF(足元帳!AS52="","",$K$1)</f>
        <v/>
      </c>
      <c r="L52" s="291" t="str">
        <f>IF(COUNTIF(足元帳!AT52,"*複合*"),"複合","")</f>
        <v/>
      </c>
      <c r="M52" s="291" t="str">
        <f>IF(COUNTIF(足元帳!AT52,"*店頭本指名*"),"店頭本指名","")</f>
        <v/>
      </c>
      <c r="N52" s="125" t="str">
        <f>IF(足元帳!U52="","",足元帳!U52)</f>
        <v/>
      </c>
      <c r="O52" s="125" t="str">
        <f>IF(足元帳!V52="","",足元帳!V52)</f>
        <v/>
      </c>
      <c r="P52" s="125" t="str">
        <f>IF(足元帳!W52="","",足元帳!W52)</f>
        <v/>
      </c>
      <c r="Q52" s="125" t="str">
        <f>IF(足元帳!X52="","",足元帳!X52)</f>
        <v/>
      </c>
      <c r="R52" s="125" t="str">
        <f>IF(足元帳!Y52="","",足元帳!Y52)</f>
        <v/>
      </c>
      <c r="S52" s="125" t="str">
        <f>IF(足元帳!Z52="","",足元帳!Z52)</f>
        <v/>
      </c>
      <c r="T52" s="125" t="str">
        <f>IF(足元帳!AT52="","",足元帳!AT52)</f>
        <v/>
      </c>
      <c r="U52" s="125" t="str">
        <f>IF(足元帳!AH52="●",足元帳!$AH$1&amp;足元帳!AW52,"")</f>
        <v/>
      </c>
      <c r="V52" s="125" t="str">
        <f>IF(足元帳!AI52="●",足元帳!$AI$1&amp;足元帳!AW52,"")</f>
        <v/>
      </c>
      <c r="W52" s="125" t="str">
        <f>IF(足元帳!AX52="","",足元帳!AX52)</f>
        <v/>
      </c>
      <c r="X52" s="125">
        <f>足元帳!BJ52</f>
        <v>0</v>
      </c>
      <c r="Y52" s="215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R52" s="163" t="str">
        <f>"　"&amp;AI33</f>
        <v>　9</v>
      </c>
      <c r="AS52" s="139" t="s">
        <v>227</v>
      </c>
      <c r="AT52" s="139" t="str">
        <f>AJ33&amp;"/"</f>
        <v>0/</v>
      </c>
      <c r="AU52" s="139" t="str">
        <f>AK33&amp;"/"</f>
        <v>0/</v>
      </c>
      <c r="AV52" s="139" t="str">
        <f>AL33&amp;"/"</f>
        <v>0/</v>
      </c>
      <c r="AW52" s="139" t="str">
        <f>AM33&amp;"/"</f>
        <v>0/</v>
      </c>
      <c r="AX52" s="139">
        <f>AN33</f>
        <v>0</v>
      </c>
      <c r="AY52" s="141" t="s">
        <v>228</v>
      </c>
      <c r="AZ52" s="141" t="str">
        <f>AJ35&amp;"/"</f>
        <v>0/</v>
      </c>
      <c r="BA52" s="141" t="str">
        <f>AK35&amp;"/"</f>
        <v>0/</v>
      </c>
      <c r="BB52" s="141" t="str">
        <f>AL35&amp;"/"</f>
        <v>0/</v>
      </c>
      <c r="BC52" s="141" t="str">
        <f>AM35&amp;"/"</f>
        <v>0/</v>
      </c>
      <c r="BD52" s="141">
        <f>AN35</f>
        <v>0</v>
      </c>
      <c r="BE52" s="164" t="s">
        <v>229</v>
      </c>
    </row>
    <row r="53" spans="1:57" ht="13.15" customHeight="1">
      <c r="A53" s="126">
        <v>52</v>
      </c>
      <c r="B53" s="127" t="str">
        <f>IF(足元帳!K53="","",精算表!$W$1)</f>
        <v/>
      </c>
      <c r="C53" s="128" t="str">
        <f>IF(足元帳!K53="","",IF(足元帳!AY53=2,"R","N"))</f>
        <v/>
      </c>
      <c r="D53" s="128" t="str">
        <f>IF(足元帳!K53="","",IF(足元帳!AZ53=1,"姫",IF(足元帳!AZ53=2,"本指名",IF(足元帳!AZ53=3,"NET",IF(足元帳!AZ53=4,"写真","")))))</f>
        <v/>
      </c>
      <c r="E53" s="128" t="str">
        <f>IF(足元帳!K53="","",足元帳!K53)</f>
        <v/>
      </c>
      <c r="F53" s="128" t="str">
        <f>IF(足元帳!K53="","",IF(足元帳!BB53=1,45,IF(足元帳!BB53=2,60,IF(足元帳!BB53=3,75,IF(足元帳!BB53=4,90,IF(足元帳!BB53=5,120,IF(足元帳!BB53=6,150,IF(足元帳!BB53=7,180,""))))))))</f>
        <v/>
      </c>
      <c r="G53" s="128" t="str">
        <f>IF(足元帳!K53="","",足元帳!A53)</f>
        <v/>
      </c>
      <c r="H53" s="125" t="str">
        <f>IF(足元帳!AP53="","",$H$1)</f>
        <v/>
      </c>
      <c r="I53" s="125" t="str">
        <f>IF(足元帳!AQ53="","",$I$1)</f>
        <v/>
      </c>
      <c r="J53" s="125" t="str">
        <f>IF(足元帳!AR53="","",$J$1)</f>
        <v/>
      </c>
      <c r="K53" s="125" t="str">
        <f>IF(足元帳!AS53="","",$K$1)</f>
        <v/>
      </c>
      <c r="L53" s="291" t="str">
        <f>IF(COUNTIF(足元帳!AT53,"*複合*"),"複合","")</f>
        <v/>
      </c>
      <c r="M53" s="291" t="str">
        <f>IF(COUNTIF(足元帳!AT53,"*店頭本指名*"),"店頭本指名","")</f>
        <v/>
      </c>
      <c r="N53" s="125" t="str">
        <f>IF(足元帳!U53="","",足元帳!U53)</f>
        <v/>
      </c>
      <c r="O53" s="125" t="str">
        <f>IF(足元帳!V53="","",足元帳!V53)</f>
        <v/>
      </c>
      <c r="P53" s="125" t="str">
        <f>IF(足元帳!W53="","",足元帳!W53)</f>
        <v/>
      </c>
      <c r="Q53" s="125" t="str">
        <f>IF(足元帳!X53="","",足元帳!X53)</f>
        <v/>
      </c>
      <c r="R53" s="125" t="str">
        <f>IF(足元帳!Y53="","",足元帳!Y53)</f>
        <v/>
      </c>
      <c r="S53" s="125" t="str">
        <f>IF(足元帳!Z53="","",足元帳!Z53)</f>
        <v/>
      </c>
      <c r="T53" s="125" t="str">
        <f>IF(足元帳!AT53="","",足元帳!AT53)</f>
        <v/>
      </c>
      <c r="U53" s="125" t="str">
        <f>IF(足元帳!AH53="●",足元帳!$AH$1&amp;足元帳!AW53,"")</f>
        <v/>
      </c>
      <c r="V53" s="125" t="str">
        <f>IF(足元帳!AI53="●",足元帳!$AI$1&amp;足元帳!AW53,"")</f>
        <v/>
      </c>
      <c r="W53" s="125" t="str">
        <f>IF(足元帳!AX53="","",足元帳!AX53)</f>
        <v/>
      </c>
      <c r="X53" s="125">
        <f>足元帳!BJ53</f>
        <v>0</v>
      </c>
      <c r="Y53" s="239"/>
      <c r="Z53" s="212"/>
      <c r="AA53" s="212"/>
      <c r="AH53" s="167"/>
      <c r="AR53" s="165" t="s">
        <v>230</v>
      </c>
      <c r="AS53" s="139">
        <f>AO33</f>
        <v>0</v>
      </c>
      <c r="AT53" s="139" t="s">
        <v>231</v>
      </c>
      <c r="AU53" s="139" t="s">
        <v>230</v>
      </c>
      <c r="AV53" s="139">
        <f>AP33</f>
        <v>0</v>
      </c>
      <c r="AW53" s="139" t="s">
        <v>232</v>
      </c>
      <c r="AX53" s="139"/>
      <c r="AY53" s="141"/>
      <c r="AZ53" s="141"/>
      <c r="BA53" s="141"/>
      <c r="BB53" s="141"/>
      <c r="BC53" s="141"/>
      <c r="BD53" s="141"/>
      <c r="BE53" s="164"/>
    </row>
    <row r="54" spans="1:57" ht="13.15" customHeight="1">
      <c r="A54" s="126">
        <v>53</v>
      </c>
      <c r="B54" s="127" t="str">
        <f>IF(足元帳!K54="","",精算表!$W$1)</f>
        <v/>
      </c>
      <c r="C54" s="128" t="str">
        <f>IF(足元帳!K54="","",IF(足元帳!AY54=2,"R","N"))</f>
        <v/>
      </c>
      <c r="D54" s="128" t="str">
        <f>IF(足元帳!K54="","",IF(足元帳!AZ54=1,"姫",IF(足元帳!AZ54=2,"本指名",IF(足元帳!AZ54=3,"NET",IF(足元帳!AZ54=4,"写真","")))))</f>
        <v/>
      </c>
      <c r="E54" s="128" t="str">
        <f>IF(足元帳!K54="","",足元帳!K54)</f>
        <v/>
      </c>
      <c r="F54" s="128" t="str">
        <f>IF(足元帳!K54="","",IF(足元帳!BB54=1,45,IF(足元帳!BB54=2,60,IF(足元帳!BB54=3,75,IF(足元帳!BB54=4,90,IF(足元帳!BB54=5,120,IF(足元帳!BB54=6,150,IF(足元帳!BB54=7,180,""))))))))</f>
        <v/>
      </c>
      <c r="G54" s="128" t="str">
        <f>IF(足元帳!K54="","",足元帳!A54)</f>
        <v/>
      </c>
      <c r="H54" s="125" t="str">
        <f>IF(足元帳!AP54="","",$H$1)</f>
        <v/>
      </c>
      <c r="I54" s="125" t="str">
        <f>IF(足元帳!AQ54="","",$I$1)</f>
        <v/>
      </c>
      <c r="J54" s="125" t="str">
        <f>IF(足元帳!AR54="","",$J$1)</f>
        <v/>
      </c>
      <c r="K54" s="125" t="str">
        <f>IF(足元帳!AS54="","",$K$1)</f>
        <v/>
      </c>
      <c r="L54" s="291" t="str">
        <f>IF(COUNTIF(足元帳!AT54,"*複合*"),"複合","")</f>
        <v/>
      </c>
      <c r="M54" s="291" t="str">
        <f>IF(COUNTIF(足元帳!AT54,"*店頭本指名*"),"店頭本指名","")</f>
        <v/>
      </c>
      <c r="N54" s="125" t="str">
        <f>IF(足元帳!U54="","",足元帳!U54)</f>
        <v/>
      </c>
      <c r="O54" s="125" t="str">
        <f>IF(足元帳!V54="","",足元帳!V54)</f>
        <v/>
      </c>
      <c r="P54" s="125" t="str">
        <f>IF(足元帳!W54="","",足元帳!W54)</f>
        <v/>
      </c>
      <c r="Q54" s="125" t="str">
        <f>IF(足元帳!X54="","",足元帳!X54)</f>
        <v/>
      </c>
      <c r="R54" s="125" t="str">
        <f>IF(足元帳!Y54="","",足元帳!Y54)</f>
        <v/>
      </c>
      <c r="S54" s="125" t="str">
        <f>IF(足元帳!Z54="","",足元帳!Z54)</f>
        <v/>
      </c>
      <c r="T54" s="125" t="str">
        <f>IF(足元帳!AT54="","",足元帳!AT54)</f>
        <v/>
      </c>
      <c r="U54" s="125" t="str">
        <f>IF(足元帳!AH54="●",足元帳!$AH$1&amp;足元帳!AW54,"")</f>
        <v/>
      </c>
      <c r="V54" s="125" t="str">
        <f>IF(足元帳!AI54="●",足元帳!$AI$1&amp;足元帳!AW54,"")</f>
        <v/>
      </c>
      <c r="W54" s="125" t="str">
        <f>IF(足元帳!AX54="","",足元帳!AX54)</f>
        <v/>
      </c>
      <c r="X54" s="125">
        <f>足元帳!BJ54</f>
        <v>0</v>
      </c>
      <c r="Y54" s="246"/>
      <c r="Z54" s="212"/>
      <c r="AA54" s="213"/>
      <c r="AB54" s="167"/>
      <c r="AC54" s="167"/>
      <c r="AD54" s="167"/>
      <c r="AF54" s="167"/>
      <c r="AG54" s="167"/>
      <c r="AH54" s="167"/>
      <c r="AI54" s="167"/>
      <c r="AJ54" s="167"/>
      <c r="AK54" s="167"/>
      <c r="AL54" s="167"/>
      <c r="AM54" s="167"/>
      <c r="AN54" s="167"/>
      <c r="AR54" s="181" t="s">
        <v>234</v>
      </c>
      <c r="AS54" s="167"/>
      <c r="AT54" s="167" t="str">
        <f>AJ33+AJ32&amp;"/"</f>
        <v>0/</v>
      </c>
      <c r="AU54" s="167" t="str">
        <f>AK32+AK33&amp;"/"</f>
        <v>0/</v>
      </c>
      <c r="AV54" s="167" t="str">
        <f>AL32+AL33&amp;"/"</f>
        <v>0/</v>
      </c>
      <c r="AW54" s="167" t="str">
        <f>AM32+AM33&amp;"/"</f>
        <v>0/</v>
      </c>
      <c r="AX54" s="167">
        <f>AN32+AN33</f>
        <v>0</v>
      </c>
      <c r="AY54" s="167" t="s">
        <v>228</v>
      </c>
      <c r="AZ54" s="167" t="str">
        <f>AJ34+AJ35&amp;"/"</f>
        <v>0/</v>
      </c>
      <c r="BA54" s="167" t="str">
        <f>AK34+AK35&amp;"/"</f>
        <v>0/</v>
      </c>
      <c r="BB54" s="167" t="str">
        <f>AL34+AL35&amp;"/"</f>
        <v>0/</v>
      </c>
      <c r="BC54" s="167" t="str">
        <f>AM34+AM35&amp;"/"</f>
        <v>0/</v>
      </c>
      <c r="BD54" s="167">
        <f>AN34+AN35</f>
        <v>0</v>
      </c>
      <c r="BE54" s="182" t="s">
        <v>229</v>
      </c>
    </row>
    <row r="55" spans="1:57" ht="13.15" customHeight="1" thickBot="1">
      <c r="A55" s="126">
        <v>54</v>
      </c>
      <c r="B55" s="127" t="str">
        <f>IF(足元帳!K55="","",精算表!$W$1)</f>
        <v/>
      </c>
      <c r="C55" s="128" t="str">
        <f>IF(足元帳!K55="","",IF(足元帳!AY55=2,"R","N"))</f>
        <v/>
      </c>
      <c r="D55" s="128" t="str">
        <f>IF(足元帳!K55="","",IF(足元帳!AZ55=1,"姫",IF(足元帳!AZ55=2,"本指名",IF(足元帳!AZ55=3,"NET",IF(足元帳!AZ55=4,"写真","")))))</f>
        <v/>
      </c>
      <c r="E55" s="128" t="str">
        <f>IF(足元帳!K55="","",足元帳!K55)</f>
        <v/>
      </c>
      <c r="F55" s="128" t="str">
        <f>IF(足元帳!K55="","",IF(足元帳!BB55=1,45,IF(足元帳!BB55=2,60,IF(足元帳!BB55=3,75,IF(足元帳!BB55=4,90,IF(足元帳!BB55=5,120,IF(足元帳!BB55=6,150,IF(足元帳!BB55=7,180,""))))))))</f>
        <v/>
      </c>
      <c r="G55" s="128" t="str">
        <f>IF(足元帳!K55="","",足元帳!A55)</f>
        <v/>
      </c>
      <c r="H55" s="125" t="str">
        <f>IF(足元帳!AP55="","",$H$1)</f>
        <v/>
      </c>
      <c r="I55" s="125" t="str">
        <f>IF(足元帳!AQ55="","",$I$1)</f>
        <v/>
      </c>
      <c r="J55" s="125" t="str">
        <f>IF(足元帳!AR55="","",$J$1)</f>
        <v/>
      </c>
      <c r="K55" s="125" t="str">
        <f>IF(足元帳!AS55="","",$K$1)</f>
        <v/>
      </c>
      <c r="L55" s="291" t="str">
        <f>IF(COUNTIF(足元帳!AT55,"*複合*"),"複合","")</f>
        <v/>
      </c>
      <c r="M55" s="291" t="str">
        <f>IF(COUNTIF(足元帳!AT55,"*店頭本指名*"),"店頭本指名","")</f>
        <v/>
      </c>
      <c r="N55" s="125" t="str">
        <f>IF(足元帳!U55="","",足元帳!U55)</f>
        <v/>
      </c>
      <c r="O55" s="125" t="str">
        <f>IF(足元帳!V55="","",足元帳!V55)</f>
        <v/>
      </c>
      <c r="P55" s="125" t="str">
        <f>IF(足元帳!W55="","",足元帳!W55)</f>
        <v/>
      </c>
      <c r="Q55" s="125" t="str">
        <f>IF(足元帳!X55="","",足元帳!X55)</f>
        <v/>
      </c>
      <c r="R55" s="125" t="str">
        <f>IF(足元帳!Y55="","",足元帳!Y55)</f>
        <v/>
      </c>
      <c r="S55" s="125" t="str">
        <f>IF(足元帳!Z55="","",足元帳!Z55)</f>
        <v/>
      </c>
      <c r="T55" s="125" t="str">
        <f>IF(足元帳!AT55="","",足元帳!AT55)</f>
        <v/>
      </c>
      <c r="U55" s="125" t="str">
        <f>IF(足元帳!AH55="●",足元帳!$AH$1&amp;足元帳!AW55,"")</f>
        <v/>
      </c>
      <c r="V55" s="125" t="str">
        <f>IF(足元帳!AI55="●",足元帳!$AI$1&amp;足元帳!AW55,"")</f>
        <v/>
      </c>
      <c r="W55" s="125" t="str">
        <f>IF(足元帳!AX55="","",足元帳!AX55)</f>
        <v/>
      </c>
      <c r="X55" s="125">
        <f>足元帳!BJ55</f>
        <v>0</v>
      </c>
      <c r="Y55" s="138"/>
      <c r="Z55" s="212"/>
      <c r="AA55" s="213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R55" s="181"/>
      <c r="AS55" s="167">
        <f>AO32+AO33</f>
        <v>0</v>
      </c>
      <c r="AT55" s="167" t="s">
        <v>231</v>
      </c>
      <c r="AU55" s="167"/>
      <c r="AV55" s="167">
        <f>AP32+AP33</f>
        <v>0</v>
      </c>
      <c r="AW55" s="167" t="s">
        <v>232</v>
      </c>
      <c r="AX55" s="167"/>
      <c r="AY55" s="167"/>
      <c r="AZ55" s="167"/>
      <c r="BA55" s="167"/>
      <c r="BB55" s="167"/>
      <c r="BC55" s="167"/>
      <c r="BD55" s="167"/>
      <c r="BE55" s="182"/>
    </row>
    <row r="56" spans="1:57" ht="13.15" customHeight="1">
      <c r="A56" s="126">
        <v>55</v>
      </c>
      <c r="B56" s="127" t="str">
        <f>IF(足元帳!K56="","",精算表!$W$1)</f>
        <v/>
      </c>
      <c r="C56" s="128" t="str">
        <f>IF(足元帳!K56="","",IF(足元帳!AY56=2,"R","N"))</f>
        <v/>
      </c>
      <c r="D56" s="128" t="str">
        <f>IF(足元帳!K56="","",IF(足元帳!AZ56=1,"姫",IF(足元帳!AZ56=2,"本指名",IF(足元帳!AZ56=3,"NET",IF(足元帳!AZ56=4,"写真","")))))</f>
        <v/>
      </c>
      <c r="E56" s="128" t="str">
        <f>IF(足元帳!K56="","",足元帳!K56)</f>
        <v/>
      </c>
      <c r="F56" s="128" t="str">
        <f>IF(足元帳!K56="","",IF(足元帳!BB56=1,45,IF(足元帳!BB56=2,60,IF(足元帳!BB56=3,75,IF(足元帳!BB56=4,90,IF(足元帳!BB56=5,120,IF(足元帳!BB56=6,150,IF(足元帳!BB56=7,180,""))))))))</f>
        <v/>
      </c>
      <c r="G56" s="128" t="str">
        <f>IF(足元帳!K56="","",足元帳!A56)</f>
        <v/>
      </c>
      <c r="H56" s="125" t="str">
        <f>IF(足元帳!AP56="","",$H$1)</f>
        <v/>
      </c>
      <c r="I56" s="125" t="str">
        <f>IF(足元帳!AQ56="","",$I$1)</f>
        <v/>
      </c>
      <c r="J56" s="125" t="str">
        <f>IF(足元帳!AR56="","",$J$1)</f>
        <v/>
      </c>
      <c r="K56" s="125" t="str">
        <f>IF(足元帳!AS56="","",$K$1)</f>
        <v/>
      </c>
      <c r="L56" s="291" t="str">
        <f>IF(COUNTIF(足元帳!AT56,"*複合*"),"複合","")</f>
        <v/>
      </c>
      <c r="M56" s="291" t="str">
        <f>IF(COUNTIF(足元帳!AT56,"*店頭本指名*"),"店頭本指名","")</f>
        <v/>
      </c>
      <c r="N56" s="125" t="str">
        <f>IF(足元帳!U56="","",足元帳!U56)</f>
        <v/>
      </c>
      <c r="O56" s="125" t="str">
        <f>IF(足元帳!V56="","",足元帳!V56)</f>
        <v/>
      </c>
      <c r="P56" s="125" t="str">
        <f>IF(足元帳!W56="","",足元帳!W56)</f>
        <v/>
      </c>
      <c r="Q56" s="125" t="str">
        <f>IF(足元帳!X56="","",足元帳!X56)</f>
        <v/>
      </c>
      <c r="R56" s="125" t="str">
        <f>IF(足元帳!Y56="","",足元帳!Y56)</f>
        <v/>
      </c>
      <c r="S56" s="125" t="str">
        <f>IF(足元帳!Z56="","",足元帳!Z56)</f>
        <v/>
      </c>
      <c r="T56" s="125" t="str">
        <f>IF(足元帳!AT56="","",足元帳!AT56)</f>
        <v/>
      </c>
      <c r="U56" s="125" t="str">
        <f>IF(足元帳!AH56="●",足元帳!$AH$1&amp;足元帳!AW56,"")</f>
        <v/>
      </c>
      <c r="V56" s="125" t="str">
        <f>IF(足元帳!AI56="●",足元帳!$AI$1&amp;足元帳!AW56,"")</f>
        <v/>
      </c>
      <c r="W56" s="125" t="str">
        <f>IF(足元帳!AX56="","",足元帳!AX56)</f>
        <v/>
      </c>
      <c r="X56" s="125">
        <f>足元帳!BJ56</f>
        <v>0</v>
      </c>
      <c r="Y56" s="226"/>
      <c r="Z56" s="640"/>
      <c r="AA56" s="641"/>
      <c r="AB56" s="194"/>
      <c r="AC56" s="195"/>
      <c r="AD56" s="195"/>
      <c r="AE56" s="195"/>
      <c r="AF56" s="195"/>
      <c r="AG56" s="195"/>
      <c r="AH56" s="195"/>
      <c r="AI56" s="195"/>
      <c r="AJ56" s="195"/>
      <c r="AK56" s="195"/>
      <c r="AL56" s="196"/>
      <c r="AM56" s="167"/>
      <c r="AN56" s="167"/>
      <c r="AR56" s="181" t="s">
        <v>225</v>
      </c>
      <c r="AS56" s="167" t="s">
        <v>222</v>
      </c>
      <c r="AT56" s="167">
        <f>AI38</f>
        <v>0</v>
      </c>
      <c r="AU56" s="167" t="s">
        <v>235</v>
      </c>
      <c r="AV56" s="167" t="s">
        <v>230</v>
      </c>
      <c r="AW56" s="167" t="s">
        <v>223</v>
      </c>
      <c r="AX56" s="167">
        <f>AJ38</f>
        <v>0</v>
      </c>
      <c r="AY56" s="167" t="s">
        <v>235</v>
      </c>
      <c r="AZ56" s="167"/>
      <c r="BA56" s="167"/>
      <c r="BB56" s="167"/>
      <c r="BC56" s="167"/>
      <c r="BD56" s="167"/>
      <c r="BE56" s="182"/>
    </row>
    <row r="57" spans="1:57" ht="13.15" customHeight="1">
      <c r="A57" s="126">
        <v>56</v>
      </c>
      <c r="B57" s="127" t="str">
        <f>IF(足元帳!K57="","",精算表!$W$1)</f>
        <v/>
      </c>
      <c r="C57" s="128" t="str">
        <f>IF(足元帳!K57="","",IF(足元帳!AY57=2,"R","N"))</f>
        <v/>
      </c>
      <c r="D57" s="128" t="str">
        <f>IF(足元帳!K57="","",IF(足元帳!AZ57=1,"姫",IF(足元帳!AZ57=2,"本指名",IF(足元帳!AZ57=3,"NET",IF(足元帳!AZ57=4,"写真","")))))</f>
        <v/>
      </c>
      <c r="E57" s="128" t="str">
        <f>IF(足元帳!K57="","",足元帳!K57)</f>
        <v/>
      </c>
      <c r="F57" s="128" t="str">
        <f>IF(足元帳!K57="","",IF(足元帳!BB57=1,45,IF(足元帳!BB57=2,60,IF(足元帳!BB57=3,75,IF(足元帳!BB57=4,90,IF(足元帳!BB57=5,120,IF(足元帳!BB57=6,150,IF(足元帳!BB57=7,180,""))))))))</f>
        <v/>
      </c>
      <c r="G57" s="128" t="str">
        <f>IF(足元帳!K57="","",足元帳!A57)</f>
        <v/>
      </c>
      <c r="H57" s="125" t="str">
        <f>IF(足元帳!AP57="","",$H$1)</f>
        <v/>
      </c>
      <c r="I57" s="125" t="str">
        <f>IF(足元帳!AQ57="","",$I$1)</f>
        <v/>
      </c>
      <c r="J57" s="125" t="str">
        <f>IF(足元帳!AR57="","",$J$1)</f>
        <v/>
      </c>
      <c r="K57" s="125" t="str">
        <f>IF(足元帳!AS57="","",$K$1)</f>
        <v/>
      </c>
      <c r="L57" s="291" t="str">
        <f>IF(COUNTIF(足元帳!AT57,"*複合*"),"複合","")</f>
        <v/>
      </c>
      <c r="M57" s="291" t="str">
        <f>IF(COUNTIF(足元帳!AT57,"*店頭本指名*"),"店頭本指名","")</f>
        <v/>
      </c>
      <c r="N57" s="125" t="str">
        <f>IF(足元帳!U57="","",足元帳!U57)</f>
        <v/>
      </c>
      <c r="O57" s="125" t="str">
        <f>IF(足元帳!V57="","",足元帳!V57)</f>
        <v/>
      </c>
      <c r="P57" s="125" t="str">
        <f>IF(足元帳!W57="","",足元帳!W57)</f>
        <v/>
      </c>
      <c r="Q57" s="125" t="str">
        <f>IF(足元帳!X57="","",足元帳!X57)</f>
        <v/>
      </c>
      <c r="R57" s="125" t="str">
        <f>IF(足元帳!Y57="","",足元帳!Y57)</f>
        <v/>
      </c>
      <c r="S57" s="125" t="str">
        <f>IF(足元帳!Z57="","",足元帳!Z57)</f>
        <v/>
      </c>
      <c r="T57" s="125" t="str">
        <f>IF(足元帳!AT57="","",足元帳!AT57)</f>
        <v/>
      </c>
      <c r="U57" s="125" t="str">
        <f>IF(足元帳!AH57="●",足元帳!$AH$1&amp;足元帳!AW57,"")</f>
        <v/>
      </c>
      <c r="V57" s="125" t="str">
        <f>IF(足元帳!AI57="●",足元帳!$AI$1&amp;足元帳!AW57,"")</f>
        <v/>
      </c>
      <c r="W57" s="125" t="str">
        <f>IF(足元帳!AX57="","",足元帳!AX57)</f>
        <v/>
      </c>
      <c r="X57" s="125">
        <f>足元帳!BJ57</f>
        <v>0</v>
      </c>
      <c r="Y57" s="226"/>
      <c r="Z57" s="640"/>
      <c r="AA57" s="641"/>
      <c r="AB57" s="645" t="s">
        <v>269</v>
      </c>
      <c r="AC57" s="646"/>
      <c r="AD57" s="646"/>
      <c r="AE57" s="646"/>
      <c r="AF57" s="646"/>
      <c r="AG57" s="646"/>
      <c r="AH57" s="197"/>
      <c r="AI57" s="197">
        <f>WEEKDAY(Y54,2)</f>
        <v>6</v>
      </c>
      <c r="AJ57" s="197"/>
      <c r="AK57" s="197"/>
      <c r="AL57" s="198"/>
      <c r="AM57" s="167"/>
      <c r="AN57" s="167"/>
      <c r="AR57" s="183" t="s">
        <v>236</v>
      </c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82"/>
    </row>
    <row r="58" spans="1:57" ht="13.15" customHeight="1" thickBot="1">
      <c r="A58" s="126">
        <v>57</v>
      </c>
      <c r="B58" s="127" t="str">
        <f>IF(足元帳!K58="","",精算表!$W$1)</f>
        <v/>
      </c>
      <c r="C58" s="128" t="str">
        <f>IF(足元帳!K58="","",IF(足元帳!AY58=2,"R","N"))</f>
        <v/>
      </c>
      <c r="D58" s="128" t="str">
        <f>IF(足元帳!K58="","",IF(足元帳!AZ58=1,"姫",IF(足元帳!AZ58=2,"本指名",IF(足元帳!AZ58=3,"NET",IF(足元帳!AZ58=4,"写真","")))))</f>
        <v/>
      </c>
      <c r="E58" s="128" t="str">
        <f>IF(足元帳!K58="","",足元帳!K58)</f>
        <v/>
      </c>
      <c r="F58" s="128" t="str">
        <f>IF(足元帳!K58="","",IF(足元帳!BB58=1,45,IF(足元帳!BB58=2,60,IF(足元帳!BB58=3,75,IF(足元帳!BB58=4,90,IF(足元帳!BB58=5,120,IF(足元帳!BB58=6,150,IF(足元帳!BB58=7,180,""))))))))</f>
        <v/>
      </c>
      <c r="G58" s="128" t="str">
        <f>IF(足元帳!K58="","",足元帳!A58)</f>
        <v/>
      </c>
      <c r="H58" s="125" t="str">
        <f>IF(足元帳!AP58="","",$H$1)</f>
        <v/>
      </c>
      <c r="I58" s="125" t="str">
        <f>IF(足元帳!AQ58="","",$I$1)</f>
        <v/>
      </c>
      <c r="J58" s="125" t="str">
        <f>IF(足元帳!AR58="","",$J$1)</f>
        <v/>
      </c>
      <c r="K58" s="125" t="str">
        <f>IF(足元帳!AS58="","",$K$1)</f>
        <v/>
      </c>
      <c r="L58" s="291" t="str">
        <f>IF(COUNTIF(足元帳!AT58,"*複合*"),"複合","")</f>
        <v/>
      </c>
      <c r="M58" s="291" t="str">
        <f>IF(COUNTIF(足元帳!AT58,"*店頭本指名*"),"店頭本指名","")</f>
        <v/>
      </c>
      <c r="N58" s="125" t="str">
        <f>IF(足元帳!U58="","",足元帳!U58)</f>
        <v/>
      </c>
      <c r="O58" s="125" t="str">
        <f>IF(足元帳!V58="","",足元帳!V58)</f>
        <v/>
      </c>
      <c r="P58" s="125" t="str">
        <f>IF(足元帳!W58="","",足元帳!W58)</f>
        <v/>
      </c>
      <c r="Q58" s="125" t="str">
        <f>IF(足元帳!X58="","",足元帳!X58)</f>
        <v/>
      </c>
      <c r="R58" s="125" t="str">
        <f>IF(足元帳!Y58="","",足元帳!Y58)</f>
        <v/>
      </c>
      <c r="S58" s="125" t="str">
        <f>IF(足元帳!Z58="","",足元帳!Z58)</f>
        <v/>
      </c>
      <c r="T58" s="125" t="str">
        <f>IF(足元帳!AT58="","",足元帳!AT58)</f>
        <v/>
      </c>
      <c r="U58" s="125" t="str">
        <f>IF(足元帳!AH58="●",足元帳!$AH$1&amp;足元帳!AW58,"")</f>
        <v/>
      </c>
      <c r="V58" s="125" t="str">
        <f>IF(足元帳!AI58="●",足元帳!$AI$1&amp;足元帳!AW58,"")</f>
        <v/>
      </c>
      <c r="W58" s="125" t="str">
        <f>IF(足元帳!AX58="","",足元帳!AX58)</f>
        <v/>
      </c>
      <c r="X58" s="125">
        <f>足元帳!BJ58</f>
        <v>0</v>
      </c>
      <c r="Y58" s="226"/>
      <c r="Z58" s="214"/>
      <c r="AA58" s="213"/>
      <c r="AB58" s="647"/>
      <c r="AC58" s="646"/>
      <c r="AD58" s="646"/>
      <c r="AE58" s="646"/>
      <c r="AF58" s="646"/>
      <c r="AG58" s="646"/>
      <c r="AH58" s="197"/>
      <c r="AI58" s="197">
        <f>IF($AI$57=6,1,0)</f>
        <v>1</v>
      </c>
      <c r="AJ58" s="197"/>
      <c r="AK58" s="197"/>
      <c r="AL58" s="198"/>
      <c r="AM58" s="167"/>
      <c r="AN58" s="167"/>
      <c r="AR58" s="184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5"/>
      <c r="BD58" s="185"/>
      <c r="BE58" s="186"/>
    </row>
    <row r="59" spans="1:57" ht="13.15" customHeight="1">
      <c r="A59" s="126">
        <v>58</v>
      </c>
      <c r="B59" s="127" t="str">
        <f>IF(足元帳!K59="","",精算表!$W$1)</f>
        <v/>
      </c>
      <c r="C59" s="128" t="str">
        <f>IF(足元帳!K59="","",IF(足元帳!AY59=2,"R","N"))</f>
        <v/>
      </c>
      <c r="D59" s="128" t="str">
        <f>IF(足元帳!K59="","",IF(足元帳!AZ59=1,"姫",IF(足元帳!AZ59=2,"本指名",IF(足元帳!AZ59=3,"NET",IF(足元帳!AZ59=4,"写真","")))))</f>
        <v/>
      </c>
      <c r="E59" s="128" t="str">
        <f>IF(足元帳!K59="","",足元帳!K59)</f>
        <v/>
      </c>
      <c r="F59" s="128" t="str">
        <f>IF(足元帳!K59="","",IF(足元帳!BB59=1,45,IF(足元帳!BB59=2,60,IF(足元帳!BB59=3,75,IF(足元帳!BB59=4,90,IF(足元帳!BB59=5,120,IF(足元帳!BB59=6,150,IF(足元帳!BB59=7,180,""))))))))</f>
        <v/>
      </c>
      <c r="G59" s="128" t="str">
        <f>IF(足元帳!K59="","",足元帳!A59)</f>
        <v/>
      </c>
      <c r="H59" s="125" t="str">
        <f>IF(足元帳!AP59="","",$H$1)</f>
        <v/>
      </c>
      <c r="I59" s="125" t="str">
        <f>IF(足元帳!AQ59="","",$I$1)</f>
        <v/>
      </c>
      <c r="J59" s="125" t="str">
        <f>IF(足元帳!AR59="","",$J$1)</f>
        <v/>
      </c>
      <c r="K59" s="125" t="str">
        <f>IF(足元帳!AS59="","",$K$1)</f>
        <v/>
      </c>
      <c r="L59" s="291" t="str">
        <f>IF(COUNTIF(足元帳!AT59,"*複合*"),"複合","")</f>
        <v/>
      </c>
      <c r="M59" s="291" t="str">
        <f>IF(COUNTIF(足元帳!AT59,"*店頭本指名*"),"店頭本指名","")</f>
        <v/>
      </c>
      <c r="N59" s="125" t="str">
        <f>IF(足元帳!U59="","",足元帳!U59)</f>
        <v/>
      </c>
      <c r="O59" s="125" t="str">
        <f>IF(足元帳!V59="","",足元帳!V59)</f>
        <v/>
      </c>
      <c r="P59" s="125" t="str">
        <f>IF(足元帳!W59="","",足元帳!W59)</f>
        <v/>
      </c>
      <c r="Q59" s="125" t="str">
        <f>IF(足元帳!X59="","",足元帳!X59)</f>
        <v/>
      </c>
      <c r="R59" s="125" t="str">
        <f>IF(足元帳!Y59="","",足元帳!Y59)</f>
        <v/>
      </c>
      <c r="S59" s="125" t="str">
        <f>IF(足元帳!Z59="","",足元帳!Z59)</f>
        <v/>
      </c>
      <c r="T59" s="125" t="str">
        <f>IF(足元帳!AT59="","",足元帳!AT59)</f>
        <v/>
      </c>
      <c r="U59" s="125" t="str">
        <f>IF(足元帳!AH59="●",足元帳!$AH$1&amp;足元帳!AW59,"")</f>
        <v/>
      </c>
      <c r="V59" s="125" t="str">
        <f>IF(足元帳!AI59="●",足元帳!$AI$1&amp;足元帳!AW59,"")</f>
        <v/>
      </c>
      <c r="W59" s="125" t="str">
        <f>IF(足元帳!AX59="","",足元帳!AX59)</f>
        <v/>
      </c>
      <c r="X59" s="125">
        <f>足元帳!BJ59</f>
        <v>0</v>
      </c>
      <c r="Y59" s="228"/>
      <c r="Z59" s="227"/>
      <c r="AA59" s="229"/>
      <c r="AB59" s="647"/>
      <c r="AC59" s="646"/>
      <c r="AD59" s="646"/>
      <c r="AE59" s="646"/>
      <c r="AF59" s="646"/>
      <c r="AG59" s="646"/>
      <c r="AH59" s="197"/>
      <c r="AI59" s="197">
        <f>IF($AI$57=7,1,0)</f>
        <v>0</v>
      </c>
      <c r="AJ59" s="197"/>
      <c r="AK59" s="197"/>
      <c r="AL59" s="198"/>
      <c r="AM59" s="167"/>
      <c r="AN59" s="167"/>
    </row>
    <row r="60" spans="1:57" ht="13.15" customHeight="1">
      <c r="A60" s="126">
        <v>59</v>
      </c>
      <c r="B60" s="127" t="str">
        <f>IF(足元帳!K60="","",精算表!$W$1)</f>
        <v/>
      </c>
      <c r="C60" s="128" t="str">
        <f>IF(足元帳!K60="","",IF(足元帳!AY60=2,"R","N"))</f>
        <v/>
      </c>
      <c r="D60" s="128" t="str">
        <f>IF(足元帳!K60="","",IF(足元帳!AZ60=1,"姫",IF(足元帳!AZ60=2,"本指名",IF(足元帳!AZ60=3,"NET",IF(足元帳!AZ60=4,"写真","")))))</f>
        <v/>
      </c>
      <c r="E60" s="128" t="str">
        <f>IF(足元帳!K60="","",足元帳!K60)</f>
        <v/>
      </c>
      <c r="F60" s="128" t="str">
        <f>IF(足元帳!K60="","",IF(足元帳!BB60=1,45,IF(足元帳!BB60=2,60,IF(足元帳!BB60=3,75,IF(足元帳!BB60=4,90,IF(足元帳!BB60=5,120,IF(足元帳!BB60=6,150,IF(足元帳!BB60=7,180,""))))))))</f>
        <v/>
      </c>
      <c r="G60" s="128" t="str">
        <f>IF(足元帳!K60="","",足元帳!A60)</f>
        <v/>
      </c>
      <c r="H60" s="125" t="str">
        <f>IF(足元帳!AP60="","",$H$1)</f>
        <v/>
      </c>
      <c r="I60" s="125" t="str">
        <f>IF(足元帳!AQ60="","",$I$1)</f>
        <v/>
      </c>
      <c r="J60" s="125" t="str">
        <f>IF(足元帳!AR60="","",$J$1)</f>
        <v/>
      </c>
      <c r="K60" s="125" t="str">
        <f>IF(足元帳!AS60="","",$K$1)</f>
        <v/>
      </c>
      <c r="L60" s="291" t="str">
        <f>IF(COUNTIF(足元帳!AT60,"*複合*"),"複合","")</f>
        <v/>
      </c>
      <c r="M60" s="291" t="str">
        <f>IF(COUNTIF(足元帳!AT60,"*店頭本指名*"),"店頭本指名","")</f>
        <v/>
      </c>
      <c r="N60" s="125" t="str">
        <f>IF(足元帳!U60="","",足元帳!U60)</f>
        <v/>
      </c>
      <c r="O60" s="125" t="str">
        <f>IF(足元帳!V60="","",足元帳!V60)</f>
        <v/>
      </c>
      <c r="P60" s="125" t="str">
        <f>IF(足元帳!W60="","",足元帳!W60)</f>
        <v/>
      </c>
      <c r="Q60" s="125" t="str">
        <f>IF(足元帳!X60="","",足元帳!X60)</f>
        <v/>
      </c>
      <c r="R60" s="125" t="str">
        <f>IF(足元帳!Y60="","",足元帳!Y60)</f>
        <v/>
      </c>
      <c r="S60" s="125" t="str">
        <f>IF(足元帳!Z60="","",足元帳!Z60)</f>
        <v/>
      </c>
      <c r="T60" s="125" t="str">
        <f>IF(足元帳!AT60="","",足元帳!AT60)</f>
        <v/>
      </c>
      <c r="U60" s="125" t="str">
        <f>IF(足元帳!AH60="●",足元帳!$AH$1&amp;足元帳!AW60,"")</f>
        <v/>
      </c>
      <c r="V60" s="125" t="str">
        <f>IF(足元帳!AI60="●",足元帳!$AI$1&amp;足元帳!AW60,"")</f>
        <v/>
      </c>
      <c r="W60" s="125" t="str">
        <f>IF(足元帳!AX60="","",足元帳!AX60)</f>
        <v/>
      </c>
      <c r="X60" s="125">
        <f>足元帳!BJ60</f>
        <v>0</v>
      </c>
      <c r="Y60" s="226"/>
      <c r="Z60" s="212"/>
      <c r="AA60" s="213"/>
      <c r="AB60" s="647"/>
      <c r="AC60" s="646"/>
      <c r="AD60" s="646"/>
      <c r="AE60" s="646"/>
      <c r="AF60" s="646"/>
      <c r="AG60" s="646"/>
      <c r="AH60" s="197"/>
      <c r="AI60" s="207">
        <f>AI58+AI59</f>
        <v>1</v>
      </c>
      <c r="AJ60" s="197"/>
      <c r="AK60" s="197"/>
      <c r="AL60" s="198"/>
      <c r="AM60" s="167"/>
      <c r="AN60" s="167"/>
    </row>
    <row r="61" spans="1:57" ht="13.15" customHeight="1">
      <c r="A61" s="126">
        <v>60</v>
      </c>
      <c r="B61" s="127" t="str">
        <f>IF(足元帳!K61="","",精算表!$W$1)</f>
        <v/>
      </c>
      <c r="C61" s="128" t="str">
        <f>IF(足元帳!K61="","",IF(足元帳!AY61=2,"R","N"))</f>
        <v/>
      </c>
      <c r="D61" s="128" t="str">
        <f>IF(足元帳!K61="","",IF(足元帳!AZ61=1,"姫",IF(足元帳!AZ61=2,"本指名",IF(足元帳!AZ61=3,"NET",IF(足元帳!AZ61=4,"写真","")))))</f>
        <v/>
      </c>
      <c r="E61" s="128" t="str">
        <f>IF(足元帳!K61="","",足元帳!K61)</f>
        <v/>
      </c>
      <c r="F61" s="128" t="str">
        <f>IF(足元帳!K61="","",IF(足元帳!BB61=1,45,IF(足元帳!BB61=2,60,IF(足元帳!BB61=3,75,IF(足元帳!BB61=4,90,IF(足元帳!BB61=5,120,IF(足元帳!BB61=6,150,IF(足元帳!BB61=7,180,""))))))))</f>
        <v/>
      </c>
      <c r="G61" s="128" t="str">
        <f>IF(足元帳!K61="","",足元帳!A61)</f>
        <v/>
      </c>
      <c r="H61" s="125" t="str">
        <f>IF(足元帳!AP61="","",$H$1)</f>
        <v/>
      </c>
      <c r="I61" s="125" t="str">
        <f>IF(足元帳!AQ61="","",$I$1)</f>
        <v/>
      </c>
      <c r="J61" s="125" t="str">
        <f>IF(足元帳!AR61="","",$J$1)</f>
        <v/>
      </c>
      <c r="K61" s="125" t="str">
        <f>IF(足元帳!AS61="","",$K$1)</f>
        <v/>
      </c>
      <c r="L61" s="291" t="str">
        <f>IF(COUNTIF(足元帳!AT61,"*複合*"),"複合","")</f>
        <v/>
      </c>
      <c r="M61" s="291" t="str">
        <f>IF(COUNTIF(足元帳!AT61,"*店頭本指名*"),"店頭本指名","")</f>
        <v/>
      </c>
      <c r="N61" s="125" t="str">
        <f>IF(足元帳!U61="","",足元帳!U61)</f>
        <v/>
      </c>
      <c r="O61" s="125" t="str">
        <f>IF(足元帳!V61="","",足元帳!V61)</f>
        <v/>
      </c>
      <c r="P61" s="125" t="str">
        <f>IF(足元帳!W61="","",足元帳!W61)</f>
        <v/>
      </c>
      <c r="Q61" s="125" t="str">
        <f>IF(足元帳!X61="","",足元帳!X61)</f>
        <v/>
      </c>
      <c r="R61" s="125" t="str">
        <f>IF(足元帳!Y61="","",足元帳!Y61)</f>
        <v/>
      </c>
      <c r="S61" s="125" t="str">
        <f>IF(足元帳!Z61="","",足元帳!Z61)</f>
        <v/>
      </c>
      <c r="T61" s="125" t="str">
        <f>IF(足元帳!AT61="","",足元帳!AT61)</f>
        <v/>
      </c>
      <c r="U61" s="125" t="str">
        <f>IF(足元帳!AH61="●",足元帳!$AH$1&amp;足元帳!AW61,"")</f>
        <v/>
      </c>
      <c r="V61" s="125" t="str">
        <f>IF(足元帳!AI61="●",足元帳!$AI$1&amp;足元帳!AW61,"")</f>
        <v/>
      </c>
      <c r="W61" s="125" t="str">
        <f>IF(足元帳!AX61="","",足元帳!AX61)</f>
        <v/>
      </c>
      <c r="X61" s="125">
        <f>足元帳!BJ61</f>
        <v>0</v>
      </c>
      <c r="Y61" s="138"/>
      <c r="Z61" s="212"/>
      <c r="AA61" s="213"/>
      <c r="AB61" s="199"/>
      <c r="AC61" s="197"/>
      <c r="AD61" s="197"/>
      <c r="AE61" s="197"/>
      <c r="AF61" s="197"/>
      <c r="AG61" s="197"/>
      <c r="AH61" s="197"/>
      <c r="AI61" s="197">
        <f>IF(精算表!BE23="",0,精算表!BE23)</f>
        <v>0</v>
      </c>
      <c r="AJ61" s="197">
        <f>IF(精算表!BF23="",0,精算表!BF23)</f>
        <v>0</v>
      </c>
      <c r="AK61" s="197">
        <f>IF(精算表!BG23="",0,精算表!BG23)</f>
        <v>0</v>
      </c>
      <c r="AL61" s="198">
        <f>IF(精算表!BH23="",0,精算表!BH23)</f>
        <v>0</v>
      </c>
      <c r="AM61" s="167"/>
      <c r="AN61" s="167"/>
    </row>
    <row r="62" spans="1:57" ht="13.15" customHeight="1">
      <c r="A62" s="126">
        <v>61</v>
      </c>
      <c r="B62" s="127" t="str">
        <f>IF(足元帳!K62="","",精算表!$W$1)</f>
        <v/>
      </c>
      <c r="C62" s="128" t="str">
        <f>IF(足元帳!K62="","",IF(足元帳!AY62=2,"R","N"))</f>
        <v/>
      </c>
      <c r="D62" s="128" t="str">
        <f>IF(足元帳!K62="","",IF(足元帳!AZ62=1,"姫",IF(足元帳!AZ62=2,"本指名",IF(足元帳!AZ62=3,"NET",IF(足元帳!AZ62=4,"写真","")))))</f>
        <v/>
      </c>
      <c r="E62" s="128" t="str">
        <f>IF(足元帳!K62="","",足元帳!K62)</f>
        <v/>
      </c>
      <c r="F62" s="128" t="str">
        <f>IF(足元帳!K62="","",IF(足元帳!BB62=1,45,IF(足元帳!BB62=2,60,IF(足元帳!BB62=3,75,IF(足元帳!BB62=4,90,IF(足元帳!BB62=5,120,IF(足元帳!BB62=6,150,IF(足元帳!BB62=7,180,""))))))))</f>
        <v/>
      </c>
      <c r="G62" s="128" t="str">
        <f>IF(足元帳!K62="","",足元帳!A62)</f>
        <v/>
      </c>
      <c r="H62" s="125" t="str">
        <f>IF(足元帳!AP62="","",$H$1)</f>
        <v/>
      </c>
      <c r="I62" s="125" t="str">
        <f>IF(足元帳!AQ62="","",$I$1)</f>
        <v/>
      </c>
      <c r="J62" s="125" t="str">
        <f>IF(足元帳!AR62="","",$J$1)</f>
        <v/>
      </c>
      <c r="K62" s="125" t="str">
        <f>IF(足元帳!AS62="","",$K$1)</f>
        <v/>
      </c>
      <c r="L62" s="291" t="str">
        <f>IF(COUNTIF(足元帳!AT62,"*複合*"),"複合","")</f>
        <v/>
      </c>
      <c r="M62" s="291" t="str">
        <f>IF(COUNTIF(足元帳!AT62,"*店頭本指名*"),"店頭本指名","")</f>
        <v/>
      </c>
      <c r="N62" s="125" t="str">
        <f>IF(足元帳!U62="","",足元帳!U62)</f>
        <v/>
      </c>
      <c r="O62" s="125" t="str">
        <f>IF(足元帳!V62="","",足元帳!V62)</f>
        <v/>
      </c>
      <c r="P62" s="125" t="str">
        <f>IF(足元帳!W62="","",足元帳!W62)</f>
        <v/>
      </c>
      <c r="Q62" s="125" t="str">
        <f>IF(足元帳!X62="","",足元帳!X62)</f>
        <v/>
      </c>
      <c r="R62" s="125" t="str">
        <f>IF(足元帳!Y62="","",足元帳!Y62)</f>
        <v/>
      </c>
      <c r="S62" s="125" t="str">
        <f>IF(足元帳!Z62="","",足元帳!Z62)</f>
        <v/>
      </c>
      <c r="T62" s="125" t="str">
        <f>IF(足元帳!AT62="","",足元帳!AT62)</f>
        <v/>
      </c>
      <c r="U62" s="125" t="str">
        <f>IF(足元帳!AH62="●",足元帳!$AH$1&amp;足元帳!AW62,"")</f>
        <v/>
      </c>
      <c r="V62" s="125" t="str">
        <f>IF(足元帳!AI62="●",足元帳!$AI$1&amp;足元帳!AW62,"")</f>
        <v/>
      </c>
      <c r="W62" s="125" t="str">
        <f>IF(足元帳!AX62="","",足元帳!AX62)</f>
        <v/>
      </c>
      <c r="X62" s="125">
        <f>足元帳!BJ62</f>
        <v>0</v>
      </c>
      <c r="Y62" s="226"/>
      <c r="Z62" s="212"/>
      <c r="AA62" s="213"/>
      <c r="AB62" s="643" t="s">
        <v>265</v>
      </c>
      <c r="AC62" s="644"/>
      <c r="AD62" s="197" t="s">
        <v>266</v>
      </c>
      <c r="AE62" s="197" t="s">
        <v>266</v>
      </c>
      <c r="AF62" s="197" t="s">
        <v>266</v>
      </c>
      <c r="AG62" s="197" t="s">
        <v>266</v>
      </c>
      <c r="AH62" s="197">
        <v>45</v>
      </c>
      <c r="AI62" s="197">
        <v>60</v>
      </c>
      <c r="AJ62" s="197">
        <v>75</v>
      </c>
      <c r="AK62" s="197">
        <v>90</v>
      </c>
      <c r="AL62" s="198">
        <v>120</v>
      </c>
      <c r="AM62" s="167"/>
      <c r="AN62" s="167"/>
    </row>
    <row r="63" spans="1:57" ht="13.15" customHeight="1">
      <c r="A63" s="126">
        <v>62</v>
      </c>
      <c r="B63" s="127" t="str">
        <f>IF(足元帳!K63="","",精算表!$W$1)</f>
        <v/>
      </c>
      <c r="C63" s="128" t="str">
        <f>IF(足元帳!K63="","",IF(足元帳!AY63=2,"R","N"))</f>
        <v/>
      </c>
      <c r="D63" s="128" t="str">
        <f>IF(足元帳!K63="","",IF(足元帳!AZ63=1,"姫",IF(足元帳!AZ63=2,"本指名",IF(足元帳!AZ63=3,"NET",IF(足元帳!AZ63=4,"写真","")))))</f>
        <v/>
      </c>
      <c r="E63" s="128" t="str">
        <f>IF(足元帳!K63="","",足元帳!K63)</f>
        <v/>
      </c>
      <c r="F63" s="128" t="str">
        <f>IF(足元帳!K63="","",IF(足元帳!BB63=1,45,IF(足元帳!BB63=2,60,IF(足元帳!BB63=3,75,IF(足元帳!BB63=4,90,IF(足元帳!BB63=5,120,IF(足元帳!BB63=6,150,IF(足元帳!BB63=7,180,""))))))))</f>
        <v/>
      </c>
      <c r="G63" s="128" t="str">
        <f>IF(足元帳!K63="","",足元帳!A63)</f>
        <v/>
      </c>
      <c r="H63" s="125" t="str">
        <f>IF(足元帳!AP63="","",$H$1)</f>
        <v/>
      </c>
      <c r="I63" s="125" t="str">
        <f>IF(足元帳!AQ63="","",$I$1)</f>
        <v/>
      </c>
      <c r="J63" s="125" t="str">
        <f>IF(足元帳!AR63="","",$J$1)</f>
        <v/>
      </c>
      <c r="K63" s="125" t="str">
        <f>IF(足元帳!AS63="","",$K$1)</f>
        <v/>
      </c>
      <c r="L63" s="291" t="str">
        <f>IF(COUNTIF(足元帳!AT63,"*複合*"),"複合","")</f>
        <v/>
      </c>
      <c r="M63" s="291" t="str">
        <f>IF(COUNTIF(足元帳!AT63,"*店頭本指名*"),"店頭本指名","")</f>
        <v/>
      </c>
      <c r="N63" s="125" t="str">
        <f>IF(足元帳!U63="","",足元帳!U63)</f>
        <v/>
      </c>
      <c r="O63" s="125" t="str">
        <f>IF(足元帳!V63="","",足元帳!V63)</f>
        <v/>
      </c>
      <c r="P63" s="125" t="str">
        <f>IF(足元帳!W63="","",足元帳!W63)</f>
        <v/>
      </c>
      <c r="Q63" s="125" t="str">
        <f>IF(足元帳!X63="","",足元帳!X63)</f>
        <v/>
      </c>
      <c r="R63" s="125" t="str">
        <f>IF(足元帳!Y63="","",足元帳!Y63)</f>
        <v/>
      </c>
      <c r="S63" s="125" t="str">
        <f>IF(足元帳!Z63="","",足元帳!Z63)</f>
        <v/>
      </c>
      <c r="T63" s="125" t="str">
        <f>IF(足元帳!AT63="","",足元帳!AT63)</f>
        <v/>
      </c>
      <c r="U63" s="125" t="str">
        <f>IF(足元帳!AH63="●",足元帳!$AH$1&amp;足元帳!AW63,"")</f>
        <v/>
      </c>
      <c r="V63" s="125" t="str">
        <f>IF(足元帳!AI63="●",足元帳!$AI$1&amp;足元帳!AW63,"")</f>
        <v/>
      </c>
      <c r="W63" s="125" t="str">
        <f>IF(足元帳!AX63="","",足元帳!AX63)</f>
        <v/>
      </c>
      <c r="X63" s="125">
        <f>足元帳!BJ63</f>
        <v>0</v>
      </c>
      <c r="Y63" s="226"/>
      <c r="Z63" s="212"/>
      <c r="AA63" s="213"/>
      <c r="AB63" s="643" t="s">
        <v>267</v>
      </c>
      <c r="AC63" s="644"/>
      <c r="AD63" s="197"/>
      <c r="AE63" s="197"/>
      <c r="AF63" s="197"/>
      <c r="AG63" s="197"/>
      <c r="AH63" s="197"/>
      <c r="AI63" s="197"/>
      <c r="AJ63" s="197"/>
      <c r="AK63" s="197"/>
      <c r="AL63" s="198"/>
      <c r="AM63" s="167"/>
      <c r="AN63" s="167"/>
    </row>
    <row r="64" spans="1:57" ht="13.15" customHeight="1">
      <c r="A64" s="126">
        <v>63</v>
      </c>
      <c r="B64" s="127" t="str">
        <f>IF(足元帳!K64="","",精算表!$W$1)</f>
        <v/>
      </c>
      <c r="C64" s="128" t="str">
        <f>IF(足元帳!K64="","",IF(足元帳!AY64=2,"R","N"))</f>
        <v/>
      </c>
      <c r="D64" s="128" t="str">
        <f>IF(足元帳!K64="","",IF(足元帳!AZ64=1,"姫",IF(足元帳!AZ64=2,"本指名",IF(足元帳!AZ64=3,"NET",IF(足元帳!AZ64=4,"写真","")))))</f>
        <v/>
      </c>
      <c r="E64" s="128" t="str">
        <f>IF(足元帳!K64="","",足元帳!K64)</f>
        <v/>
      </c>
      <c r="F64" s="128" t="str">
        <f>IF(足元帳!K64="","",IF(足元帳!BB64=1,45,IF(足元帳!BB64=2,60,IF(足元帳!BB64=3,75,IF(足元帳!BB64=4,90,IF(足元帳!BB64=5,120,IF(足元帳!BB64=6,150,IF(足元帳!BB64=7,180,""))))))))</f>
        <v/>
      </c>
      <c r="G64" s="128" t="str">
        <f>IF(足元帳!K64="","",足元帳!A64)</f>
        <v/>
      </c>
      <c r="H64" s="125" t="str">
        <f>IF(足元帳!AP64="","",$H$1)</f>
        <v/>
      </c>
      <c r="I64" s="125" t="str">
        <f>IF(足元帳!AQ64="","",$I$1)</f>
        <v/>
      </c>
      <c r="J64" s="125" t="str">
        <f>IF(足元帳!AR64="","",$J$1)</f>
        <v/>
      </c>
      <c r="K64" s="125" t="str">
        <f>IF(足元帳!AS64="","",$K$1)</f>
        <v/>
      </c>
      <c r="L64" s="291" t="str">
        <f>IF(COUNTIF(足元帳!AT64,"*複合*"),"複合","")</f>
        <v/>
      </c>
      <c r="M64" s="291" t="str">
        <f>IF(COUNTIF(足元帳!AT64,"*店頭本指名*"),"店頭本指名","")</f>
        <v/>
      </c>
      <c r="N64" s="125" t="str">
        <f>IF(足元帳!U64="","",足元帳!U64)</f>
        <v/>
      </c>
      <c r="O64" s="125" t="str">
        <f>IF(足元帳!V64="","",足元帳!V64)</f>
        <v/>
      </c>
      <c r="P64" s="125" t="str">
        <f>IF(足元帳!W64="","",足元帳!W64)</f>
        <v/>
      </c>
      <c r="Q64" s="125" t="str">
        <f>IF(足元帳!X64="","",足元帳!X64)</f>
        <v/>
      </c>
      <c r="R64" s="125" t="str">
        <f>IF(足元帳!Y64="","",足元帳!Y64)</f>
        <v/>
      </c>
      <c r="S64" s="125" t="str">
        <f>IF(足元帳!Z64="","",足元帳!Z64)</f>
        <v/>
      </c>
      <c r="T64" s="125" t="str">
        <f>IF(足元帳!AT64="","",足元帳!AT64)</f>
        <v/>
      </c>
      <c r="U64" s="125" t="str">
        <f>IF(足元帳!AH64="●",足元帳!$AH$1&amp;足元帳!AW64,"")</f>
        <v/>
      </c>
      <c r="V64" s="125" t="str">
        <f>IF(足元帳!AI64="●",足元帳!$AI$1&amp;足元帳!AW64,"")</f>
        <v/>
      </c>
      <c r="W64" s="125" t="str">
        <f>IF(足元帳!AX64="","",足元帳!AX64)</f>
        <v/>
      </c>
      <c r="X64" s="125">
        <f>足元帳!BJ64</f>
        <v>0</v>
      </c>
      <c r="Y64" s="226"/>
      <c r="Z64" s="212"/>
      <c r="AA64" s="213"/>
      <c r="AB64" s="200" t="s">
        <v>262</v>
      </c>
      <c r="AC64" s="201" t="s">
        <v>268</v>
      </c>
      <c r="AD64" s="197"/>
      <c r="AE64" s="197"/>
      <c r="AF64" s="197"/>
      <c r="AG64" s="197"/>
      <c r="AH64" s="197"/>
      <c r="AI64" s="197"/>
      <c r="AJ64" s="197"/>
      <c r="AK64" s="197"/>
      <c r="AL64" s="198"/>
      <c r="AM64" s="167" t="s">
        <v>270</v>
      </c>
      <c r="AN64" s="167" t="s">
        <v>271</v>
      </c>
      <c r="AO64" s="125" t="s">
        <v>272</v>
      </c>
      <c r="AP64" s="125" t="s">
        <v>273</v>
      </c>
    </row>
    <row r="65" spans="1:42" ht="13.15" customHeight="1">
      <c r="A65" s="126">
        <v>64</v>
      </c>
      <c r="B65" s="127" t="str">
        <f>IF(足元帳!K65="","",精算表!$W$1)</f>
        <v/>
      </c>
      <c r="C65" s="128" t="str">
        <f>IF(足元帳!K65="","",IF(足元帳!AY65=2,"R","N"))</f>
        <v/>
      </c>
      <c r="D65" s="128" t="str">
        <f>IF(足元帳!K65="","",IF(足元帳!AZ65=1,"姫",IF(足元帳!AZ65=2,"本指名",IF(足元帳!AZ65=3,"NET",IF(足元帳!AZ65=4,"写真","")))))</f>
        <v/>
      </c>
      <c r="E65" s="128" t="str">
        <f>IF(足元帳!K65="","",足元帳!K65)</f>
        <v/>
      </c>
      <c r="F65" s="128" t="str">
        <f>IF(足元帳!K65="","",IF(足元帳!BB65=1,45,IF(足元帳!BB65=2,60,IF(足元帳!BB65=3,75,IF(足元帳!BB65=4,90,IF(足元帳!BB65=5,120,IF(足元帳!BB65=6,150,IF(足元帳!BB65=7,180,""))))))))</f>
        <v/>
      </c>
      <c r="G65" s="128" t="str">
        <f>IF(足元帳!K65="","",足元帳!A65)</f>
        <v/>
      </c>
      <c r="H65" s="125" t="str">
        <f>IF(足元帳!AP65="","",$H$1)</f>
        <v/>
      </c>
      <c r="I65" s="125" t="str">
        <f>IF(足元帳!AQ65="","",$I$1)</f>
        <v/>
      </c>
      <c r="J65" s="125" t="str">
        <f>IF(足元帳!AR65="","",$J$1)</f>
        <v/>
      </c>
      <c r="K65" s="125" t="str">
        <f>IF(足元帳!AS65="","",$K$1)</f>
        <v/>
      </c>
      <c r="L65" s="291" t="str">
        <f>IF(COUNTIF(足元帳!AT65,"*複合*"),"複合","")</f>
        <v/>
      </c>
      <c r="M65" s="291" t="str">
        <f>IF(COUNTIF(足元帳!AT65,"*店頭本指名*"),"店頭本指名","")</f>
        <v/>
      </c>
      <c r="N65" s="125" t="str">
        <f>IF(足元帳!U65="","",足元帳!U65)</f>
        <v/>
      </c>
      <c r="O65" s="125" t="str">
        <f>IF(足元帳!V65="","",足元帳!V65)</f>
        <v/>
      </c>
      <c r="P65" s="125" t="str">
        <f>IF(足元帳!W65="","",足元帳!W65)</f>
        <v/>
      </c>
      <c r="Q65" s="125" t="str">
        <f>IF(足元帳!X65="","",足元帳!X65)</f>
        <v/>
      </c>
      <c r="R65" s="125" t="str">
        <f>IF(足元帳!Y65="","",足元帳!Y65)</f>
        <v/>
      </c>
      <c r="S65" s="125" t="str">
        <f>IF(足元帳!Z65="","",足元帳!Z65)</f>
        <v/>
      </c>
      <c r="T65" s="125" t="str">
        <f>IF(足元帳!AT65="","",足元帳!AT65)</f>
        <v/>
      </c>
      <c r="U65" s="125" t="str">
        <f>IF(足元帳!AH65="●",足元帳!$AH$1&amp;足元帳!AW65,"")</f>
        <v/>
      </c>
      <c r="V65" s="125" t="str">
        <f>IF(足元帳!AI65="●",足元帳!$AI$1&amp;足元帳!AW65,"")</f>
        <v/>
      </c>
      <c r="W65" s="125" t="str">
        <f>IF(足元帳!AX65="","",足元帳!AX65)</f>
        <v/>
      </c>
      <c r="X65" s="125">
        <f>足元帳!BJ65</f>
        <v>0</v>
      </c>
      <c r="Y65" s="226"/>
      <c r="Z65" s="212"/>
      <c r="AA65" s="213"/>
      <c r="AB65" s="200">
        <f>SUMPRODUCT(($D$2:$D$258=AB64)*($T$2:$T$258=$AB$66))</f>
        <v>0</v>
      </c>
      <c r="AC65" s="201">
        <f>SUMPRODUCT(($D$2:$D$258=AC64)*($T$2:$T$258=$AB$66))</f>
        <v>0</v>
      </c>
      <c r="AD65" s="197"/>
      <c r="AE65" s="197">
        <v>9</v>
      </c>
      <c r="AF65" s="197">
        <f>SUM(AH65:AL65)</f>
        <v>0</v>
      </c>
      <c r="AG65" s="197">
        <f>AH65*0.75+AI65+AJ65*1.25+AK65*1.5+AL65*2</f>
        <v>0</v>
      </c>
      <c r="AH65" s="197">
        <f>SUMPRODUCT(($G$2:$G$258=9)*($F$2:$F$258=AH62))</f>
        <v>0</v>
      </c>
      <c r="AI65" s="197">
        <f>SUMPRODUCT(($G$2:$G$258=9)*($F$2:$F$258=AI62))</f>
        <v>0</v>
      </c>
      <c r="AJ65" s="197">
        <f t="shared" ref="AJ65:AL65" si="11">SUMPRODUCT(($G$2:$G$258=9)*($F$2:$F$258=AJ62))</f>
        <v>0</v>
      </c>
      <c r="AK65" s="197">
        <f t="shared" si="11"/>
        <v>0</v>
      </c>
      <c r="AL65" s="197">
        <f t="shared" si="11"/>
        <v>0</v>
      </c>
      <c r="AM65" s="167">
        <f>SUMPRODUCT(($D$2:$D$258=$AB$64)*($T$2:$T$258=AE65))</f>
        <v>0</v>
      </c>
      <c r="AN65" s="167">
        <f>SUMPRODUCT(($D$2:$D$258=$AC$64)*($T$2:$T$258=AE65))</f>
        <v>0</v>
      </c>
      <c r="AO65" s="125">
        <f>SUMPRODUCT(($D$2:$D$258=$AO$64)*($T$2:$T$258=AE65))</f>
        <v>0</v>
      </c>
      <c r="AP65" s="125">
        <f>SUMPRODUCT(($D$2:$D$258=$AP$64)*($T$2:$T$258=AF65))</f>
        <v>0</v>
      </c>
    </row>
    <row r="66" spans="1:42" ht="13.15" customHeight="1">
      <c r="A66" s="126">
        <v>65</v>
      </c>
      <c r="B66" s="127" t="str">
        <f>IF(足元帳!K66="","",精算表!$W$1)</f>
        <v/>
      </c>
      <c r="C66" s="128" t="str">
        <f>IF(足元帳!K66="","",IF(足元帳!AY66=2,"R","N"))</f>
        <v/>
      </c>
      <c r="D66" s="128" t="str">
        <f>IF(足元帳!K66="","",IF(足元帳!AZ66=1,"姫",IF(足元帳!AZ66=2,"本指名",IF(足元帳!AZ66=3,"NET",IF(足元帳!AZ66=4,"写真","")))))</f>
        <v/>
      </c>
      <c r="E66" s="128" t="str">
        <f>IF(足元帳!K66="","",足元帳!K66)</f>
        <v/>
      </c>
      <c r="F66" s="128" t="str">
        <f>IF(足元帳!K66="","",IF(足元帳!BB66=1,45,IF(足元帳!BB66=2,60,IF(足元帳!BB66=3,75,IF(足元帳!BB66=4,90,IF(足元帳!BB66=5,120,IF(足元帳!BB66=6,150,IF(足元帳!BB66=7,180,""))))))))</f>
        <v/>
      </c>
      <c r="G66" s="128" t="str">
        <f>IF(足元帳!K66="","",足元帳!A66)</f>
        <v/>
      </c>
      <c r="H66" s="125" t="str">
        <f>IF(足元帳!AP66="","",$H$1)</f>
        <v/>
      </c>
      <c r="I66" s="125" t="str">
        <f>IF(足元帳!AQ66="","",$I$1)</f>
        <v/>
      </c>
      <c r="J66" s="125" t="str">
        <f>IF(足元帳!AR66="","",$J$1)</f>
        <v/>
      </c>
      <c r="K66" s="125" t="str">
        <f>IF(足元帳!AS66="","",$K$1)</f>
        <v/>
      </c>
      <c r="L66" s="291" t="str">
        <f>IF(COUNTIF(足元帳!AT66,"*複合*"),"複合","")</f>
        <v/>
      </c>
      <c r="M66" s="291" t="str">
        <f>IF(COUNTIF(足元帳!AT66,"*店頭本指名*"),"店頭本指名","")</f>
        <v/>
      </c>
      <c r="N66" s="125" t="str">
        <f>IF(足元帳!U66="","",足元帳!U66)</f>
        <v/>
      </c>
      <c r="O66" s="125" t="str">
        <f>IF(足元帳!V66="","",足元帳!V66)</f>
        <v/>
      </c>
      <c r="P66" s="125" t="str">
        <f>IF(足元帳!W66="","",足元帳!W66)</f>
        <v/>
      </c>
      <c r="Q66" s="125" t="str">
        <f>IF(足元帳!X66="","",足元帳!X66)</f>
        <v/>
      </c>
      <c r="R66" s="125" t="str">
        <f>IF(足元帳!Y66="","",足元帳!Y66)</f>
        <v/>
      </c>
      <c r="S66" s="125" t="str">
        <f>IF(足元帳!Z66="","",足元帳!Z66)</f>
        <v/>
      </c>
      <c r="T66" s="125" t="str">
        <f>IF(足元帳!AT66="","",足元帳!AT66)</f>
        <v/>
      </c>
      <c r="U66" s="125" t="str">
        <f>IF(足元帳!AH66="●",足元帳!$AH$1&amp;足元帳!AW66,"")</f>
        <v/>
      </c>
      <c r="V66" s="125" t="str">
        <f>IF(足元帳!AI66="●",足元帳!$AI$1&amp;足元帳!AW66,"")</f>
        <v/>
      </c>
      <c r="W66" s="125" t="str">
        <f>IF(足元帳!AX66="","",足元帳!AX66)</f>
        <v/>
      </c>
      <c r="X66" s="125">
        <f>足元帳!BJ66</f>
        <v>0</v>
      </c>
      <c r="Y66" s="226"/>
      <c r="Z66" s="212"/>
      <c r="AA66" s="213"/>
      <c r="AB66" s="200" t="s">
        <v>263</v>
      </c>
      <c r="AC66" s="201" t="s">
        <v>264</v>
      </c>
      <c r="AD66" s="197"/>
      <c r="AE66" s="197">
        <v>10</v>
      </c>
      <c r="AF66" s="197">
        <f>SUM(AH66:AL66)</f>
        <v>0</v>
      </c>
      <c r="AG66" s="197">
        <f t="shared" ref="AG66:AG67" si="12">AH66*0.75+AI66+AJ66*1.25+AK66*1.5+AL66*2</f>
        <v>0</v>
      </c>
      <c r="AH66" s="197">
        <f>SUMPRODUCT(($G$2:$G$258=10)*($F$2:$F$258=AH62))</f>
        <v>0</v>
      </c>
      <c r="AI66" s="197">
        <f>SUMPRODUCT(($G$2:$G$258=10)*($F$2:$F$258=AI62))</f>
        <v>0</v>
      </c>
      <c r="AJ66" s="197">
        <f t="shared" ref="AJ66:AL66" si="13">SUMPRODUCT(($G$2:$G$258=10)*($F$2:$F$258=AJ62))</f>
        <v>0</v>
      </c>
      <c r="AK66" s="197">
        <f t="shared" si="13"/>
        <v>0</v>
      </c>
      <c r="AL66" s="197">
        <f t="shared" si="13"/>
        <v>0</v>
      </c>
      <c r="AM66" s="167">
        <f>SUMPRODUCT(($D$2:$D$258=$AB$64)*($T$2:$T$258=AE66))</f>
        <v>0</v>
      </c>
      <c r="AN66" s="167">
        <f>SUMPRODUCT(($D$2:$D$258=$AC$64)*($T$2:$T$258=AE66))</f>
        <v>0</v>
      </c>
      <c r="AO66" s="125">
        <f>SUMPRODUCT(($D$2:$D$258=$AO$64)*($T$2:$T$258=AE66))</f>
        <v>0</v>
      </c>
      <c r="AP66" s="125">
        <f>SUMPRODUCT(($D$2:$D$258=$AP$64)*($T$2:$T$258=AF66))</f>
        <v>0</v>
      </c>
    </row>
    <row r="67" spans="1:42" ht="13.15" customHeight="1">
      <c r="A67" s="126">
        <v>66</v>
      </c>
      <c r="B67" s="127" t="str">
        <f>IF(足元帳!K67="","",精算表!$W$1)</f>
        <v/>
      </c>
      <c r="C67" s="128" t="str">
        <f>IF(足元帳!K67="","",IF(足元帳!AY67=2,"R","N"))</f>
        <v/>
      </c>
      <c r="D67" s="128" t="str">
        <f>IF(足元帳!K67="","",IF(足元帳!AZ67=1,"姫",IF(足元帳!AZ67=2,"本指名",IF(足元帳!AZ67=3,"NET",IF(足元帳!AZ67=4,"写真","")))))</f>
        <v/>
      </c>
      <c r="E67" s="128" t="str">
        <f>IF(足元帳!K67="","",足元帳!K67)</f>
        <v/>
      </c>
      <c r="F67" s="128" t="str">
        <f>IF(足元帳!K67="","",IF(足元帳!BB67=1,45,IF(足元帳!BB67=2,60,IF(足元帳!BB67=3,75,IF(足元帳!BB67=4,90,IF(足元帳!BB67=5,120,IF(足元帳!BB67=6,150,IF(足元帳!BB67=7,180,""))))))))</f>
        <v/>
      </c>
      <c r="G67" s="128" t="str">
        <f>IF(足元帳!K67="","",足元帳!A67)</f>
        <v/>
      </c>
      <c r="H67" s="125" t="str">
        <f>IF(足元帳!AP67="","",$H$1)</f>
        <v/>
      </c>
      <c r="I67" s="125" t="str">
        <f>IF(足元帳!AQ67="","",$I$1)</f>
        <v/>
      </c>
      <c r="J67" s="125" t="str">
        <f>IF(足元帳!AR67="","",$J$1)</f>
        <v/>
      </c>
      <c r="K67" s="125" t="str">
        <f>IF(足元帳!AS67="","",$K$1)</f>
        <v/>
      </c>
      <c r="L67" s="291" t="str">
        <f>IF(COUNTIF(足元帳!AT67,"*複合*"),"複合","")</f>
        <v/>
      </c>
      <c r="M67" s="291" t="str">
        <f>IF(COUNTIF(足元帳!AT67,"*店頭本指名*"),"店頭本指名","")</f>
        <v/>
      </c>
      <c r="N67" s="125" t="str">
        <f>IF(足元帳!U67="","",足元帳!U67)</f>
        <v/>
      </c>
      <c r="O67" s="125" t="str">
        <f>IF(足元帳!V67="","",足元帳!V67)</f>
        <v/>
      </c>
      <c r="P67" s="125" t="str">
        <f>IF(足元帳!W67="","",足元帳!W67)</f>
        <v/>
      </c>
      <c r="Q67" s="125" t="str">
        <f>IF(足元帳!X67="","",足元帳!X67)</f>
        <v/>
      </c>
      <c r="R67" s="125" t="str">
        <f>IF(足元帳!Y67="","",足元帳!Y67)</f>
        <v/>
      </c>
      <c r="S67" s="125" t="str">
        <f>IF(足元帳!Z67="","",足元帳!Z67)</f>
        <v/>
      </c>
      <c r="T67" s="125" t="str">
        <f>IF(足元帳!AT67="","",足元帳!AT67)</f>
        <v/>
      </c>
      <c r="U67" s="125" t="str">
        <f>IF(足元帳!AH67="●",足元帳!$AH$1&amp;足元帳!AW67,"")</f>
        <v/>
      </c>
      <c r="V67" s="125" t="str">
        <f>IF(足元帳!AI67="●",足元帳!$AI$1&amp;足元帳!AW67,"")</f>
        <v/>
      </c>
      <c r="W67" s="125" t="str">
        <f>IF(足元帳!AX67="","",足元帳!AX67)</f>
        <v/>
      </c>
      <c r="X67" s="125">
        <f>足元帳!BJ67</f>
        <v>0</v>
      </c>
      <c r="Y67" s="138"/>
      <c r="Z67" s="212"/>
      <c r="AA67" s="213"/>
      <c r="AB67" s="200">
        <f>SUMPRODUCT(($D$2:$D$258=AB64)*($T$2:$T$258=$AC$66))</f>
        <v>0</v>
      </c>
      <c r="AC67" s="201">
        <f>SUMPRODUCT(($D$2:$D$258=AC64)*($T$2:$T$258=$AC$66))</f>
        <v>0</v>
      </c>
      <c r="AD67" s="197"/>
      <c r="AE67" s="197">
        <v>11</v>
      </c>
      <c r="AF67" s="197">
        <f>SUM(AH67:AL67)</f>
        <v>0</v>
      </c>
      <c r="AG67" s="197">
        <f t="shared" si="12"/>
        <v>0</v>
      </c>
      <c r="AH67" s="197">
        <f>SUMPRODUCT(($G$2:$G$258=11)*($F$2:$F$258=AH62))</f>
        <v>0</v>
      </c>
      <c r="AI67" s="197">
        <f>SUMPRODUCT(($G$2:$G$258=11)*($F$2:$F$258=AI62))</f>
        <v>0</v>
      </c>
      <c r="AJ67" s="197">
        <f t="shared" ref="AJ67:AL67" si="14">SUMPRODUCT(($G$2:$G$258=11)*($F$2:$F$258=AJ62))</f>
        <v>0</v>
      </c>
      <c r="AK67" s="197">
        <f t="shared" si="14"/>
        <v>0</v>
      </c>
      <c r="AL67" s="197">
        <f t="shared" si="14"/>
        <v>0</v>
      </c>
      <c r="AM67" s="167">
        <f>SUMPRODUCT(($D$2:$D$258=$AB$64)*($T$2:$T$258=AE67))</f>
        <v>0</v>
      </c>
      <c r="AN67" s="167">
        <f>SUMPRODUCT(($D$2:$D$258=$AC$64)*($T$2:$T$258=AE67))</f>
        <v>0</v>
      </c>
      <c r="AO67" s="125">
        <f>SUMPRODUCT(($D$2:$D$258=$AO$64)*($T$2:$T$258=AE67))</f>
        <v>0</v>
      </c>
      <c r="AP67" s="125">
        <f>SUMPRODUCT(($D$2:$D$258=$AP$64)*($T$2:$T$258=AF67))</f>
        <v>0</v>
      </c>
    </row>
    <row r="68" spans="1:42" ht="13.15" customHeight="1">
      <c r="A68" s="126">
        <v>67</v>
      </c>
      <c r="B68" s="127" t="str">
        <f>IF(足元帳!K68="","",精算表!$W$1)</f>
        <v/>
      </c>
      <c r="C68" s="128" t="str">
        <f>IF(足元帳!K68="","",IF(足元帳!AY68=2,"R","N"))</f>
        <v/>
      </c>
      <c r="D68" s="128" t="str">
        <f>IF(足元帳!K68="","",IF(足元帳!AZ68=1,"姫",IF(足元帳!AZ68=2,"本指名",IF(足元帳!AZ68=3,"NET",IF(足元帳!AZ68=4,"写真","")))))</f>
        <v/>
      </c>
      <c r="E68" s="128" t="str">
        <f>IF(足元帳!K68="","",足元帳!K68)</f>
        <v/>
      </c>
      <c r="F68" s="128" t="str">
        <f>IF(足元帳!K68="","",IF(足元帳!BB68=1,45,IF(足元帳!BB68=2,60,IF(足元帳!BB68=3,75,IF(足元帳!BB68=4,90,IF(足元帳!BB68=5,120,IF(足元帳!BB68=6,150,IF(足元帳!BB68=7,180,""))))))))</f>
        <v/>
      </c>
      <c r="G68" s="128" t="str">
        <f>IF(足元帳!K68="","",足元帳!A68)</f>
        <v/>
      </c>
      <c r="H68" s="125" t="str">
        <f>IF(足元帳!AP68="","",$H$1)</f>
        <v/>
      </c>
      <c r="I68" s="125" t="str">
        <f>IF(足元帳!AQ68="","",$I$1)</f>
        <v/>
      </c>
      <c r="J68" s="125" t="str">
        <f>IF(足元帳!AR68="","",$J$1)</f>
        <v/>
      </c>
      <c r="K68" s="125" t="str">
        <f>IF(足元帳!AS68="","",$K$1)</f>
        <v/>
      </c>
      <c r="L68" s="291" t="str">
        <f>IF(COUNTIF(足元帳!AT68,"*複合*"),"複合","")</f>
        <v/>
      </c>
      <c r="M68" s="291" t="str">
        <f>IF(COUNTIF(足元帳!AT68,"*店頭本指名*"),"店頭本指名","")</f>
        <v/>
      </c>
      <c r="N68" s="125" t="str">
        <f>IF(足元帳!U68="","",足元帳!U68)</f>
        <v/>
      </c>
      <c r="O68" s="125" t="str">
        <f>IF(足元帳!V68="","",足元帳!V68)</f>
        <v/>
      </c>
      <c r="P68" s="125" t="str">
        <f>IF(足元帳!W68="","",足元帳!W68)</f>
        <v/>
      </c>
      <c r="Q68" s="125" t="str">
        <f>IF(足元帳!X68="","",足元帳!X68)</f>
        <v/>
      </c>
      <c r="R68" s="125" t="str">
        <f>IF(足元帳!Y68="","",足元帳!Y68)</f>
        <v/>
      </c>
      <c r="S68" s="125" t="str">
        <f>IF(足元帳!Z68="","",足元帳!Z68)</f>
        <v/>
      </c>
      <c r="T68" s="125" t="str">
        <f>IF(足元帳!AT68="","",足元帳!AT68)</f>
        <v/>
      </c>
      <c r="U68" s="125" t="str">
        <f>IF(足元帳!AH68="●",足元帳!$AH$1&amp;足元帳!AW68,"")</f>
        <v/>
      </c>
      <c r="V68" s="125" t="str">
        <f>IF(足元帳!AI68="●",足元帳!$AI$1&amp;足元帳!AW68,"")</f>
        <v/>
      </c>
      <c r="W68" s="125" t="str">
        <f>IF(足元帳!AX68="","",足元帳!AX68)</f>
        <v/>
      </c>
      <c r="X68" s="125">
        <f>足元帳!BJ68</f>
        <v>0</v>
      </c>
      <c r="Y68" s="226"/>
      <c r="Z68" s="212"/>
      <c r="AA68" s="213"/>
      <c r="AB68" s="200">
        <f>AB65+AB67</f>
        <v>0</v>
      </c>
      <c r="AC68" s="201">
        <f>AC65+AC67</f>
        <v>0</v>
      </c>
      <c r="AD68" s="197"/>
      <c r="AE68" s="197" t="s">
        <v>275</v>
      </c>
      <c r="AF68" s="197">
        <f>SUM(AF65:AF67)</f>
        <v>0</v>
      </c>
      <c r="AG68" s="197">
        <f t="shared" ref="AG68:AL68" si="15">SUM(AG65:AG67)</f>
        <v>0</v>
      </c>
      <c r="AH68" s="197">
        <f t="shared" si="15"/>
        <v>0</v>
      </c>
      <c r="AI68" s="197">
        <f t="shared" si="15"/>
        <v>0</v>
      </c>
      <c r="AJ68" s="197">
        <f t="shared" si="15"/>
        <v>0</v>
      </c>
      <c r="AK68" s="197">
        <f t="shared" si="15"/>
        <v>0</v>
      </c>
      <c r="AL68" s="197">
        <f t="shared" si="15"/>
        <v>0</v>
      </c>
      <c r="AM68" s="167">
        <f>SUM(AM65:AM67)</f>
        <v>0</v>
      </c>
      <c r="AN68" s="167">
        <f t="shared" ref="AN68:AP68" si="16">SUM(AN65:AN67)</f>
        <v>0</v>
      </c>
      <c r="AO68" s="167">
        <f t="shared" si="16"/>
        <v>0</v>
      </c>
      <c r="AP68" s="167">
        <f t="shared" si="16"/>
        <v>0</v>
      </c>
    </row>
    <row r="69" spans="1:42" ht="13.15" customHeight="1" thickBot="1">
      <c r="A69" s="126">
        <v>68</v>
      </c>
      <c r="B69" s="127" t="str">
        <f>IF(足元帳!K69="","",精算表!$W$1)</f>
        <v/>
      </c>
      <c r="C69" s="128" t="str">
        <f>IF(足元帳!K69="","",IF(足元帳!AY69=2,"R","N"))</f>
        <v/>
      </c>
      <c r="D69" s="128" t="str">
        <f>IF(足元帳!K69="","",IF(足元帳!AZ69=1,"姫",IF(足元帳!AZ69=2,"本指名",IF(足元帳!AZ69=3,"NET",IF(足元帳!AZ69=4,"写真","")))))</f>
        <v/>
      </c>
      <c r="E69" s="128" t="str">
        <f>IF(足元帳!K69="","",足元帳!K69)</f>
        <v/>
      </c>
      <c r="F69" s="128" t="str">
        <f>IF(足元帳!K69="","",IF(足元帳!BB69=1,45,IF(足元帳!BB69=2,60,IF(足元帳!BB69=3,75,IF(足元帳!BB69=4,90,IF(足元帳!BB69=5,120,IF(足元帳!BB69=6,150,IF(足元帳!BB69=7,180,""))))))))</f>
        <v/>
      </c>
      <c r="G69" s="128" t="str">
        <f>IF(足元帳!K69="","",足元帳!A69)</f>
        <v/>
      </c>
      <c r="H69" s="125" t="str">
        <f>IF(足元帳!AP69="","",$H$1)</f>
        <v/>
      </c>
      <c r="I69" s="125" t="str">
        <f>IF(足元帳!AQ69="","",$I$1)</f>
        <v/>
      </c>
      <c r="J69" s="125" t="str">
        <f>IF(足元帳!AR69="","",$J$1)</f>
        <v/>
      </c>
      <c r="K69" s="125" t="str">
        <f>IF(足元帳!AS69="","",$K$1)</f>
        <v/>
      </c>
      <c r="L69" s="291" t="str">
        <f>IF(COUNTIF(足元帳!AT69,"*複合*"),"複合","")</f>
        <v/>
      </c>
      <c r="M69" s="291" t="str">
        <f>IF(COUNTIF(足元帳!AT69,"*店頭本指名*"),"店頭本指名","")</f>
        <v/>
      </c>
      <c r="N69" s="125" t="str">
        <f>IF(足元帳!U69="","",足元帳!U69)</f>
        <v/>
      </c>
      <c r="O69" s="125" t="str">
        <f>IF(足元帳!V69="","",足元帳!V69)</f>
        <v/>
      </c>
      <c r="P69" s="125" t="str">
        <f>IF(足元帳!W69="","",足元帳!W69)</f>
        <v/>
      </c>
      <c r="Q69" s="125" t="str">
        <f>IF(足元帳!X69="","",足元帳!X69)</f>
        <v/>
      </c>
      <c r="R69" s="125" t="str">
        <f>IF(足元帳!Y69="","",足元帳!Y69)</f>
        <v/>
      </c>
      <c r="S69" s="125" t="str">
        <f>IF(足元帳!Z69="","",足元帳!Z69)</f>
        <v/>
      </c>
      <c r="T69" s="125" t="str">
        <f>IF(足元帳!AT69="","",足元帳!AT69)</f>
        <v/>
      </c>
      <c r="U69" s="125" t="str">
        <f>IF(足元帳!AH69="●",足元帳!$AH$1&amp;足元帳!AW69,"")</f>
        <v/>
      </c>
      <c r="V69" s="125" t="str">
        <f>IF(足元帳!AI69="●",足元帳!$AI$1&amp;足元帳!AW69,"")</f>
        <v/>
      </c>
      <c r="W69" s="125" t="str">
        <f>IF(足元帳!AX69="","",足元帳!AX69)</f>
        <v/>
      </c>
      <c r="X69" s="125">
        <f>足元帳!BJ69</f>
        <v>0</v>
      </c>
      <c r="Y69" s="226"/>
      <c r="AA69" s="167"/>
      <c r="AB69" s="202"/>
      <c r="AC69" s="203"/>
      <c r="AD69" s="204"/>
      <c r="AE69" s="204"/>
      <c r="AF69" s="204"/>
      <c r="AG69" s="204"/>
      <c r="AH69" s="204"/>
      <c r="AI69" s="204"/>
      <c r="AJ69" s="204"/>
      <c r="AK69" s="204"/>
      <c r="AL69" s="205"/>
      <c r="AM69" s="167"/>
      <c r="AN69" s="167"/>
      <c r="AO69" s="125">
        <f>AO68+AP68</f>
        <v>0</v>
      </c>
    </row>
    <row r="70" spans="1:42" ht="13.15" customHeight="1">
      <c r="A70" s="126">
        <v>69</v>
      </c>
      <c r="B70" s="127" t="str">
        <f>IF(足元帳!K70="","",精算表!$W$1)</f>
        <v/>
      </c>
      <c r="C70" s="128" t="str">
        <f>IF(足元帳!K70="","",IF(足元帳!AY70=2,"R","N"))</f>
        <v/>
      </c>
      <c r="D70" s="128" t="str">
        <f>IF(足元帳!K70="","",IF(足元帳!AZ70=1,"姫",IF(足元帳!AZ70=2,"本指名",IF(足元帳!AZ70=3,"NET",IF(足元帳!AZ70=4,"写真","")))))</f>
        <v/>
      </c>
      <c r="E70" s="128" t="str">
        <f>IF(足元帳!K70="","",足元帳!K70)</f>
        <v/>
      </c>
      <c r="F70" s="128" t="str">
        <f>IF(足元帳!K70="","",IF(足元帳!BB70=1,45,IF(足元帳!BB70=2,60,IF(足元帳!BB70=3,75,IF(足元帳!BB70=4,90,IF(足元帳!BB70=5,120,IF(足元帳!BB70=6,150,IF(足元帳!BB70=7,180,""))))))))</f>
        <v/>
      </c>
      <c r="G70" s="128" t="str">
        <f>IF(足元帳!K70="","",足元帳!A70)</f>
        <v/>
      </c>
      <c r="H70" s="125" t="str">
        <f>IF(足元帳!AP70="","",$H$1)</f>
        <v/>
      </c>
      <c r="I70" s="125" t="str">
        <f>IF(足元帳!AQ70="","",$I$1)</f>
        <v/>
      </c>
      <c r="J70" s="125" t="str">
        <f>IF(足元帳!AR70="","",$J$1)</f>
        <v/>
      </c>
      <c r="K70" s="125" t="str">
        <f>IF(足元帳!AS70="","",$K$1)</f>
        <v/>
      </c>
      <c r="L70" s="291" t="str">
        <f>IF(COUNTIF(足元帳!AT70,"*複合*"),"複合","")</f>
        <v/>
      </c>
      <c r="M70" s="291" t="str">
        <f>IF(COUNTIF(足元帳!AT70,"*店頭本指名*"),"店頭本指名","")</f>
        <v/>
      </c>
      <c r="N70" s="125" t="str">
        <f>IF(足元帳!U70="","",足元帳!U70)</f>
        <v/>
      </c>
      <c r="O70" s="125" t="str">
        <f>IF(足元帳!V70="","",足元帳!V70)</f>
        <v/>
      </c>
      <c r="P70" s="125" t="str">
        <f>IF(足元帳!W70="","",足元帳!W70)</f>
        <v/>
      </c>
      <c r="Q70" s="125" t="str">
        <f>IF(足元帳!X70="","",足元帳!X70)</f>
        <v/>
      </c>
      <c r="R70" s="125" t="str">
        <f>IF(足元帳!Y70="","",足元帳!Y70)</f>
        <v/>
      </c>
      <c r="S70" s="125" t="str">
        <f>IF(足元帳!Z70="","",足元帳!Z70)</f>
        <v/>
      </c>
      <c r="T70" s="125" t="str">
        <f>IF(足元帳!AT70="","",足元帳!AT70)</f>
        <v/>
      </c>
      <c r="U70" s="125" t="str">
        <f>IF(足元帳!AH70="●",足元帳!$AH$1&amp;足元帳!AW70,"")</f>
        <v/>
      </c>
      <c r="V70" s="125" t="str">
        <f>IF(足元帳!AI70="●",足元帳!$AI$1&amp;足元帳!AW70,"")</f>
        <v/>
      </c>
      <c r="W70" s="125" t="str">
        <f>IF(足元帳!AX70="","",足元帳!AX70)</f>
        <v/>
      </c>
      <c r="X70" s="125">
        <f>足元帳!BJ70</f>
        <v>0</v>
      </c>
      <c r="Y70" s="313" t="s">
        <v>294</v>
      </c>
      <c r="Z70" s="305"/>
      <c r="AA70" s="306"/>
      <c r="AB70" s="167"/>
      <c r="AC70" s="167"/>
      <c r="AD70" s="167"/>
      <c r="AE70" s="167"/>
      <c r="AF70" s="167"/>
      <c r="AG70" s="167">
        <v>9</v>
      </c>
      <c r="AH70" s="167" t="s">
        <v>276</v>
      </c>
      <c r="AI70" s="167">
        <f>SUMPRODUCT(($F$2:$F$258=AI62)*($T$2:$T$258=$AH$70)*($G$2:$G$258=$AG$70))</f>
        <v>0</v>
      </c>
      <c r="AJ70" s="167">
        <f>SUMPRODUCT(($F$2:$F$258=AJ62)*($T$2:$T$258=$AH$70)*($G$2:$G$258=$AG$70))</f>
        <v>0</v>
      </c>
      <c r="AK70" s="167">
        <f>SUMPRODUCT(($F$2:$F$258=AK62)*($T$2:$T$258=$AH$70)*($G$2:$G$258=$AG$70))</f>
        <v>0</v>
      </c>
      <c r="AL70" s="167">
        <f>SUMPRODUCT(($F$2:$F$258=AL62)*($T$2:$T$258=$AH$70)*($G$2:$G$258=$AG$70))</f>
        <v>0</v>
      </c>
      <c r="AM70" s="167"/>
      <c r="AN70" s="167"/>
    </row>
    <row r="71" spans="1:42" ht="13.15" customHeight="1">
      <c r="A71" s="126">
        <v>70</v>
      </c>
      <c r="B71" s="127" t="str">
        <f>IF(足元帳!K71="","",精算表!$W$1)</f>
        <v/>
      </c>
      <c r="C71" s="128" t="str">
        <f>IF(足元帳!K71="","",IF(足元帳!AY71=2,"R","N"))</f>
        <v/>
      </c>
      <c r="D71" s="128" t="str">
        <f>IF(足元帳!K71="","",IF(足元帳!AZ71=1,"姫",IF(足元帳!AZ71=2,"本指名",IF(足元帳!AZ71=3,"NET",IF(足元帳!AZ71=4,"写真","")))))</f>
        <v/>
      </c>
      <c r="E71" s="128" t="str">
        <f>IF(足元帳!K71="","",足元帳!K71)</f>
        <v/>
      </c>
      <c r="F71" s="128" t="str">
        <f>IF(足元帳!K71="","",IF(足元帳!BB71=1,45,IF(足元帳!BB71=2,60,IF(足元帳!BB71=3,75,IF(足元帳!BB71=4,90,IF(足元帳!BB71=5,120,IF(足元帳!BB71=6,150,IF(足元帳!BB71=7,180,""))))))))</f>
        <v/>
      </c>
      <c r="G71" s="128" t="str">
        <f>IF(足元帳!K71="","",足元帳!A71)</f>
        <v/>
      </c>
      <c r="H71" s="125" t="str">
        <f>IF(足元帳!AP71="","",$H$1)</f>
        <v/>
      </c>
      <c r="I71" s="125" t="str">
        <f>IF(足元帳!AQ71="","",$I$1)</f>
        <v/>
      </c>
      <c r="J71" s="125" t="str">
        <f>IF(足元帳!AR71="","",$J$1)</f>
        <v/>
      </c>
      <c r="K71" s="125" t="str">
        <f>IF(足元帳!AS71="","",$K$1)</f>
        <v/>
      </c>
      <c r="L71" s="291" t="str">
        <f>IF(COUNTIF(足元帳!AT71,"*複合*"),"複合","")</f>
        <v/>
      </c>
      <c r="M71" s="291" t="str">
        <f>IF(COUNTIF(足元帳!AT71,"*店頭本指名*"),"店頭本指名","")</f>
        <v/>
      </c>
      <c r="N71" s="125" t="str">
        <f>IF(足元帳!U71="","",足元帳!U71)</f>
        <v/>
      </c>
      <c r="O71" s="125" t="str">
        <f>IF(足元帳!V71="","",足元帳!V71)</f>
        <v/>
      </c>
      <c r="P71" s="125" t="str">
        <f>IF(足元帳!W71="","",足元帳!W71)</f>
        <v/>
      </c>
      <c r="Q71" s="125" t="str">
        <f>IF(足元帳!X71="","",足元帳!X71)</f>
        <v/>
      </c>
      <c r="R71" s="125" t="str">
        <f>IF(足元帳!Y71="","",足元帳!Y71)</f>
        <v/>
      </c>
      <c r="S71" s="125" t="str">
        <f>IF(足元帳!Z71="","",足元帳!Z71)</f>
        <v/>
      </c>
      <c r="T71" s="125" t="str">
        <f>IF(足元帳!AT71="","",足元帳!AT71)</f>
        <v/>
      </c>
      <c r="U71" s="125" t="str">
        <f>IF(足元帳!AH71="●",足元帳!$AH$1&amp;足元帳!AW71,"")</f>
        <v/>
      </c>
      <c r="V71" s="125" t="str">
        <f>IF(足元帳!AI71="●",足元帳!$AI$1&amp;足元帳!AW71,"")</f>
        <v/>
      </c>
      <c r="W71" s="125" t="str">
        <f>IF(足元帳!AX71="","",足元帳!AX71)</f>
        <v/>
      </c>
      <c r="X71" s="125">
        <f>足元帳!BJ71</f>
        <v>0</v>
      </c>
      <c r="Y71" s="314"/>
      <c r="Z71" s="305"/>
      <c r="AA71" s="306"/>
      <c r="AB71" s="167"/>
      <c r="AC71" s="167"/>
      <c r="AD71" s="167"/>
      <c r="AE71" s="167"/>
      <c r="AF71" s="167"/>
      <c r="AG71" s="167">
        <v>10</v>
      </c>
      <c r="AH71" s="167" t="s">
        <v>277</v>
      </c>
      <c r="AI71" s="167">
        <f>SUMPRODUCT(($F$2:$F$258=AI62)*($T$2:$T$258=$AH$70)*($G$2:$G$258=$AG$71))</f>
        <v>0</v>
      </c>
      <c r="AJ71" s="167">
        <f>SUMPRODUCT(($F$2:$F$258=AJ62)*($T$2:$T$258=$AH$70)*($G$2:$G$258=$AG$71))</f>
        <v>0</v>
      </c>
      <c r="AK71" s="167">
        <f>SUMPRODUCT(($F$2:$F$258=AK62)*($T$2:$T$258=$AH$70)*($G$2:$G$258=$AG$71))</f>
        <v>0</v>
      </c>
      <c r="AL71" s="167">
        <f>SUMPRODUCT(($F$2:$F$258=AL62)*($T$2:$T$258=$AH$70)*($G$2:$G$258=$AG$71))</f>
        <v>0</v>
      </c>
      <c r="AM71" s="167"/>
      <c r="AN71" s="167"/>
    </row>
    <row r="72" spans="1:42" ht="13.15" customHeight="1">
      <c r="A72" s="126">
        <v>71</v>
      </c>
      <c r="B72" s="127" t="str">
        <f>IF(足元帳!K72="","",精算表!$W$1)</f>
        <v/>
      </c>
      <c r="C72" s="128" t="str">
        <f>IF(足元帳!K72="","",IF(足元帳!AY72=2,"R","N"))</f>
        <v/>
      </c>
      <c r="D72" s="128" t="str">
        <f>IF(足元帳!K72="","",IF(足元帳!AZ72=1,"姫",IF(足元帳!AZ72=2,"本指名",IF(足元帳!AZ72=3,"NET",IF(足元帳!AZ72=4,"写真","")))))</f>
        <v/>
      </c>
      <c r="E72" s="128" t="str">
        <f>IF(足元帳!K72="","",足元帳!K72)</f>
        <v/>
      </c>
      <c r="F72" s="128" t="str">
        <f>IF(足元帳!K72="","",IF(足元帳!BB72=1,45,IF(足元帳!BB72=2,60,IF(足元帳!BB72=3,75,IF(足元帳!BB72=4,90,IF(足元帳!BB72=5,120,IF(足元帳!BB72=6,150,IF(足元帳!BB72=7,180,""))))))))</f>
        <v/>
      </c>
      <c r="G72" s="128" t="str">
        <f>IF(足元帳!K72="","",足元帳!A72)</f>
        <v/>
      </c>
      <c r="H72" s="125" t="str">
        <f>IF(足元帳!AP72="","",$H$1)</f>
        <v/>
      </c>
      <c r="I72" s="125" t="str">
        <f>IF(足元帳!AQ72="","",$I$1)</f>
        <v/>
      </c>
      <c r="J72" s="125" t="str">
        <f>IF(足元帳!AR72="","",$J$1)</f>
        <v/>
      </c>
      <c r="K72" s="125" t="str">
        <f>IF(足元帳!AS72="","",$K$1)</f>
        <v/>
      </c>
      <c r="L72" s="291" t="str">
        <f>IF(COUNTIF(足元帳!AT72,"*複合*"),"複合","")</f>
        <v/>
      </c>
      <c r="M72" s="291" t="str">
        <f>IF(COUNTIF(足元帳!AT72,"*店頭本指名*"),"店頭本指名","")</f>
        <v/>
      </c>
      <c r="N72" s="125" t="str">
        <f>IF(足元帳!U72="","",足元帳!U72)</f>
        <v/>
      </c>
      <c r="O72" s="125" t="str">
        <f>IF(足元帳!V72="","",足元帳!V72)</f>
        <v/>
      </c>
      <c r="P72" s="125" t="str">
        <f>IF(足元帳!W72="","",足元帳!W72)</f>
        <v/>
      </c>
      <c r="Q72" s="125" t="str">
        <f>IF(足元帳!X72="","",足元帳!X72)</f>
        <v/>
      </c>
      <c r="R72" s="125" t="str">
        <f>IF(足元帳!Y72="","",足元帳!Y72)</f>
        <v/>
      </c>
      <c r="S72" s="125" t="str">
        <f>IF(足元帳!Z72="","",足元帳!Z72)</f>
        <v/>
      </c>
      <c r="T72" s="125" t="str">
        <f>IF(足元帳!AT72="","",足元帳!AT72)</f>
        <v/>
      </c>
      <c r="U72" s="125" t="str">
        <f>IF(足元帳!AH72="●",足元帳!$AH$1&amp;足元帳!AW72,"")</f>
        <v/>
      </c>
      <c r="V72" s="125" t="str">
        <f>IF(足元帳!AI72="●",足元帳!$AI$1&amp;足元帳!AW72,"")</f>
        <v/>
      </c>
      <c r="W72" s="125" t="str">
        <f>IF(足元帳!AX72="","",足元帳!AX72)</f>
        <v/>
      </c>
      <c r="X72" s="125">
        <f>足元帳!BJ72</f>
        <v>0</v>
      </c>
      <c r="Y72" s="315">
        <f>Y1</f>
        <v>43755</v>
      </c>
      <c r="Z72" s="305"/>
      <c r="AA72" s="306"/>
      <c r="AB72" s="167"/>
      <c r="AC72" s="167"/>
      <c r="AD72" s="167"/>
      <c r="AE72" s="167"/>
      <c r="AF72" s="167"/>
      <c r="AG72" s="167">
        <v>11</v>
      </c>
      <c r="AH72" s="167"/>
      <c r="AI72" s="167">
        <f>SUMPRODUCT(($F$2:$F$258=AI62)*($T$2:$T$258=$AH$70)*($G$2:$G$258=$AG$72))</f>
        <v>0</v>
      </c>
      <c r="AJ72" s="167">
        <f>SUMPRODUCT(($F$2:$F$258=AJ62)*($T$2:$T$258=$AH$70)*($G$2:$G$258=$AG$72))</f>
        <v>0</v>
      </c>
      <c r="AK72" s="167">
        <f>SUMPRODUCT(($F$2:$F$258=AK62)*($T$2:$T$258=$AH$70)*($G$2:$G$258=$AG$72))</f>
        <v>0</v>
      </c>
      <c r="AL72" s="167">
        <f>SUMPRODUCT(($F$2:$F$258=AL62)*($T$2:$T$258=$AH$70)*($G$2:$G$258=$AG$72))</f>
        <v>0</v>
      </c>
      <c r="AM72" s="167"/>
      <c r="AN72" s="167"/>
    </row>
    <row r="73" spans="1:42" ht="13.15" customHeight="1">
      <c r="A73" s="126">
        <v>72</v>
      </c>
      <c r="B73" s="127" t="str">
        <f>IF(足元帳!K73="","",精算表!$W$1)</f>
        <v/>
      </c>
      <c r="C73" s="128" t="str">
        <f>IF(足元帳!K73="","",IF(足元帳!AY73=2,"R","N"))</f>
        <v/>
      </c>
      <c r="D73" s="128" t="str">
        <f>IF(足元帳!K73="","",IF(足元帳!AZ73=1,"姫",IF(足元帳!AZ73=2,"本指名",IF(足元帳!AZ73=3,"NET",IF(足元帳!AZ73=4,"写真","")))))</f>
        <v/>
      </c>
      <c r="E73" s="128" t="str">
        <f>IF(足元帳!K73="","",足元帳!K73)</f>
        <v/>
      </c>
      <c r="F73" s="128" t="str">
        <f>IF(足元帳!K73="","",IF(足元帳!BB73=1,45,IF(足元帳!BB73=2,60,IF(足元帳!BB73=3,75,IF(足元帳!BB73=4,90,IF(足元帳!BB73=5,120,IF(足元帳!BB73=6,150,IF(足元帳!BB73=7,180,""))))))))</f>
        <v/>
      </c>
      <c r="G73" s="128" t="str">
        <f>IF(足元帳!K73="","",足元帳!A73)</f>
        <v/>
      </c>
      <c r="H73" s="125" t="str">
        <f>IF(足元帳!AP73="","",$H$1)</f>
        <v/>
      </c>
      <c r="I73" s="125" t="str">
        <f>IF(足元帳!AQ73="","",$I$1)</f>
        <v/>
      </c>
      <c r="J73" s="125" t="str">
        <f>IF(足元帳!AR73="","",$J$1)</f>
        <v/>
      </c>
      <c r="K73" s="125" t="str">
        <f>IF(足元帳!AS73="","",$K$1)</f>
        <v/>
      </c>
      <c r="L73" s="291" t="str">
        <f>IF(COUNTIF(足元帳!AT73,"*複合*"),"複合","")</f>
        <v/>
      </c>
      <c r="M73" s="291" t="str">
        <f>IF(COUNTIF(足元帳!AT73,"*店頭本指名*"),"店頭本指名","")</f>
        <v/>
      </c>
      <c r="N73" s="125" t="str">
        <f>IF(足元帳!U73="","",足元帳!U73)</f>
        <v/>
      </c>
      <c r="O73" s="125" t="str">
        <f>IF(足元帳!V73="","",足元帳!V73)</f>
        <v/>
      </c>
      <c r="P73" s="125" t="str">
        <f>IF(足元帳!W73="","",足元帳!W73)</f>
        <v/>
      </c>
      <c r="Q73" s="125" t="str">
        <f>IF(足元帳!X73="","",足元帳!X73)</f>
        <v/>
      </c>
      <c r="R73" s="125" t="str">
        <f>IF(足元帳!Y73="","",足元帳!Y73)</f>
        <v/>
      </c>
      <c r="S73" s="125" t="str">
        <f>IF(足元帳!Z73="","",足元帳!Z73)</f>
        <v/>
      </c>
      <c r="T73" s="125" t="str">
        <f>IF(足元帳!AT73="","",足元帳!AT73)</f>
        <v/>
      </c>
      <c r="U73" s="125" t="str">
        <f>IF(足元帳!AH73="●",足元帳!$AH$1&amp;足元帳!AW73,"")</f>
        <v/>
      </c>
      <c r="V73" s="125" t="str">
        <f>IF(足元帳!AI73="●",足元帳!$AI$1&amp;足元帳!AW73,"")</f>
        <v/>
      </c>
      <c r="W73" s="125" t="str">
        <f>IF(足元帳!AX73="","",足元帳!AX73)</f>
        <v/>
      </c>
      <c r="X73" s="125">
        <f>足元帳!BJ73</f>
        <v>0</v>
      </c>
      <c r="Y73" s="316"/>
      <c r="Z73" s="305"/>
      <c r="AA73" s="305"/>
      <c r="AI73" s="208">
        <f>SUM(AI70:AI72)</f>
        <v>0</v>
      </c>
      <c r="AJ73" s="209">
        <f t="shared" ref="AJ73:AL73" si="17">SUM(AJ70:AJ72)</f>
        <v>0</v>
      </c>
      <c r="AK73" s="209">
        <f t="shared" si="17"/>
        <v>0</v>
      </c>
      <c r="AL73" s="210">
        <f t="shared" si="17"/>
        <v>0</v>
      </c>
    </row>
    <row r="74" spans="1:42" ht="13.15" customHeight="1">
      <c r="A74" s="126">
        <v>73</v>
      </c>
      <c r="B74" s="127" t="str">
        <f>IF(足元帳!K74="","",精算表!$W$1)</f>
        <v/>
      </c>
      <c r="C74" s="128" t="str">
        <f>IF(足元帳!K74="","",IF(足元帳!AY74=2,"R","N"))</f>
        <v/>
      </c>
      <c r="D74" s="128" t="str">
        <f>IF(足元帳!K74="","",IF(足元帳!AZ74=1,"姫",IF(足元帳!AZ74=2,"本指名",IF(足元帳!AZ74=3,"NET",IF(足元帳!AZ74=4,"写真","")))))</f>
        <v/>
      </c>
      <c r="E74" s="128" t="str">
        <f>IF(足元帳!K74="","",足元帳!K74)</f>
        <v/>
      </c>
      <c r="F74" s="128" t="str">
        <f>IF(足元帳!K74="","",IF(足元帳!BB74=1,45,IF(足元帳!BB74=2,60,IF(足元帳!BB74=3,75,IF(足元帳!BB74=4,90,IF(足元帳!BB74=5,120,IF(足元帳!BB74=6,150,IF(足元帳!BB74=7,180,""))))))))</f>
        <v/>
      </c>
      <c r="G74" s="128" t="str">
        <f>IF(足元帳!K74="","",足元帳!A74)</f>
        <v/>
      </c>
      <c r="H74" s="125" t="str">
        <f>IF(足元帳!AP74="","",$H$1)</f>
        <v/>
      </c>
      <c r="I74" s="125" t="str">
        <f>IF(足元帳!AQ74="","",$I$1)</f>
        <v/>
      </c>
      <c r="J74" s="125" t="str">
        <f>IF(足元帳!AR74="","",$J$1)</f>
        <v/>
      </c>
      <c r="K74" s="125" t="str">
        <f>IF(足元帳!AS74="","",$K$1)</f>
        <v/>
      </c>
      <c r="L74" s="291" t="str">
        <f>IF(COUNTIF(足元帳!AT74,"*複合*"),"複合","")</f>
        <v/>
      </c>
      <c r="M74" s="291" t="str">
        <f>IF(COUNTIF(足元帳!AT74,"*店頭本指名*"),"店頭本指名","")</f>
        <v/>
      </c>
      <c r="N74" s="125" t="str">
        <f>IF(足元帳!U74="","",足元帳!U74)</f>
        <v/>
      </c>
      <c r="O74" s="125" t="str">
        <f>IF(足元帳!V74="","",足元帳!V74)</f>
        <v/>
      </c>
      <c r="P74" s="125" t="str">
        <f>IF(足元帳!W74="","",足元帳!W74)</f>
        <v/>
      </c>
      <c r="Q74" s="125" t="str">
        <f>IF(足元帳!X74="","",足元帳!X74)</f>
        <v/>
      </c>
      <c r="R74" s="125" t="str">
        <f>IF(足元帳!Y74="","",足元帳!Y74)</f>
        <v/>
      </c>
      <c r="S74" s="125" t="str">
        <f>IF(足元帳!Z74="","",足元帳!Z74)</f>
        <v/>
      </c>
      <c r="T74" s="125" t="str">
        <f>IF(足元帳!AT74="","",足元帳!AT74)</f>
        <v/>
      </c>
      <c r="U74" s="125" t="str">
        <f>IF(足元帳!AH74="●",足元帳!$AH$1&amp;足元帳!AW74,"")</f>
        <v/>
      </c>
      <c r="V74" s="125" t="str">
        <f>IF(足元帳!AI74="●",足元帳!$AI$1&amp;足元帳!AW74,"")</f>
        <v/>
      </c>
      <c r="W74" s="125" t="str">
        <f>IF(足元帳!AX74="","",足元帳!AX74)</f>
        <v/>
      </c>
      <c r="X74" s="125">
        <f>足元帳!BJ74</f>
        <v>0</v>
      </c>
      <c r="Y74" s="305" t="s">
        <v>345</v>
      </c>
      <c r="Z74" s="305"/>
      <c r="AA74" s="305"/>
      <c r="AI74" s="167">
        <f>SUMPRODUCT(($F$2:$F$258=AI62)*($T$2:$T$258=$AH$71)*($G$2:$G$258=$AG$70))</f>
        <v>0</v>
      </c>
      <c r="AJ74" s="167">
        <f>SUMPRODUCT(($F$2:$F$258=AJ62)*($T$2:$T$258=$AH$71)*($G$2:$G$258=$AG$70))</f>
        <v>0</v>
      </c>
      <c r="AK74" s="167">
        <f>SUMPRODUCT(($F$2:$F$258=AK62)*($T$2:$T$258=$AH$71)*($G$2:$G$258=$AG$70))</f>
        <v>0</v>
      </c>
      <c r="AL74" s="167">
        <f>SUMPRODUCT(($F$2:$F$258=AL62)*($T$2:$T$258=$AH$71)*($G$2:$G$258=$AG$70))</f>
        <v>0</v>
      </c>
    </row>
    <row r="75" spans="1:42" ht="13.15" customHeight="1">
      <c r="A75" s="126">
        <v>74</v>
      </c>
      <c r="B75" s="127" t="str">
        <f>IF(足元帳!K75="","",精算表!$W$1)</f>
        <v/>
      </c>
      <c r="C75" s="128" t="str">
        <f>IF(足元帳!K75="","",IF(足元帳!AY75=2,"R","N"))</f>
        <v/>
      </c>
      <c r="D75" s="128" t="str">
        <f>IF(足元帳!K75="","",IF(足元帳!AZ75=1,"姫",IF(足元帳!AZ75=2,"本指名",IF(足元帳!AZ75=3,"NET",IF(足元帳!AZ75=4,"写真","")))))</f>
        <v/>
      </c>
      <c r="E75" s="128" t="str">
        <f>IF(足元帳!K75="","",足元帳!K75)</f>
        <v/>
      </c>
      <c r="F75" s="128" t="str">
        <f>IF(足元帳!K75="","",IF(足元帳!BB75=1,45,IF(足元帳!BB75=2,60,IF(足元帳!BB75=3,75,IF(足元帳!BB75=4,90,IF(足元帳!BB75=5,120,IF(足元帳!BB75=6,150,IF(足元帳!BB75=7,180,""))))))))</f>
        <v/>
      </c>
      <c r="G75" s="128" t="str">
        <f>IF(足元帳!K75="","",足元帳!A75)</f>
        <v/>
      </c>
      <c r="H75" s="125" t="str">
        <f>IF(足元帳!AP75="","",$H$1)</f>
        <v/>
      </c>
      <c r="I75" s="125" t="str">
        <f>IF(足元帳!AQ75="","",$I$1)</f>
        <v/>
      </c>
      <c r="J75" s="125" t="str">
        <f>IF(足元帳!AR75="","",$J$1)</f>
        <v/>
      </c>
      <c r="K75" s="125" t="str">
        <f>IF(足元帳!AS75="","",$K$1)</f>
        <v/>
      </c>
      <c r="L75" s="291" t="str">
        <f>IF(COUNTIF(足元帳!AT75,"*複合*"),"複合","")</f>
        <v/>
      </c>
      <c r="M75" s="291" t="str">
        <f>IF(COUNTIF(足元帳!AT75,"*店頭本指名*"),"店頭本指名","")</f>
        <v/>
      </c>
      <c r="N75" s="125" t="str">
        <f>IF(足元帳!U75="","",足元帳!U75)</f>
        <v/>
      </c>
      <c r="O75" s="125" t="str">
        <f>IF(足元帳!V75="","",足元帳!V75)</f>
        <v/>
      </c>
      <c r="P75" s="125" t="str">
        <f>IF(足元帳!W75="","",足元帳!W75)</f>
        <v/>
      </c>
      <c r="Q75" s="125" t="str">
        <f>IF(足元帳!X75="","",足元帳!X75)</f>
        <v/>
      </c>
      <c r="R75" s="125" t="str">
        <f>IF(足元帳!Y75="","",足元帳!Y75)</f>
        <v/>
      </c>
      <c r="S75" s="125" t="str">
        <f>IF(足元帳!Z75="","",足元帳!Z75)</f>
        <v/>
      </c>
      <c r="T75" s="125" t="str">
        <f>IF(足元帳!AT75="","",足元帳!AT75)</f>
        <v/>
      </c>
      <c r="U75" s="125" t="str">
        <f>IF(足元帳!AH75="●",足元帳!$AH$1&amp;足元帳!AW75,"")</f>
        <v/>
      </c>
      <c r="V75" s="125" t="str">
        <f>IF(足元帳!AI75="●",足元帳!$AI$1&amp;足元帳!AW75,"")</f>
        <v/>
      </c>
      <c r="W75" s="125" t="str">
        <f>IF(足元帳!AX75="","",足元帳!AX75)</f>
        <v/>
      </c>
      <c r="X75" s="125">
        <f>足元帳!BJ75</f>
        <v>0</v>
      </c>
      <c r="Y75" s="305" t="str">
        <f>"9時出勤"&amp;Z75&amp;"名9.5時"&amp;AA75&amp;"名"</f>
        <v>9時出勤0名9.5時0名</v>
      </c>
      <c r="Z75" s="307">
        <f>来店帰客表!B8</f>
        <v>0</v>
      </c>
      <c r="AA75" s="307">
        <v>0</v>
      </c>
      <c r="AI75" s="167">
        <f>SUMPRODUCT(($F$2:$F$258=AI62)*($T$2:$T$258=$AH$71)*($G$2:$G$258=$AG$71))</f>
        <v>0</v>
      </c>
      <c r="AJ75" s="167">
        <f>SUMPRODUCT(($F$2:$F$258=AJ62)*($T$2:$T$258=$AH$71)*($G$2:$G$258=$AG$71))</f>
        <v>0</v>
      </c>
      <c r="AK75" s="167">
        <f>SUMPRODUCT(($F$2:$F$258=AK62)*($T$2:$T$258=$AH$71)*($G$2:$G$258=$AG$71))</f>
        <v>0</v>
      </c>
      <c r="AL75" s="167">
        <f>SUMPRODUCT(($F$2:$F$258=AL62)*($T$2:$T$258=$AH$71)*($G$2:$G$258=$AG$71))</f>
        <v>0</v>
      </c>
    </row>
    <row r="76" spans="1:42" ht="13.15" customHeight="1">
      <c r="A76" s="126">
        <v>75</v>
      </c>
      <c r="B76" s="127" t="str">
        <f>IF(足元帳!K76="","",精算表!$W$1)</f>
        <v/>
      </c>
      <c r="C76" s="128" t="str">
        <f>IF(足元帳!K76="","",IF(足元帳!AY76=2,"R","N"))</f>
        <v/>
      </c>
      <c r="D76" s="128" t="str">
        <f>IF(足元帳!K76="","",IF(足元帳!AZ76=1,"姫",IF(足元帳!AZ76=2,"本指名",IF(足元帳!AZ76=3,"NET",IF(足元帳!AZ76=4,"写真","")))))</f>
        <v/>
      </c>
      <c r="E76" s="128" t="str">
        <f>IF(足元帳!K76="","",足元帳!K76)</f>
        <v/>
      </c>
      <c r="F76" s="128" t="str">
        <f>IF(足元帳!K76="","",IF(足元帳!BB76=1,45,IF(足元帳!BB76=2,60,IF(足元帳!BB76=3,75,IF(足元帳!BB76=4,90,IF(足元帳!BB76=5,120,IF(足元帳!BB76=6,150,IF(足元帳!BB76=7,180,""))))))))</f>
        <v/>
      </c>
      <c r="G76" s="128" t="str">
        <f>IF(足元帳!K76="","",足元帳!A76)</f>
        <v/>
      </c>
      <c r="H76" s="125" t="str">
        <f>IF(足元帳!AP76="","",$H$1)</f>
        <v/>
      </c>
      <c r="I76" s="125" t="str">
        <f>IF(足元帳!AQ76="","",$I$1)</f>
        <v/>
      </c>
      <c r="J76" s="125" t="str">
        <f>IF(足元帳!AR76="","",$J$1)</f>
        <v/>
      </c>
      <c r="K76" s="125" t="str">
        <f>IF(足元帳!AS76="","",$K$1)</f>
        <v/>
      </c>
      <c r="L76" s="291" t="str">
        <f>IF(COUNTIF(足元帳!AT76,"*複合*"),"複合","")</f>
        <v/>
      </c>
      <c r="M76" s="291" t="str">
        <f>IF(COUNTIF(足元帳!AT76,"*店頭本指名*"),"店頭本指名","")</f>
        <v/>
      </c>
      <c r="N76" s="125" t="str">
        <f>IF(足元帳!U76="","",足元帳!U76)</f>
        <v/>
      </c>
      <c r="O76" s="125" t="str">
        <f>IF(足元帳!V76="","",足元帳!V76)</f>
        <v/>
      </c>
      <c r="P76" s="125" t="str">
        <f>IF(足元帳!W76="","",足元帳!W76)</f>
        <v/>
      </c>
      <c r="Q76" s="125" t="str">
        <f>IF(足元帳!X76="","",足元帳!X76)</f>
        <v/>
      </c>
      <c r="R76" s="125" t="str">
        <f>IF(足元帳!Y76="","",足元帳!Y76)</f>
        <v/>
      </c>
      <c r="S76" s="125" t="str">
        <f>IF(足元帳!Z76="","",足元帳!Z76)</f>
        <v/>
      </c>
      <c r="T76" s="125" t="str">
        <f>IF(足元帳!AT76="","",足元帳!AT76)</f>
        <v/>
      </c>
      <c r="U76" s="125" t="str">
        <f>IF(足元帳!AH76="●",足元帳!$AH$1&amp;足元帳!AW76,"")</f>
        <v/>
      </c>
      <c r="V76" s="125" t="str">
        <f>IF(足元帳!AI76="●",足元帳!$AI$1&amp;足元帳!AW76,"")</f>
        <v/>
      </c>
      <c r="W76" s="125" t="str">
        <f>IF(足元帳!AX76="","",足元帳!AX76)</f>
        <v/>
      </c>
      <c r="X76" s="125">
        <f>足元帳!BJ76</f>
        <v>0</v>
      </c>
      <c r="Y76" s="305" t="str">
        <f>"10時出勤"&amp;Z76&amp;"名10.5時"&amp;AA76&amp;"名"</f>
        <v>10時出勤0名10.5時0名</v>
      </c>
      <c r="Z76" s="307">
        <f>MAX(来店帰客表!B9-来店帰客表!B8-AA75,0)</f>
        <v>0</v>
      </c>
      <c r="AA76" s="307">
        <v>0</v>
      </c>
      <c r="AI76" s="167">
        <f>SUMPRODUCT(($F$2:$F$258=AI62)*($T$2:$T$258=$AH$71)*($G$2:$G$258=$AG$72))</f>
        <v>0</v>
      </c>
      <c r="AJ76" s="167">
        <f>SUMPRODUCT(($F$2:$F$258=AJ62)*($T$2:$T$258=$AH$71)*($G$2:$G$258=$AG$72))</f>
        <v>0</v>
      </c>
      <c r="AK76" s="167">
        <f>SUMPRODUCT(($F$2:$F$258=AK62)*($T$2:$T$258=$AH$71)*($G$2:$G$258=$AG$72))</f>
        <v>0</v>
      </c>
      <c r="AL76" s="167">
        <f>SUMPRODUCT(($F$2:$F$258=AL62)*($T$2:$T$258=$AH$71)*($G$2:$G$258=$AG$72))</f>
        <v>0</v>
      </c>
    </row>
    <row r="77" spans="1:42" ht="13.15" customHeight="1">
      <c r="A77" s="126">
        <v>76</v>
      </c>
      <c r="B77" s="127" t="str">
        <f>IF(足元帳!K77="","",精算表!$W$1)</f>
        <v/>
      </c>
      <c r="C77" s="128" t="str">
        <f>IF(足元帳!K77="","",IF(足元帳!AY77=2,"R","N"))</f>
        <v/>
      </c>
      <c r="D77" s="128" t="str">
        <f>IF(足元帳!K77="","",IF(足元帳!AZ77=1,"姫",IF(足元帳!AZ77=2,"本指名",IF(足元帳!AZ77=3,"NET",IF(足元帳!AZ77=4,"写真","")))))</f>
        <v/>
      </c>
      <c r="E77" s="128" t="str">
        <f>IF(足元帳!K77="","",足元帳!K77)</f>
        <v/>
      </c>
      <c r="F77" s="128" t="str">
        <f>IF(足元帳!K77="","",IF(足元帳!BB77=1,45,IF(足元帳!BB77=2,60,IF(足元帳!BB77=3,75,IF(足元帳!BB77=4,90,IF(足元帳!BB77=5,120,IF(足元帳!BB77=6,150,IF(足元帳!BB77=7,180,""))))))))</f>
        <v/>
      </c>
      <c r="G77" s="128" t="str">
        <f>IF(足元帳!K77="","",足元帳!A77)</f>
        <v/>
      </c>
      <c r="H77" s="125" t="str">
        <f>IF(足元帳!AP77="","",$H$1)</f>
        <v/>
      </c>
      <c r="I77" s="125" t="str">
        <f>IF(足元帳!AQ77="","",$I$1)</f>
        <v/>
      </c>
      <c r="J77" s="125" t="str">
        <f>IF(足元帳!AR77="","",$J$1)</f>
        <v/>
      </c>
      <c r="K77" s="125" t="str">
        <f>IF(足元帳!AS77="","",$K$1)</f>
        <v/>
      </c>
      <c r="L77" s="291" t="str">
        <f>IF(COUNTIF(足元帳!AT77,"*複合*"),"複合","")</f>
        <v/>
      </c>
      <c r="M77" s="291" t="str">
        <f>IF(COUNTIF(足元帳!AT77,"*店頭本指名*"),"店頭本指名","")</f>
        <v/>
      </c>
      <c r="N77" s="125" t="str">
        <f>IF(足元帳!U77="","",足元帳!U77)</f>
        <v/>
      </c>
      <c r="O77" s="125" t="str">
        <f>IF(足元帳!V77="","",足元帳!V77)</f>
        <v/>
      </c>
      <c r="P77" s="125" t="str">
        <f>IF(足元帳!W77="","",足元帳!W77)</f>
        <v/>
      </c>
      <c r="Q77" s="125" t="str">
        <f>IF(足元帳!X77="","",足元帳!X77)</f>
        <v/>
      </c>
      <c r="R77" s="125" t="str">
        <f>IF(足元帳!Y77="","",足元帳!Y77)</f>
        <v/>
      </c>
      <c r="S77" s="125" t="str">
        <f>IF(足元帳!Z77="","",足元帳!Z77)</f>
        <v/>
      </c>
      <c r="T77" s="125" t="str">
        <f>IF(足元帳!AT77="","",足元帳!AT77)</f>
        <v/>
      </c>
      <c r="U77" s="125" t="str">
        <f>IF(足元帳!AH77="●",足元帳!$AH$1&amp;足元帳!AW77,"")</f>
        <v/>
      </c>
      <c r="V77" s="125" t="str">
        <f>IF(足元帳!AI77="●",足元帳!$AI$1&amp;足元帳!AW77,"")</f>
        <v/>
      </c>
      <c r="W77" s="125" t="str">
        <f>IF(足元帳!AX77="","",足元帳!AX77)</f>
        <v/>
      </c>
      <c r="X77" s="125">
        <f>足元帳!BJ77</f>
        <v>0</v>
      </c>
      <c r="Y77" s="305" t="str">
        <f>"11時出勤"&amp;Z77&amp;"名11.5時"&amp;AA77&amp;"名"</f>
        <v>11時出勤0名11.5時0名</v>
      </c>
      <c r="Z77" s="307">
        <f>MAX(来店帰客表!B10-来店帰客表!B9-AA76,0)</f>
        <v>0</v>
      </c>
      <c r="AA77" s="307">
        <v>0</v>
      </c>
      <c r="AI77" s="208">
        <f>SUM(AI74:AI76)</f>
        <v>0</v>
      </c>
      <c r="AJ77" s="209">
        <f t="shared" ref="AJ77:AL77" si="18">SUM(AJ74:AJ76)</f>
        <v>0</v>
      </c>
      <c r="AK77" s="209">
        <f t="shared" si="18"/>
        <v>0</v>
      </c>
      <c r="AL77" s="210">
        <f t="shared" si="18"/>
        <v>0</v>
      </c>
    </row>
    <row r="78" spans="1:42" ht="13.15" customHeight="1" thickBot="1">
      <c r="A78" s="126">
        <v>77</v>
      </c>
      <c r="B78" s="127" t="str">
        <f>IF(足元帳!K78="","",精算表!$W$1)</f>
        <v/>
      </c>
      <c r="C78" s="128" t="str">
        <f>IF(足元帳!K78="","",IF(足元帳!AY78=2,"R","N"))</f>
        <v/>
      </c>
      <c r="D78" s="128" t="str">
        <f>IF(足元帳!K78="","",IF(足元帳!AZ78=1,"姫",IF(足元帳!AZ78=2,"本指名",IF(足元帳!AZ78=3,"NET",IF(足元帳!AZ78=4,"写真","")))))</f>
        <v/>
      </c>
      <c r="E78" s="128" t="str">
        <f>IF(足元帳!K78="","",足元帳!K78)</f>
        <v/>
      </c>
      <c r="F78" s="128" t="str">
        <f>IF(足元帳!K78="","",IF(足元帳!BB78=1,45,IF(足元帳!BB78=2,60,IF(足元帳!BB78=3,75,IF(足元帳!BB78=4,90,IF(足元帳!BB78=5,120,IF(足元帳!BB78=6,150,IF(足元帳!BB78=7,180,""))))))))</f>
        <v/>
      </c>
      <c r="G78" s="128" t="str">
        <f>IF(足元帳!K78="","",足元帳!A78)</f>
        <v/>
      </c>
      <c r="H78" s="125" t="str">
        <f>IF(足元帳!AP78="","",$H$1)</f>
        <v/>
      </c>
      <c r="I78" s="125" t="str">
        <f>IF(足元帳!AQ78="","",$I$1)</f>
        <v/>
      </c>
      <c r="J78" s="125" t="str">
        <f>IF(足元帳!AR78="","",$J$1)</f>
        <v/>
      </c>
      <c r="K78" s="125" t="str">
        <f>IF(足元帳!AS78="","",$K$1)</f>
        <v/>
      </c>
      <c r="L78" s="291" t="str">
        <f>IF(COUNTIF(足元帳!AT78,"*複合*"),"複合","")</f>
        <v/>
      </c>
      <c r="M78" s="291" t="str">
        <f>IF(COUNTIF(足元帳!AT78,"*店頭本指名*"),"店頭本指名","")</f>
        <v/>
      </c>
      <c r="N78" s="125" t="str">
        <f>IF(足元帳!U78="","",足元帳!U78)</f>
        <v/>
      </c>
      <c r="O78" s="125" t="str">
        <f>IF(足元帳!V78="","",足元帳!V78)</f>
        <v/>
      </c>
      <c r="P78" s="125" t="str">
        <f>IF(足元帳!W78="","",足元帳!W78)</f>
        <v/>
      </c>
      <c r="Q78" s="125" t="str">
        <f>IF(足元帳!X78="","",足元帳!X78)</f>
        <v/>
      </c>
      <c r="R78" s="125" t="str">
        <f>IF(足元帳!Y78="","",足元帳!Y78)</f>
        <v/>
      </c>
      <c r="S78" s="125" t="str">
        <f>IF(足元帳!Z78="","",足元帳!Z78)</f>
        <v/>
      </c>
      <c r="T78" s="125" t="str">
        <f>IF(足元帳!AT78="","",足元帳!AT78)</f>
        <v/>
      </c>
      <c r="U78" s="125" t="str">
        <f>IF(足元帳!AH78="●",足元帳!$AH$1&amp;足元帳!AW78,"")</f>
        <v/>
      </c>
      <c r="V78" s="125" t="str">
        <f>IF(足元帳!AI78="●",足元帳!$AI$1&amp;足元帳!AW78,"")</f>
        <v/>
      </c>
      <c r="W78" s="125" t="str">
        <f>IF(足元帳!AX78="","",足元帳!AX78)</f>
        <v/>
      </c>
      <c r="X78" s="125">
        <f>足元帳!BJ78</f>
        <v>0</v>
      </c>
      <c r="Y78" s="305" t="str">
        <f>"受付合計"&amp;Z75+AA75+Z76+AA76+Z77+AA77&amp;"名"</f>
        <v>受付合計0名</v>
      </c>
      <c r="Z78" s="305"/>
      <c r="AA78" s="305"/>
    </row>
    <row r="79" spans="1:42" ht="13.15" customHeight="1" thickBot="1">
      <c r="A79" s="126">
        <v>78</v>
      </c>
      <c r="B79" s="127" t="str">
        <f>IF(足元帳!K79="","",精算表!$W$1)</f>
        <v/>
      </c>
      <c r="C79" s="128" t="str">
        <f>IF(足元帳!K79="","",IF(足元帳!AY79=2,"R","N"))</f>
        <v/>
      </c>
      <c r="D79" s="128" t="str">
        <f>IF(足元帳!K79="","",IF(足元帳!AZ79=1,"姫",IF(足元帳!AZ79=2,"本指名",IF(足元帳!AZ79=3,"NET",IF(足元帳!AZ79=4,"写真","")))))</f>
        <v/>
      </c>
      <c r="E79" s="128" t="str">
        <f>IF(足元帳!K79="","",足元帳!K79)</f>
        <v/>
      </c>
      <c r="F79" s="128" t="str">
        <f>IF(足元帳!K79="","",IF(足元帳!BB79=1,45,IF(足元帳!BB79=2,60,IF(足元帳!BB79=3,75,IF(足元帳!BB79=4,90,IF(足元帳!BB79=5,120,IF(足元帳!BB79=6,150,IF(足元帳!BB79=7,180,""))))))))</f>
        <v/>
      </c>
      <c r="G79" s="128" t="str">
        <f>IF(足元帳!K79="","",足元帳!A79)</f>
        <v/>
      </c>
      <c r="H79" s="125" t="str">
        <f>IF(足元帳!AP79="","",$H$1)</f>
        <v/>
      </c>
      <c r="I79" s="125" t="str">
        <f>IF(足元帳!AQ79="","",$I$1)</f>
        <v/>
      </c>
      <c r="J79" s="125" t="str">
        <f>IF(足元帳!AR79="","",$J$1)</f>
        <v/>
      </c>
      <c r="K79" s="125" t="str">
        <f>IF(足元帳!AS79="","",$K$1)</f>
        <v/>
      </c>
      <c r="L79" s="291" t="str">
        <f>IF(COUNTIF(足元帳!AT79,"*複合*"),"複合","")</f>
        <v/>
      </c>
      <c r="M79" s="291" t="str">
        <f>IF(COUNTIF(足元帳!AT79,"*店頭本指名*"),"店頭本指名","")</f>
        <v/>
      </c>
      <c r="N79" s="125" t="str">
        <f>IF(足元帳!U79="","",足元帳!U79)</f>
        <v/>
      </c>
      <c r="O79" s="125" t="str">
        <f>IF(足元帳!V79="","",足元帳!V79)</f>
        <v/>
      </c>
      <c r="P79" s="125" t="str">
        <f>IF(足元帳!W79="","",足元帳!W79)</f>
        <v/>
      </c>
      <c r="Q79" s="125" t="str">
        <f>IF(足元帳!X79="","",足元帳!X79)</f>
        <v/>
      </c>
      <c r="R79" s="125" t="str">
        <f>IF(足元帳!Y79="","",足元帳!Y79)</f>
        <v/>
      </c>
      <c r="S79" s="125" t="str">
        <f>IF(足元帳!Z79="","",足元帳!Z79)</f>
        <v/>
      </c>
      <c r="T79" s="125" t="str">
        <f>IF(足元帳!AT79="","",足元帳!AT79)</f>
        <v/>
      </c>
      <c r="U79" s="125" t="str">
        <f>IF(足元帳!AH79="●",足元帳!$AH$1&amp;足元帳!AW79,"")</f>
        <v/>
      </c>
      <c r="V79" s="125" t="str">
        <f>IF(足元帳!AI79="●",足元帳!$AI$1&amp;足元帳!AW79,"")</f>
        <v/>
      </c>
      <c r="W79" s="125" t="str">
        <f>IF(足元帳!AX79="","",足元帳!AX79)</f>
        <v/>
      </c>
      <c r="X79" s="125">
        <f>足元帳!BJ79</f>
        <v>0</v>
      </c>
      <c r="Y79" s="305" t="str">
        <f>Y11</f>
        <v>当日欠勤0名</v>
      </c>
      <c r="Z79" s="317"/>
      <c r="AA79" s="305"/>
    </row>
    <row r="80" spans="1:42" ht="13.15" customHeight="1">
      <c r="A80" s="126">
        <v>79</v>
      </c>
      <c r="B80" s="127" t="str">
        <f>IF(足元帳!K80="","",精算表!$W$1)</f>
        <v/>
      </c>
      <c r="C80" s="128" t="str">
        <f>IF(足元帳!K80="","",IF(足元帳!AY80=2,"R","N"))</f>
        <v/>
      </c>
      <c r="D80" s="128" t="str">
        <f>IF(足元帳!K80="","",IF(足元帳!AZ80=1,"姫",IF(足元帳!AZ80=2,"本指名",IF(足元帳!AZ80=3,"NET",IF(足元帳!AZ80=4,"写真","")))))</f>
        <v/>
      </c>
      <c r="E80" s="128" t="str">
        <f>IF(足元帳!K80="","",足元帳!K80)</f>
        <v/>
      </c>
      <c r="F80" s="128" t="str">
        <f>IF(足元帳!K80="","",IF(足元帳!BB80=1,45,IF(足元帳!BB80=2,60,IF(足元帳!BB80=3,75,IF(足元帳!BB80=4,90,IF(足元帳!BB80=5,120,IF(足元帳!BB80=6,150,IF(足元帳!BB80=7,180,""))))))))</f>
        <v/>
      </c>
      <c r="G80" s="128" t="str">
        <f>IF(足元帳!K80="","",足元帳!A80)</f>
        <v/>
      </c>
      <c r="H80" s="125" t="str">
        <f>IF(足元帳!AP80="","",$H$1)</f>
        <v/>
      </c>
      <c r="I80" s="125" t="str">
        <f>IF(足元帳!AQ80="","",$I$1)</f>
        <v/>
      </c>
      <c r="J80" s="125" t="str">
        <f>IF(足元帳!AR80="","",$J$1)</f>
        <v/>
      </c>
      <c r="K80" s="125" t="str">
        <f>IF(足元帳!AS80="","",$K$1)</f>
        <v/>
      </c>
      <c r="L80" s="291" t="str">
        <f>IF(COUNTIF(足元帳!AT80,"*複合*"),"複合","")</f>
        <v/>
      </c>
      <c r="M80" s="291" t="str">
        <f>IF(COUNTIF(足元帳!AT80,"*店頭本指名*"),"店頭本指名","")</f>
        <v/>
      </c>
      <c r="N80" s="125" t="str">
        <f>IF(足元帳!U80="","",足元帳!U80)</f>
        <v/>
      </c>
      <c r="O80" s="125" t="str">
        <f>IF(足元帳!V80="","",足元帳!V80)</f>
        <v/>
      </c>
      <c r="P80" s="125" t="str">
        <f>IF(足元帳!W80="","",足元帳!W80)</f>
        <v/>
      </c>
      <c r="Q80" s="125" t="str">
        <f>IF(足元帳!X80="","",足元帳!X80)</f>
        <v/>
      </c>
      <c r="R80" s="125" t="str">
        <f>IF(足元帳!Y80="","",足元帳!Y80)</f>
        <v/>
      </c>
      <c r="S80" s="125" t="str">
        <f>IF(足元帳!Z80="","",足元帳!Z80)</f>
        <v/>
      </c>
      <c r="T80" s="125" t="str">
        <f>IF(足元帳!AT80="","",足元帳!AT80)</f>
        <v/>
      </c>
      <c r="U80" s="125" t="str">
        <f>IF(足元帳!AH80="●",足元帳!$AH$1&amp;足元帳!AW80,"")</f>
        <v/>
      </c>
      <c r="V80" s="125" t="str">
        <f>IF(足元帳!AI80="●",足元帳!$AI$1&amp;足元帳!AW80,"")</f>
        <v/>
      </c>
      <c r="W80" s="125" t="str">
        <f>IF(足元帳!AX80="","",足元帳!AX80)</f>
        <v/>
      </c>
      <c r="X80" s="125">
        <f>足元帳!BJ80</f>
        <v>0</v>
      </c>
      <c r="Y80" s="318" t="str">
        <f>Y12</f>
        <v>遅刻0名</v>
      </c>
      <c r="Z80" s="318"/>
      <c r="AA80" s="318"/>
    </row>
    <row r="81" spans="1:55" ht="13.15" customHeight="1">
      <c r="A81" s="126">
        <v>80</v>
      </c>
      <c r="B81" s="127" t="str">
        <f>IF(足元帳!K81="","",精算表!$W$1)</f>
        <v/>
      </c>
      <c r="C81" s="128" t="str">
        <f>IF(足元帳!K81="","",IF(足元帳!AY81=2,"R","N"))</f>
        <v/>
      </c>
      <c r="D81" s="128" t="str">
        <f>IF(足元帳!K81="","",IF(足元帳!AZ81=1,"姫",IF(足元帳!AZ81=2,"本指名",IF(足元帳!AZ81=3,"NET",IF(足元帳!AZ81=4,"写真","")))))</f>
        <v/>
      </c>
      <c r="E81" s="128" t="str">
        <f>IF(足元帳!K81="","",足元帳!K81)</f>
        <v/>
      </c>
      <c r="F81" s="128" t="str">
        <f>IF(足元帳!K81="","",IF(足元帳!BB81=1,45,IF(足元帳!BB81=2,60,IF(足元帳!BB81=3,75,IF(足元帳!BB81=4,90,IF(足元帳!BB81=5,120,IF(足元帳!BB81=6,150,IF(足元帳!BB81=7,180,""))))))))</f>
        <v/>
      </c>
      <c r="G81" s="128" t="str">
        <f>IF(足元帳!K81="","",足元帳!A81)</f>
        <v/>
      </c>
      <c r="H81" s="125" t="str">
        <f>IF(足元帳!AP81="","",$H$1)</f>
        <v/>
      </c>
      <c r="I81" s="125" t="str">
        <f>IF(足元帳!AQ81="","",$I$1)</f>
        <v/>
      </c>
      <c r="J81" s="125" t="str">
        <f>IF(足元帳!AR81="","",$J$1)</f>
        <v/>
      </c>
      <c r="K81" s="125" t="str">
        <f>IF(足元帳!AS81="","",$K$1)</f>
        <v/>
      </c>
      <c r="L81" s="291" t="str">
        <f>IF(COUNTIF(足元帳!AT81,"*複合*"),"複合","")</f>
        <v/>
      </c>
      <c r="M81" s="291" t="str">
        <f>IF(COUNTIF(足元帳!AT81,"*店頭本指名*"),"店頭本指名","")</f>
        <v/>
      </c>
      <c r="N81" s="125" t="str">
        <f>IF(足元帳!U81="","",足元帳!U81)</f>
        <v/>
      </c>
      <c r="O81" s="125" t="str">
        <f>IF(足元帳!V81="","",足元帳!V81)</f>
        <v/>
      </c>
      <c r="P81" s="125" t="str">
        <f>IF(足元帳!W81="","",足元帳!W81)</f>
        <v/>
      </c>
      <c r="Q81" s="125" t="str">
        <f>IF(足元帳!X81="","",足元帳!X81)</f>
        <v/>
      </c>
      <c r="R81" s="125" t="str">
        <f>IF(足元帳!Y81="","",足元帳!Y81)</f>
        <v/>
      </c>
      <c r="S81" s="125" t="str">
        <f>IF(足元帳!Z81="","",足元帳!Z81)</f>
        <v/>
      </c>
      <c r="T81" s="125" t="str">
        <f>IF(足元帳!AT81="","",足元帳!AT81)</f>
        <v/>
      </c>
      <c r="U81" s="125" t="str">
        <f>IF(足元帳!AH81="●",足元帳!$AH$1&amp;足元帳!AW81,"")</f>
        <v/>
      </c>
      <c r="V81" s="125" t="str">
        <f>IF(足元帳!AI81="●",足元帳!$AI$1&amp;足元帳!AW81,"")</f>
        <v/>
      </c>
      <c r="W81" s="125" t="str">
        <f>IF(足元帳!AX81="","",足元帳!AX81)</f>
        <v/>
      </c>
      <c r="X81" s="125">
        <f>足元帳!BJ81</f>
        <v>0</v>
      </c>
      <c r="Y81" s="305" t="str">
        <f>"有効部屋数"&amp;AA81&amp;"％"</f>
        <v>有効部屋数0％</v>
      </c>
      <c r="Z81" s="319">
        <f>(来店帰客表!B8+来店帰客表!B9+来店帰客表!B10+Z79)/36</f>
        <v>0</v>
      </c>
      <c r="AA81" s="319">
        <f>ROUNDDOWN(Z81,2)*100</f>
        <v>0</v>
      </c>
    </row>
    <row r="82" spans="1:55" ht="13.15" customHeight="1">
      <c r="A82" s="126">
        <v>81</v>
      </c>
      <c r="B82" s="127" t="str">
        <f>IF(足元帳!K82="","",精算表!$W$1)</f>
        <v/>
      </c>
      <c r="C82" s="128" t="str">
        <f>IF(足元帳!K82="","",IF(足元帳!AY82=2,"R","N"))</f>
        <v/>
      </c>
      <c r="D82" s="128" t="str">
        <f>IF(足元帳!K82="","",IF(足元帳!AZ82=1,"姫",IF(足元帳!AZ82=2,"本指名",IF(足元帳!AZ82=3,"NET",IF(足元帳!AZ82=4,"写真","")))))</f>
        <v/>
      </c>
      <c r="E82" s="128" t="str">
        <f>IF(足元帳!K82="","",足元帳!K82)</f>
        <v/>
      </c>
      <c r="F82" s="128" t="str">
        <f>IF(足元帳!K82="","",IF(足元帳!BB82=1,45,IF(足元帳!BB82=2,60,IF(足元帳!BB82=3,75,IF(足元帳!BB82=4,90,IF(足元帳!BB82=5,120,IF(足元帳!BB82=6,150,IF(足元帳!BB82=7,180,""))))))))</f>
        <v/>
      </c>
      <c r="G82" s="128" t="str">
        <f>IF(足元帳!K82="","",足元帳!A82)</f>
        <v/>
      </c>
      <c r="H82" s="125" t="str">
        <f>IF(足元帳!AP82="","",$H$1)</f>
        <v/>
      </c>
      <c r="I82" s="125" t="str">
        <f>IF(足元帳!AQ82="","",$I$1)</f>
        <v/>
      </c>
      <c r="J82" s="125" t="str">
        <f>IF(足元帳!AR82="","",$J$1)</f>
        <v/>
      </c>
      <c r="K82" s="125" t="str">
        <f>IF(足元帳!AS82="","",$K$1)</f>
        <v/>
      </c>
      <c r="L82" s="291" t="str">
        <f>IF(COUNTIF(足元帳!AT82,"*複合*"),"複合","")</f>
        <v/>
      </c>
      <c r="M82" s="291" t="str">
        <f>IF(COUNTIF(足元帳!AT82,"*店頭本指名*"),"店頭本指名","")</f>
        <v/>
      </c>
      <c r="N82" s="125" t="str">
        <f>IF(足元帳!U82="","",足元帳!U82)</f>
        <v/>
      </c>
      <c r="O82" s="125" t="str">
        <f>IF(足元帳!V82="","",足元帳!V82)</f>
        <v/>
      </c>
      <c r="P82" s="125" t="str">
        <f>IF(足元帳!W82="","",足元帳!W82)</f>
        <v/>
      </c>
      <c r="Q82" s="125" t="str">
        <f>IF(足元帳!X82="","",足元帳!X82)</f>
        <v/>
      </c>
      <c r="R82" s="125" t="str">
        <f>IF(足元帳!Y82="","",足元帳!Y82)</f>
        <v/>
      </c>
      <c r="S82" s="125" t="str">
        <f>IF(足元帳!Z82="","",足元帳!Z82)</f>
        <v/>
      </c>
      <c r="T82" s="125" t="str">
        <f>IF(足元帳!AT82="","",足元帳!AT82)</f>
        <v/>
      </c>
      <c r="U82" s="125" t="str">
        <f>IF(足元帳!AH82="●",足元帳!$AH$1&amp;足元帳!AW82,"")</f>
        <v/>
      </c>
      <c r="V82" s="125" t="str">
        <f>IF(足元帳!AI82="●",足元帳!$AI$1&amp;足元帳!AW82,"")</f>
        <v/>
      </c>
      <c r="W82" s="125" t="str">
        <f>IF(足元帳!AX82="","",足元帳!AX82)</f>
        <v/>
      </c>
      <c r="X82" s="125">
        <f>足元帳!BJ82</f>
        <v>0</v>
      </c>
      <c r="Y82" s="305" t="s">
        <v>274</v>
      </c>
      <c r="Z82" s="305"/>
      <c r="AA82" s="305"/>
    </row>
    <row r="83" spans="1:55" ht="13.15" customHeight="1">
      <c r="A83" s="126">
        <v>82</v>
      </c>
      <c r="B83" s="127" t="str">
        <f>IF(足元帳!K83="","",精算表!$W$1)</f>
        <v/>
      </c>
      <c r="C83" s="128" t="str">
        <f>IF(足元帳!K83="","",IF(足元帳!AY83=2,"R","N"))</f>
        <v/>
      </c>
      <c r="D83" s="128" t="str">
        <f>IF(足元帳!K83="","",IF(足元帳!AZ83=1,"姫",IF(足元帳!AZ83=2,"本指名",IF(足元帳!AZ83=3,"NET",IF(足元帳!AZ83=4,"写真","")))))</f>
        <v/>
      </c>
      <c r="E83" s="128" t="str">
        <f>IF(足元帳!K83="","",足元帳!K83)</f>
        <v/>
      </c>
      <c r="F83" s="128" t="str">
        <f>IF(足元帳!K83="","",IF(足元帳!BB83=1,45,IF(足元帳!BB83=2,60,IF(足元帳!BB83=3,75,IF(足元帳!BB83=4,90,IF(足元帳!BB83=5,120,IF(足元帳!BB83=6,150,IF(足元帳!BB83=7,180,""))))))))</f>
        <v/>
      </c>
      <c r="G83" s="128" t="str">
        <f>IF(足元帳!K83="","",足元帳!A83)</f>
        <v/>
      </c>
      <c r="H83" s="125" t="str">
        <f>IF(足元帳!AP83="","",$H$1)</f>
        <v/>
      </c>
      <c r="I83" s="125" t="str">
        <f>IF(足元帳!AQ83="","",$I$1)</f>
        <v/>
      </c>
      <c r="J83" s="125" t="str">
        <f>IF(足元帳!AR83="","",$J$1)</f>
        <v/>
      </c>
      <c r="K83" s="125" t="str">
        <f>IF(足元帳!AS83="","",$K$1)</f>
        <v/>
      </c>
      <c r="L83" s="291" t="str">
        <f>IF(COUNTIF(足元帳!AT83,"*複合*"),"複合","")</f>
        <v/>
      </c>
      <c r="M83" s="291" t="str">
        <f>IF(COUNTIF(足元帳!AT83,"*店頭本指名*"),"店頭本指名","")</f>
        <v/>
      </c>
      <c r="N83" s="125" t="str">
        <f>IF(足元帳!U83="","",足元帳!U83)</f>
        <v/>
      </c>
      <c r="O83" s="125" t="str">
        <f>IF(足元帳!V83="","",足元帳!V83)</f>
        <v/>
      </c>
      <c r="P83" s="125" t="str">
        <f>IF(足元帳!W83="","",足元帳!W83)</f>
        <v/>
      </c>
      <c r="Q83" s="125" t="str">
        <f>IF(足元帳!X83="","",足元帳!X83)</f>
        <v/>
      </c>
      <c r="R83" s="125" t="str">
        <f>IF(足元帳!Y83="","",足元帳!Y83)</f>
        <v/>
      </c>
      <c r="S83" s="125" t="str">
        <f>IF(足元帳!Z83="","",足元帳!Z83)</f>
        <v/>
      </c>
      <c r="T83" s="125" t="str">
        <f>IF(足元帳!AT83="","",足元帳!AT83)</f>
        <v/>
      </c>
      <c r="U83" s="125" t="str">
        <f>IF(足元帳!AH83="●",足元帳!$AH$1&amp;足元帳!AW83,"")</f>
        <v/>
      </c>
      <c r="V83" s="125" t="str">
        <f>IF(足元帳!AI83="●",足元帳!$AI$1&amp;足元帳!AW83,"")</f>
        <v/>
      </c>
      <c r="W83" s="125" t="str">
        <f>IF(足元帳!AX83="","",足元帳!AX83)</f>
        <v/>
      </c>
      <c r="X83" s="125">
        <f>足元帳!BJ83</f>
        <v>0</v>
      </c>
      <c r="Y83" s="305" t="str">
        <f>AH68&amp;"/"&amp;AI68&amp;"/"&amp;AJ68&amp;"/"&amp;AK68&amp;"/"&amp;AL68&amp;"（"&amp;"0"&amp;"/"&amp;AI61&amp;"/"&amp;AJ61&amp;"/"&amp;AK61&amp;"/"&amp;AL61&amp;"）"</f>
        <v>0/0/0/0/0（0/0/0/0/0）</v>
      </c>
      <c r="Z83" s="305"/>
      <c r="AA83" s="305"/>
    </row>
    <row r="84" spans="1:55" ht="13.15" customHeight="1">
      <c r="A84" s="126">
        <v>83</v>
      </c>
      <c r="B84" s="127" t="str">
        <f>IF(足元帳!K84="","",精算表!$W$1)</f>
        <v/>
      </c>
      <c r="C84" s="128" t="str">
        <f>IF(足元帳!K84="","",IF(足元帳!AY84=2,"R","N"))</f>
        <v/>
      </c>
      <c r="D84" s="128" t="str">
        <f>IF(足元帳!K84="","",IF(足元帳!AZ84=1,"姫",IF(足元帳!AZ84=2,"本指名",IF(足元帳!AZ84=3,"NET",IF(足元帳!AZ84=4,"写真","")))))</f>
        <v/>
      </c>
      <c r="E84" s="128" t="str">
        <f>IF(足元帳!K84="","",足元帳!K84)</f>
        <v/>
      </c>
      <c r="F84" s="128" t="str">
        <f>IF(足元帳!K84="","",IF(足元帳!BB84=1,45,IF(足元帳!BB84=2,60,IF(足元帳!BB84=3,75,IF(足元帳!BB84=4,90,IF(足元帳!BB84=5,120,IF(足元帳!BB84=6,150,IF(足元帳!BB84=7,180,""))))))))</f>
        <v/>
      </c>
      <c r="G84" s="128" t="str">
        <f>IF(足元帳!K84="","",足元帳!A84)</f>
        <v/>
      </c>
      <c r="H84" s="125" t="str">
        <f>IF(足元帳!AP84="","",$H$1)</f>
        <v/>
      </c>
      <c r="I84" s="125" t="str">
        <f>IF(足元帳!AQ84="","",$I$1)</f>
        <v/>
      </c>
      <c r="J84" s="125" t="str">
        <f>IF(足元帳!AR84="","",$J$1)</f>
        <v/>
      </c>
      <c r="K84" s="125" t="str">
        <f>IF(足元帳!AS84="","",$K$1)</f>
        <v/>
      </c>
      <c r="L84" s="291" t="str">
        <f>IF(COUNTIF(足元帳!AT84,"*複合*"),"複合","")</f>
        <v/>
      </c>
      <c r="M84" s="291" t="str">
        <f>IF(COUNTIF(足元帳!AT84,"*店頭本指名*"),"店頭本指名","")</f>
        <v/>
      </c>
      <c r="N84" s="125" t="str">
        <f>IF(足元帳!U84="","",足元帳!U84)</f>
        <v/>
      </c>
      <c r="O84" s="125" t="str">
        <f>IF(足元帳!V84="","",足元帳!V84)</f>
        <v/>
      </c>
      <c r="P84" s="125" t="str">
        <f>IF(足元帳!W84="","",足元帳!W84)</f>
        <v/>
      </c>
      <c r="Q84" s="125" t="str">
        <f>IF(足元帳!X84="","",足元帳!X84)</f>
        <v/>
      </c>
      <c r="R84" s="125" t="str">
        <f>IF(足元帳!Y84="","",足元帳!Y84)</f>
        <v/>
      </c>
      <c r="S84" s="125" t="str">
        <f>IF(足元帳!Z84="","",足元帳!Z84)</f>
        <v/>
      </c>
      <c r="T84" s="125" t="str">
        <f>IF(足元帳!AT84="","",足元帳!AT84)</f>
        <v/>
      </c>
      <c r="U84" s="125" t="str">
        <f>IF(足元帳!AH84="●",足元帳!$AH$1&amp;足元帳!AW84,"")</f>
        <v/>
      </c>
      <c r="V84" s="125" t="str">
        <f>IF(足元帳!AI84="●",足元帳!$AI$1&amp;足元帳!AW84,"")</f>
        <v/>
      </c>
      <c r="W84" s="125" t="str">
        <f>IF(足元帳!AX84="","",足元帳!AX84)</f>
        <v/>
      </c>
      <c r="X84" s="125">
        <f>足元帳!BJ84</f>
        <v>0</v>
      </c>
      <c r="Y84" s="305" t="str">
        <f>AF68&amp;"本"&amp;"/"&amp;AG68&amp;"pt"&amp;"（"&amp;精算表!BK23&amp;"本/"&amp;(AI61)+(AJ61)*1.25+(AK61)*1.5+(AL61)*2&amp;"pt"&amp;"）"</f>
        <v>0本/0pt（0本/0pt）</v>
      </c>
      <c r="Z84" s="305"/>
      <c r="AA84" s="305"/>
    </row>
    <row r="85" spans="1:55" ht="13.15" customHeight="1">
      <c r="A85" s="126">
        <v>84</v>
      </c>
      <c r="B85" s="127" t="str">
        <f>IF(足元帳!K85="","",精算表!$W$1)</f>
        <v/>
      </c>
      <c r="C85" s="128" t="str">
        <f>IF(足元帳!K85="","",IF(足元帳!AY85=2,"R","N"))</f>
        <v/>
      </c>
      <c r="D85" s="128" t="str">
        <f>IF(足元帳!K85="","",IF(足元帳!AZ85=1,"姫",IF(足元帳!AZ85=2,"本指名",IF(足元帳!AZ85=3,"NET",IF(足元帳!AZ85=4,"写真","")))))</f>
        <v/>
      </c>
      <c r="E85" s="128" t="str">
        <f>IF(足元帳!K85="","",足元帳!K85)</f>
        <v/>
      </c>
      <c r="F85" s="128" t="str">
        <f>IF(足元帳!K85="","",IF(足元帳!BB85=1,45,IF(足元帳!BB85=2,60,IF(足元帳!BB85=3,75,IF(足元帳!BB85=4,90,IF(足元帳!BB85=5,120,IF(足元帳!BB85=6,150,IF(足元帳!BB85=7,180,""))))))))</f>
        <v/>
      </c>
      <c r="G85" s="128" t="str">
        <f>IF(足元帳!K85="","",足元帳!A85)</f>
        <v/>
      </c>
      <c r="H85" s="125" t="str">
        <f>IF(足元帳!AP85="","",$H$1)</f>
        <v/>
      </c>
      <c r="I85" s="125" t="str">
        <f>IF(足元帳!AQ85="","",$I$1)</f>
        <v/>
      </c>
      <c r="J85" s="125" t="str">
        <f>IF(足元帳!AR85="","",$J$1)</f>
        <v/>
      </c>
      <c r="K85" s="125" t="str">
        <f>IF(足元帳!AS85="","",$K$1)</f>
        <v/>
      </c>
      <c r="L85" s="291" t="str">
        <f>IF(COUNTIF(足元帳!AT85,"*複合*"),"複合","")</f>
        <v/>
      </c>
      <c r="M85" s="291" t="str">
        <f>IF(COUNTIF(足元帳!AT85,"*店頭本指名*"),"店頭本指名","")</f>
        <v/>
      </c>
      <c r="N85" s="125" t="str">
        <f>IF(足元帳!U85="","",足元帳!U85)</f>
        <v/>
      </c>
      <c r="O85" s="125" t="str">
        <f>IF(足元帳!V85="","",足元帳!V85)</f>
        <v/>
      </c>
      <c r="P85" s="125" t="str">
        <f>IF(足元帳!W85="","",足元帳!W85)</f>
        <v/>
      </c>
      <c r="Q85" s="125" t="str">
        <f>IF(足元帳!X85="","",足元帳!X85)</f>
        <v/>
      </c>
      <c r="R85" s="125" t="str">
        <f>IF(足元帳!Y85="","",足元帳!Y85)</f>
        <v/>
      </c>
      <c r="S85" s="125" t="str">
        <f>IF(足元帳!Z85="","",足元帳!Z85)</f>
        <v/>
      </c>
      <c r="T85" s="125" t="str">
        <f>IF(足元帳!AT85="","",足元帳!AT85)</f>
        <v/>
      </c>
      <c r="U85" s="125" t="str">
        <f>IF(足元帳!AH85="●",足元帳!$AH$1&amp;足元帳!AW85,"")</f>
        <v/>
      </c>
      <c r="V85" s="125" t="str">
        <f>IF(足元帳!AI85="●",足元帳!$AI$1&amp;足元帳!AW85,"")</f>
        <v/>
      </c>
      <c r="W85" s="125" t="str">
        <f>IF(足元帳!AX85="","",足元帳!AX85)</f>
        <v/>
      </c>
      <c r="X85" s="125">
        <f>足元帳!BJ85</f>
        <v>0</v>
      </c>
      <c r="Y85" s="305" t="str">
        <f>"店舗稼働率　"&amp;AA85&amp;"％"</f>
        <v>店舗稼働率　0％</v>
      </c>
      <c r="Z85" s="305">
        <f>(AH68*45+AI68*60+AJ68*75+AK68*90+AL68*120)/2160</f>
        <v>0</v>
      </c>
      <c r="AA85" s="305">
        <f>ROUNDDOWN(Z85,2)*100</f>
        <v>0</v>
      </c>
    </row>
    <row r="86" spans="1:55" ht="13.15" customHeight="1">
      <c r="A86" s="126">
        <v>85</v>
      </c>
      <c r="B86" s="127" t="str">
        <f>IF(足元帳!K86="","",精算表!$W$1)</f>
        <v/>
      </c>
      <c r="C86" s="128" t="str">
        <f>IF(足元帳!K86="","",IF(足元帳!AY86=2,"R","N"))</f>
        <v/>
      </c>
      <c r="D86" s="128" t="str">
        <f>IF(足元帳!K86="","",IF(足元帳!AZ86=1,"姫",IF(足元帳!AZ86=2,"本指名",IF(足元帳!AZ86=3,"NET",IF(足元帳!AZ86=4,"写真","")))))</f>
        <v/>
      </c>
      <c r="E86" s="128" t="str">
        <f>IF(足元帳!K86="","",足元帳!K86)</f>
        <v/>
      </c>
      <c r="F86" s="128" t="str">
        <f>IF(足元帳!K86="","",IF(足元帳!BB86=1,45,IF(足元帳!BB86=2,60,IF(足元帳!BB86=3,75,IF(足元帳!BB86=4,90,IF(足元帳!BB86=5,120,IF(足元帳!BB86=6,150,IF(足元帳!BB86=7,180,""))))))))</f>
        <v/>
      </c>
      <c r="G86" s="128" t="str">
        <f>IF(足元帳!K86="","",足元帳!A86)</f>
        <v/>
      </c>
      <c r="H86" s="125" t="str">
        <f>IF(足元帳!AP86="","",$H$1)</f>
        <v/>
      </c>
      <c r="I86" s="125" t="str">
        <f>IF(足元帳!AQ86="","",$I$1)</f>
        <v/>
      </c>
      <c r="J86" s="125" t="str">
        <f>IF(足元帳!AR86="","",$J$1)</f>
        <v/>
      </c>
      <c r="K86" s="125" t="str">
        <f>IF(足元帳!AS86="","",$K$1)</f>
        <v/>
      </c>
      <c r="L86" s="291" t="str">
        <f>IF(COUNTIF(足元帳!AT86,"*複合*"),"複合","")</f>
        <v/>
      </c>
      <c r="M86" s="291" t="str">
        <f>IF(COUNTIF(足元帳!AT86,"*店頭本指名*"),"店頭本指名","")</f>
        <v/>
      </c>
      <c r="N86" s="125" t="str">
        <f>IF(足元帳!U86="","",足元帳!U86)</f>
        <v/>
      </c>
      <c r="O86" s="125" t="str">
        <f>IF(足元帳!V86="","",足元帳!V86)</f>
        <v/>
      </c>
      <c r="P86" s="125" t="str">
        <f>IF(足元帳!W86="","",足元帳!W86)</f>
        <v/>
      </c>
      <c r="Q86" s="125" t="str">
        <f>IF(足元帳!X86="","",足元帳!X86)</f>
        <v/>
      </c>
      <c r="R86" s="125" t="str">
        <f>IF(足元帳!Y86="","",足元帳!Y86)</f>
        <v/>
      </c>
      <c r="S86" s="125" t="str">
        <f>IF(足元帳!Z86="","",足元帳!Z86)</f>
        <v/>
      </c>
      <c r="T86" s="125" t="str">
        <f>IF(足元帳!AT86="","",足元帳!AT86)</f>
        <v/>
      </c>
      <c r="U86" s="125" t="str">
        <f>IF(足元帳!AH86="●",足元帳!$AH$1&amp;足元帳!AW86,"")</f>
        <v/>
      </c>
      <c r="V86" s="125" t="str">
        <f>IF(足元帳!AI86="●",足元帳!$AI$1&amp;足元帳!AW86,"")</f>
        <v/>
      </c>
      <c r="W86" s="125" t="str">
        <f>IF(足元帳!AX86="","",足元帳!AX86)</f>
        <v/>
      </c>
      <c r="X86" s="125">
        <f>足元帳!BJ86</f>
        <v>0</v>
      </c>
      <c r="Y86" s="305" t="e">
        <f>"キャスト稼動　"&amp;AA86&amp;"％"</f>
        <v>#DIV/0!</v>
      </c>
      <c r="Z86" s="305" t="e">
        <f>(AH68*45+AI68*60+AJ68*75+AK68*90+AL68*120)/(Z87*60)</f>
        <v>#DIV/0!</v>
      </c>
      <c r="AA86" s="305" t="e">
        <f>ROUNDDOWN(Z86,2)*100</f>
        <v>#DIV/0!</v>
      </c>
      <c r="AC86" s="125" t="e">
        <f>(AG68/3)/来店帰客表!B8+(AG68/3)/来店帰客表!B9+(AG68/3)/来店帰客表!B10</f>
        <v>#DIV/0!</v>
      </c>
    </row>
    <row r="87" spans="1:55" ht="13.15" customHeight="1">
      <c r="A87" s="126">
        <v>86</v>
      </c>
      <c r="B87" s="127" t="str">
        <f>IF(足元帳!K87="","",精算表!$W$1)</f>
        <v/>
      </c>
      <c r="C87" s="128" t="str">
        <f>IF(足元帳!K87="","",IF(足元帳!AY87=2,"R","N"))</f>
        <v/>
      </c>
      <c r="D87" s="128" t="str">
        <f>IF(足元帳!K87="","",IF(足元帳!AZ87=1,"姫",IF(足元帳!AZ87=2,"本指名",IF(足元帳!AZ87=3,"NET",IF(足元帳!AZ87=4,"写真","")))))</f>
        <v/>
      </c>
      <c r="E87" s="128" t="str">
        <f>IF(足元帳!K87="","",足元帳!K87)</f>
        <v/>
      </c>
      <c r="F87" s="128" t="str">
        <f>IF(足元帳!K87="","",IF(足元帳!BB87=1,45,IF(足元帳!BB87=2,60,IF(足元帳!BB87=3,75,IF(足元帳!BB87=4,90,IF(足元帳!BB87=5,120,IF(足元帳!BB87=6,150,IF(足元帳!BB87=7,180,""))))))))</f>
        <v/>
      </c>
      <c r="G87" s="128" t="str">
        <f>IF(足元帳!K87="","",足元帳!A87)</f>
        <v/>
      </c>
      <c r="H87" s="125" t="str">
        <f>IF(足元帳!AP87="","",$H$1)</f>
        <v/>
      </c>
      <c r="I87" s="125" t="str">
        <f>IF(足元帳!AQ87="","",$I$1)</f>
        <v/>
      </c>
      <c r="J87" s="125" t="str">
        <f>IF(足元帳!AR87="","",$J$1)</f>
        <v/>
      </c>
      <c r="K87" s="125" t="str">
        <f>IF(足元帳!AS87="","",$K$1)</f>
        <v/>
      </c>
      <c r="L87" s="291" t="str">
        <f>IF(COUNTIF(足元帳!AT87,"*複合*"),"複合","")</f>
        <v/>
      </c>
      <c r="M87" s="291" t="str">
        <f>IF(COUNTIF(足元帳!AT87,"*店頭本指名*"),"店頭本指名","")</f>
        <v/>
      </c>
      <c r="N87" s="125" t="str">
        <f>IF(足元帳!U87="","",足元帳!U87)</f>
        <v/>
      </c>
      <c r="O87" s="125" t="str">
        <f>IF(足元帳!V87="","",足元帳!V87)</f>
        <v/>
      </c>
      <c r="P87" s="125" t="str">
        <f>IF(足元帳!W87="","",足元帳!W87)</f>
        <v/>
      </c>
      <c r="Q87" s="125" t="str">
        <f>IF(足元帳!X87="","",足元帳!X87)</f>
        <v/>
      </c>
      <c r="R87" s="125" t="str">
        <f>IF(足元帳!Y87="","",足元帳!Y87)</f>
        <v/>
      </c>
      <c r="S87" s="125" t="str">
        <f>IF(足元帳!Z87="","",足元帳!Z87)</f>
        <v/>
      </c>
      <c r="T87" s="125" t="str">
        <f>IF(足元帳!AT87="","",足元帳!AT87)</f>
        <v/>
      </c>
      <c r="U87" s="125" t="str">
        <f>IF(足元帳!AH87="●",足元帳!$AH$1&amp;足元帳!AW87,"")</f>
        <v/>
      </c>
      <c r="V87" s="125" t="str">
        <f>IF(足元帳!AI87="●",足元帳!$AI$1&amp;足元帳!AW87,"")</f>
        <v/>
      </c>
      <c r="W87" s="125" t="str">
        <f>IF(足元帳!AX87="","",足元帳!AX87)</f>
        <v/>
      </c>
      <c r="X87" s="125">
        <f>足元帳!BJ87</f>
        <v>0</v>
      </c>
      <c r="Y87" s="305"/>
      <c r="Z87" s="305">
        <f>来店帰客表!B8+来店帰客表!B9+来店帰客表!B10+Z79</f>
        <v>0</v>
      </c>
      <c r="AA87" s="305"/>
    </row>
    <row r="88" spans="1:55" ht="13.15" customHeight="1">
      <c r="A88" s="126">
        <v>87</v>
      </c>
      <c r="B88" s="127" t="str">
        <f>IF(足元帳!K88="","",精算表!$W$1)</f>
        <v/>
      </c>
      <c r="C88" s="128" t="str">
        <f>IF(足元帳!K88="","",IF(足元帳!AY88=2,"R","N"))</f>
        <v/>
      </c>
      <c r="D88" s="128" t="str">
        <f>IF(足元帳!K88="","",IF(足元帳!AZ88=1,"姫",IF(足元帳!AZ88=2,"本指名",IF(足元帳!AZ88=3,"NET",IF(足元帳!AZ88=4,"写真","")))))</f>
        <v/>
      </c>
      <c r="E88" s="128" t="str">
        <f>IF(足元帳!K88="","",足元帳!K88)</f>
        <v/>
      </c>
      <c r="F88" s="128" t="str">
        <f>IF(足元帳!K88="","",IF(足元帳!BB88=1,45,IF(足元帳!BB88=2,60,IF(足元帳!BB88=3,75,IF(足元帳!BB88=4,90,IF(足元帳!BB88=5,120,IF(足元帳!BB88=6,150,IF(足元帳!BB88=7,180,""))))))))</f>
        <v/>
      </c>
      <c r="G88" s="128" t="str">
        <f>IF(足元帳!K88="","",足元帳!A88)</f>
        <v/>
      </c>
      <c r="H88" s="125" t="str">
        <f>IF(足元帳!AP88="","",$H$1)</f>
        <v/>
      </c>
      <c r="I88" s="125" t="str">
        <f>IF(足元帳!AQ88="","",$I$1)</f>
        <v/>
      </c>
      <c r="J88" s="125" t="str">
        <f>IF(足元帳!AR88="","",$J$1)</f>
        <v/>
      </c>
      <c r="K88" s="125" t="str">
        <f>IF(足元帳!AS88="","",$K$1)</f>
        <v/>
      </c>
      <c r="L88" s="291" t="str">
        <f>IF(COUNTIF(足元帳!AT88,"*複合*"),"複合","")</f>
        <v/>
      </c>
      <c r="M88" s="291" t="str">
        <f>IF(COUNTIF(足元帳!AT88,"*店頭本指名*"),"店頭本指名","")</f>
        <v/>
      </c>
      <c r="N88" s="125" t="str">
        <f>IF(足元帳!U88="","",足元帳!U88)</f>
        <v/>
      </c>
      <c r="O88" s="125" t="str">
        <f>IF(足元帳!V88="","",足元帳!V88)</f>
        <v/>
      </c>
      <c r="P88" s="125" t="str">
        <f>IF(足元帳!W88="","",足元帳!W88)</f>
        <v/>
      </c>
      <c r="Q88" s="125" t="str">
        <f>IF(足元帳!X88="","",足元帳!X88)</f>
        <v/>
      </c>
      <c r="R88" s="125" t="str">
        <f>IF(足元帳!Y88="","",足元帳!Y88)</f>
        <v/>
      </c>
      <c r="S88" s="125" t="str">
        <f>IF(足元帳!Z88="","",足元帳!Z88)</f>
        <v/>
      </c>
      <c r="T88" s="125" t="str">
        <f>IF(足元帳!AT88="","",足元帳!AT88)</f>
        <v/>
      </c>
      <c r="U88" s="125" t="str">
        <f>IF(足元帳!AH88="●",足元帳!$AH$1&amp;足元帳!AW88,"")</f>
        <v/>
      </c>
      <c r="V88" s="125" t="str">
        <f>IF(足元帳!AI88="●",足元帳!$AI$1&amp;足元帳!AW88,"")</f>
        <v/>
      </c>
      <c r="W88" s="125" t="str">
        <f>IF(足元帳!AX88="","",足元帳!AX88)</f>
        <v/>
      </c>
      <c r="X88" s="125">
        <f>足元帳!BJ88</f>
        <v>0</v>
      </c>
      <c r="Y88" s="305" t="s">
        <v>311</v>
      </c>
      <c r="Z88" s="305"/>
      <c r="AA88" s="305"/>
    </row>
    <row r="89" spans="1:55" ht="13.15" customHeight="1">
      <c r="A89" s="126">
        <v>88</v>
      </c>
      <c r="B89" s="127" t="str">
        <f>IF(足元帳!K89="","",精算表!$W$1)</f>
        <v/>
      </c>
      <c r="C89" s="128" t="str">
        <f>IF(足元帳!K89="","",IF(足元帳!AY89=2,"R","N"))</f>
        <v/>
      </c>
      <c r="D89" s="128" t="str">
        <f>IF(足元帳!K89="","",IF(足元帳!AZ89=1,"姫",IF(足元帳!AZ89=2,"本指名",IF(足元帳!AZ89=3,"NET",IF(足元帳!AZ89=4,"写真","")))))</f>
        <v/>
      </c>
      <c r="E89" s="128" t="str">
        <f>IF(足元帳!K89="","",足元帳!K89)</f>
        <v/>
      </c>
      <c r="F89" s="128" t="str">
        <f>IF(足元帳!K89="","",IF(足元帳!BB89=1,45,IF(足元帳!BB89=2,60,IF(足元帳!BB89=3,75,IF(足元帳!BB89=4,90,IF(足元帳!BB89=5,120,IF(足元帳!BB89=6,150,IF(足元帳!BB89=7,180,""))))))))</f>
        <v/>
      </c>
      <c r="G89" s="128" t="str">
        <f>IF(足元帳!K89="","",足元帳!A89)</f>
        <v/>
      </c>
      <c r="H89" s="125" t="str">
        <f>IF(足元帳!AP89="","",$H$1)</f>
        <v/>
      </c>
      <c r="I89" s="125" t="str">
        <f>IF(足元帳!AQ89="","",$I$1)</f>
        <v/>
      </c>
      <c r="J89" s="125" t="str">
        <f>IF(足元帳!AR89="","",$J$1)</f>
        <v/>
      </c>
      <c r="K89" s="125" t="str">
        <f>IF(足元帳!AS89="","",$K$1)</f>
        <v/>
      </c>
      <c r="L89" s="291" t="str">
        <f>IF(COUNTIF(足元帳!AT89,"*複合*"),"複合","")</f>
        <v/>
      </c>
      <c r="M89" s="291" t="str">
        <f>IF(COUNTIF(足元帳!AT89,"*店頭本指名*"),"店頭本指名","")</f>
        <v/>
      </c>
      <c r="N89" s="125" t="str">
        <f>IF(足元帳!U89="","",足元帳!U89)</f>
        <v/>
      </c>
      <c r="O89" s="125" t="str">
        <f>IF(足元帳!V89="","",足元帳!V89)</f>
        <v/>
      </c>
      <c r="P89" s="125" t="str">
        <f>IF(足元帳!W89="","",足元帳!W89)</f>
        <v/>
      </c>
      <c r="Q89" s="125" t="str">
        <f>IF(足元帳!X89="","",足元帳!X89)</f>
        <v/>
      </c>
      <c r="R89" s="125" t="str">
        <f>IF(足元帳!Y89="","",足元帳!Y89)</f>
        <v/>
      </c>
      <c r="S89" s="125" t="str">
        <f>IF(足元帳!Z89="","",足元帳!Z89)</f>
        <v/>
      </c>
      <c r="T89" s="125" t="str">
        <f>IF(足元帳!AT89="","",足元帳!AT89)</f>
        <v/>
      </c>
      <c r="U89" s="125" t="str">
        <f>IF(足元帳!AH89="●",足元帳!$AH$1&amp;足元帳!AW89,"")</f>
        <v/>
      </c>
      <c r="V89" s="125" t="str">
        <f>IF(足元帳!AI89="●",足元帳!$AI$1&amp;足元帳!AW89,"")</f>
        <v/>
      </c>
      <c r="W89" s="125" t="str">
        <f>IF(足元帳!AX89="","",足元帳!AX89)</f>
        <v/>
      </c>
      <c r="X89" s="125">
        <f>足元帳!BJ89</f>
        <v>0</v>
      </c>
      <c r="Y89" s="305"/>
      <c r="Z89" s="305"/>
      <c r="AA89" s="305"/>
    </row>
    <row r="90" spans="1:55" ht="13.15" customHeight="1">
      <c r="A90" s="126">
        <v>89</v>
      </c>
      <c r="B90" s="127" t="str">
        <f>IF(足元帳!K90="","",精算表!$W$1)</f>
        <v/>
      </c>
      <c r="C90" s="128" t="str">
        <f>IF(足元帳!K90="","",IF(足元帳!AY90=2,"R","N"))</f>
        <v/>
      </c>
      <c r="D90" s="128" t="str">
        <f>IF(足元帳!K90="","",IF(足元帳!AZ90=1,"姫",IF(足元帳!AZ90=2,"本指名",IF(足元帳!AZ90=3,"NET",IF(足元帳!AZ90=4,"写真","")))))</f>
        <v/>
      </c>
      <c r="E90" s="128" t="str">
        <f>IF(足元帳!K90="","",足元帳!K90)</f>
        <v/>
      </c>
      <c r="F90" s="128" t="str">
        <f>IF(足元帳!K90="","",IF(足元帳!BB90=1,45,IF(足元帳!BB90=2,60,IF(足元帳!BB90=3,75,IF(足元帳!BB90=4,90,IF(足元帳!BB90=5,120,IF(足元帳!BB90=6,150,IF(足元帳!BB90=7,180,""))))))))</f>
        <v/>
      </c>
      <c r="G90" s="128" t="str">
        <f>IF(足元帳!K90="","",足元帳!A90)</f>
        <v/>
      </c>
      <c r="H90" s="125" t="str">
        <f>IF(足元帳!AP90="","",$H$1)</f>
        <v/>
      </c>
      <c r="I90" s="125" t="str">
        <f>IF(足元帳!AQ90="","",$I$1)</f>
        <v/>
      </c>
      <c r="J90" s="125" t="str">
        <f>IF(足元帳!AR90="","",$J$1)</f>
        <v/>
      </c>
      <c r="K90" s="125" t="str">
        <f>IF(足元帳!AS90="","",$K$1)</f>
        <v/>
      </c>
      <c r="L90" s="291" t="str">
        <f>IF(COUNTIF(足元帳!AT90,"*複合*"),"複合","")</f>
        <v/>
      </c>
      <c r="M90" s="291" t="str">
        <f>IF(COUNTIF(足元帳!AT90,"*店頭本指名*"),"店頭本指名","")</f>
        <v/>
      </c>
      <c r="N90" s="125" t="str">
        <f>IF(足元帳!U90="","",足元帳!U90)</f>
        <v/>
      </c>
      <c r="O90" s="125" t="str">
        <f>IF(足元帳!V90="","",足元帳!V90)</f>
        <v/>
      </c>
      <c r="P90" s="125" t="str">
        <f>IF(足元帳!W90="","",足元帳!W90)</f>
        <v/>
      </c>
      <c r="Q90" s="125" t="str">
        <f>IF(足元帳!X90="","",足元帳!X90)</f>
        <v/>
      </c>
      <c r="R90" s="125" t="str">
        <f>IF(足元帳!Y90="","",足元帳!Y90)</f>
        <v/>
      </c>
      <c r="S90" s="125" t="str">
        <f>IF(足元帳!Z90="","",足元帳!Z90)</f>
        <v/>
      </c>
      <c r="T90" s="125" t="str">
        <f>IF(足元帳!AT90="","",足元帳!AT90)</f>
        <v/>
      </c>
      <c r="U90" s="125" t="str">
        <f>IF(足元帳!AH90="●",足元帳!$AH$1&amp;足元帳!AW90,"")</f>
        <v/>
      </c>
      <c r="V90" s="125" t="str">
        <f>IF(足元帳!AI90="●",足元帳!$AI$1&amp;足元帳!AW90,"")</f>
        <v/>
      </c>
      <c r="W90" s="125" t="str">
        <f>IF(足元帳!AX90="","",足元帳!AX90)</f>
        <v/>
      </c>
      <c r="X90" s="125">
        <f>足元帳!BJ90</f>
        <v>0</v>
      </c>
      <c r="Y90" s="305"/>
      <c r="Z90" s="305"/>
      <c r="AA90" s="305"/>
    </row>
    <row r="91" spans="1:55" ht="13.15" customHeight="1">
      <c r="A91" s="126">
        <v>90</v>
      </c>
      <c r="B91" s="127" t="str">
        <f>IF(足元帳!K91="","",精算表!$W$1)</f>
        <v/>
      </c>
      <c r="C91" s="128" t="str">
        <f>IF(足元帳!K91="","",IF(足元帳!AY91=2,"R","N"))</f>
        <v/>
      </c>
      <c r="D91" s="128" t="str">
        <f>IF(足元帳!K91="","",IF(足元帳!AZ91=1,"姫",IF(足元帳!AZ91=2,"本指名",IF(足元帳!AZ91=3,"NET",IF(足元帳!AZ91=4,"写真","")))))</f>
        <v/>
      </c>
      <c r="E91" s="128" t="str">
        <f>IF(足元帳!K91="","",足元帳!K91)</f>
        <v/>
      </c>
      <c r="F91" s="128" t="str">
        <f>IF(足元帳!K91="","",IF(足元帳!BB91=1,45,IF(足元帳!BB91=2,60,IF(足元帳!BB91=3,75,IF(足元帳!BB91=4,90,IF(足元帳!BB91=5,120,IF(足元帳!BB91=6,150,IF(足元帳!BB91=7,180,""))))))))</f>
        <v/>
      </c>
      <c r="G91" s="128" t="str">
        <f>IF(足元帳!K91="","",足元帳!A91)</f>
        <v/>
      </c>
      <c r="H91" s="125" t="str">
        <f>IF(足元帳!AP91="","",$H$1)</f>
        <v/>
      </c>
      <c r="I91" s="125" t="str">
        <f>IF(足元帳!AQ91="","",$I$1)</f>
        <v/>
      </c>
      <c r="J91" s="125" t="str">
        <f>IF(足元帳!AR91="","",$J$1)</f>
        <v/>
      </c>
      <c r="K91" s="125" t="str">
        <f>IF(足元帳!AS91="","",$K$1)</f>
        <v/>
      </c>
      <c r="L91" s="291" t="str">
        <f>IF(COUNTIF(足元帳!AT91,"*複合*"),"複合","")</f>
        <v/>
      </c>
      <c r="M91" s="291" t="str">
        <f>IF(COUNTIF(足元帳!AT91,"*店頭本指名*"),"店頭本指名","")</f>
        <v/>
      </c>
      <c r="N91" s="125" t="str">
        <f>IF(足元帳!U91="","",足元帳!U91)</f>
        <v/>
      </c>
      <c r="O91" s="125" t="str">
        <f>IF(足元帳!V91="","",足元帳!V91)</f>
        <v/>
      </c>
      <c r="P91" s="125" t="str">
        <f>IF(足元帳!W91="","",足元帳!W91)</f>
        <v/>
      </c>
      <c r="Q91" s="125" t="str">
        <f>IF(足元帳!X91="","",足元帳!X91)</f>
        <v/>
      </c>
      <c r="R91" s="125" t="str">
        <f>IF(足元帳!Y91="","",足元帳!Y91)</f>
        <v/>
      </c>
      <c r="S91" s="125" t="str">
        <f>IF(足元帳!Z91="","",足元帳!Z91)</f>
        <v/>
      </c>
      <c r="T91" s="125" t="str">
        <f>IF(足元帳!AT91="","",足元帳!AT91)</f>
        <v/>
      </c>
      <c r="U91" s="125" t="str">
        <f>IF(足元帳!AH91="●",足元帳!$AH$1&amp;足元帳!AW91,"")</f>
        <v/>
      </c>
      <c r="V91" s="125" t="str">
        <f>IF(足元帳!AI91="●",足元帳!$AI$1&amp;足元帳!AW91,"")</f>
        <v/>
      </c>
      <c r="W91" s="125" t="str">
        <f>IF(足元帳!AX91="","",足元帳!AX91)</f>
        <v/>
      </c>
      <c r="X91" s="125">
        <f>足元帳!BJ91</f>
        <v>0</v>
      </c>
      <c r="Y91" s="305" t="s">
        <v>320</v>
      </c>
      <c r="Z91" s="305"/>
      <c r="AA91" s="305"/>
    </row>
    <row r="92" spans="1:55" ht="13.15" customHeight="1">
      <c r="A92" s="126">
        <v>91</v>
      </c>
      <c r="B92" s="127" t="str">
        <f>IF(足元帳!K92="","",精算表!$W$1)</f>
        <v/>
      </c>
      <c r="C92" s="128" t="str">
        <f>IF(足元帳!K92="","",IF(足元帳!AY92=2,"R","N"))</f>
        <v/>
      </c>
      <c r="D92" s="128" t="str">
        <f>IF(足元帳!K92="","",IF(足元帳!AZ92=1,"姫",IF(足元帳!AZ92=2,"本指名",IF(足元帳!AZ92=3,"NET",IF(足元帳!AZ92=4,"写真","")))))</f>
        <v/>
      </c>
      <c r="E92" s="128" t="str">
        <f>IF(足元帳!K92="","",足元帳!K92)</f>
        <v/>
      </c>
      <c r="F92" s="128" t="str">
        <f>IF(足元帳!K92="","",IF(足元帳!BB92=1,45,IF(足元帳!BB92=2,60,IF(足元帳!BB92=3,75,IF(足元帳!BB92=4,90,IF(足元帳!BB92=5,120,IF(足元帳!BB92=6,150,IF(足元帳!BB92=7,180,""))))))))</f>
        <v/>
      </c>
      <c r="G92" s="128" t="str">
        <f>IF(足元帳!K92="","",足元帳!A92)</f>
        <v/>
      </c>
      <c r="H92" s="125" t="str">
        <f>IF(足元帳!AP92="","",$H$1)</f>
        <v/>
      </c>
      <c r="I92" s="125" t="str">
        <f>IF(足元帳!AQ92="","",$I$1)</f>
        <v/>
      </c>
      <c r="J92" s="125" t="str">
        <f>IF(足元帳!AR92="","",$J$1)</f>
        <v/>
      </c>
      <c r="K92" s="125" t="str">
        <f>IF(足元帳!AS92="","",$K$1)</f>
        <v/>
      </c>
      <c r="L92" s="291" t="str">
        <f>IF(COUNTIF(足元帳!AT92,"*複合*"),"複合","")</f>
        <v/>
      </c>
      <c r="M92" s="291" t="str">
        <f>IF(COUNTIF(足元帳!AT92,"*店頭本指名*"),"店頭本指名","")</f>
        <v/>
      </c>
      <c r="N92" s="125" t="str">
        <f>IF(足元帳!U92="","",足元帳!U92)</f>
        <v/>
      </c>
      <c r="O92" s="125" t="str">
        <f>IF(足元帳!V92="","",足元帳!V92)</f>
        <v/>
      </c>
      <c r="P92" s="125" t="str">
        <f>IF(足元帳!W92="","",足元帳!W92)</f>
        <v/>
      </c>
      <c r="Q92" s="125" t="str">
        <f>IF(足元帳!X92="","",足元帳!X92)</f>
        <v/>
      </c>
      <c r="R92" s="125" t="str">
        <f>IF(足元帳!Y92="","",足元帳!Y92)</f>
        <v/>
      </c>
      <c r="S92" s="125" t="str">
        <f>IF(足元帳!Z92="","",足元帳!Z92)</f>
        <v/>
      </c>
      <c r="T92" s="125" t="str">
        <f>IF(足元帳!AT92="","",足元帳!AT92)</f>
        <v/>
      </c>
      <c r="U92" s="125" t="str">
        <f>IF(足元帳!AH92="●",足元帳!$AH$1&amp;足元帳!AW92,"")</f>
        <v/>
      </c>
      <c r="V92" s="125" t="str">
        <f>IF(足元帳!AI92="●",足元帳!$AI$1&amp;足元帳!AW92,"")</f>
        <v/>
      </c>
      <c r="W92" s="125" t="str">
        <f>IF(足元帳!AX92="","",足元帳!AX92)</f>
        <v/>
      </c>
      <c r="X92" s="125">
        <f>足元帳!BJ92</f>
        <v>0</v>
      </c>
      <c r="Y92" s="305" t="str">
        <f>IF(Z97+AA97&gt;=AJ98,"","要確認")</f>
        <v/>
      </c>
      <c r="Z92" s="305"/>
      <c r="AA92" s="305"/>
    </row>
    <row r="93" spans="1:55" ht="13.15" customHeight="1">
      <c r="A93" s="126">
        <v>92</v>
      </c>
      <c r="B93" s="127" t="str">
        <f>IF(足元帳!K93="","",精算表!$W$1)</f>
        <v/>
      </c>
      <c r="C93" s="128" t="str">
        <f>IF(足元帳!K93="","",IF(足元帳!AY93=2,"R","N"))</f>
        <v/>
      </c>
      <c r="D93" s="128" t="str">
        <f>IF(足元帳!K93="","",IF(足元帳!AZ93=1,"姫",IF(足元帳!AZ93=2,"本指名",IF(足元帳!AZ93=3,"NET",IF(足元帳!AZ93=4,"写真","")))))</f>
        <v/>
      </c>
      <c r="E93" s="128" t="str">
        <f>IF(足元帳!K93="","",足元帳!K93)</f>
        <v/>
      </c>
      <c r="F93" s="128" t="str">
        <f>IF(足元帳!K93="","",IF(足元帳!BB93=1,45,IF(足元帳!BB93=2,60,IF(足元帳!BB93=3,75,IF(足元帳!BB93=4,90,IF(足元帳!BB93=5,120,IF(足元帳!BB93=6,150,IF(足元帳!BB93=7,180,""))))))))</f>
        <v/>
      </c>
      <c r="G93" s="128" t="str">
        <f>IF(足元帳!K93="","",足元帳!A93)</f>
        <v/>
      </c>
      <c r="H93" s="125" t="str">
        <f>IF(足元帳!AP93="","",$H$1)</f>
        <v/>
      </c>
      <c r="I93" s="125" t="str">
        <f>IF(足元帳!AQ93="","",$I$1)</f>
        <v/>
      </c>
      <c r="J93" s="125" t="str">
        <f>IF(足元帳!AR93="","",$J$1)</f>
        <v/>
      </c>
      <c r="K93" s="125" t="str">
        <f>IF(足元帳!AS93="","",$K$1)</f>
        <v/>
      </c>
      <c r="L93" s="291" t="str">
        <f>IF(COUNTIF(足元帳!AT93,"*複合*"),"複合","")</f>
        <v/>
      </c>
      <c r="M93" s="291" t="str">
        <f>IF(COUNTIF(足元帳!AT93,"*店頭本指名*"),"店頭本指名","")</f>
        <v/>
      </c>
      <c r="N93" s="125" t="str">
        <f>IF(足元帳!U93="","",足元帳!U93)</f>
        <v/>
      </c>
      <c r="O93" s="125" t="str">
        <f>IF(足元帳!V93="","",足元帳!V93)</f>
        <v/>
      </c>
      <c r="P93" s="125" t="str">
        <f>IF(足元帳!W93="","",足元帳!W93)</f>
        <v/>
      </c>
      <c r="Q93" s="125" t="str">
        <f>IF(足元帳!X93="","",足元帳!X93)</f>
        <v/>
      </c>
      <c r="R93" s="125" t="str">
        <f>IF(足元帳!Y93="","",足元帳!Y93)</f>
        <v/>
      </c>
      <c r="S93" s="125" t="str">
        <f>IF(足元帳!Z93="","",足元帳!Z93)</f>
        <v/>
      </c>
      <c r="T93" s="125" t="str">
        <f>IF(足元帳!AT93="","",足元帳!AT93)</f>
        <v/>
      </c>
      <c r="U93" s="125" t="str">
        <f>IF(足元帳!AH93="●",足元帳!$AH$1&amp;足元帳!AW93,"")</f>
        <v/>
      </c>
      <c r="V93" s="125" t="str">
        <f>IF(足元帳!AI93="●",足元帳!$AI$1&amp;足元帳!AW93,"")</f>
        <v/>
      </c>
      <c r="W93" s="125" t="str">
        <f>IF(足元帳!AX93="","",足元帳!AX93)</f>
        <v/>
      </c>
      <c r="X93" s="125">
        <f>足元帳!BJ93</f>
        <v>0</v>
      </c>
      <c r="Y93" s="320">
        <f>精算表!W1</f>
        <v>43755</v>
      </c>
      <c r="Z93" s="305"/>
      <c r="AA93" s="305"/>
    </row>
    <row r="94" spans="1:55" ht="13.15" customHeight="1">
      <c r="A94" s="126">
        <v>93</v>
      </c>
      <c r="B94" s="127" t="str">
        <f>IF(足元帳!K94="","",精算表!$W$1)</f>
        <v/>
      </c>
      <c r="C94" s="128" t="str">
        <f>IF(足元帳!K94="","",IF(足元帳!AY94=2,"R","N"))</f>
        <v/>
      </c>
      <c r="D94" s="128" t="str">
        <f>IF(足元帳!K94="","",IF(足元帳!AZ94=1,"姫",IF(足元帳!AZ94=2,"本指名",IF(足元帳!AZ94=3,"NET",IF(足元帳!AZ94=4,"写真","")))))</f>
        <v/>
      </c>
      <c r="E94" s="128" t="str">
        <f>IF(足元帳!K94="","",足元帳!K94)</f>
        <v/>
      </c>
      <c r="F94" s="128" t="str">
        <f>IF(足元帳!K94="","",IF(足元帳!BB94=1,45,IF(足元帳!BB94=2,60,IF(足元帳!BB94=3,75,IF(足元帳!BB94=4,90,IF(足元帳!BB94=5,120,IF(足元帳!BB94=6,150,IF(足元帳!BB94=7,180,""))))))))</f>
        <v/>
      </c>
      <c r="G94" s="128" t="str">
        <f>IF(足元帳!K94="","",足元帳!A94)</f>
        <v/>
      </c>
      <c r="H94" s="125" t="str">
        <f>IF(足元帳!AP94="","",$H$1)</f>
        <v/>
      </c>
      <c r="I94" s="125" t="str">
        <f>IF(足元帳!AQ94="","",$I$1)</f>
        <v/>
      </c>
      <c r="J94" s="125" t="str">
        <f>IF(足元帳!AR94="","",$J$1)</f>
        <v/>
      </c>
      <c r="K94" s="125" t="str">
        <f>IF(足元帳!AS94="","",$K$1)</f>
        <v/>
      </c>
      <c r="L94" s="291" t="str">
        <f>IF(COUNTIF(足元帳!AT94,"*複合*"),"複合","")</f>
        <v/>
      </c>
      <c r="M94" s="291" t="str">
        <f>IF(COUNTIF(足元帳!AT94,"*店頭本指名*"),"店頭本指名","")</f>
        <v/>
      </c>
      <c r="N94" s="125" t="str">
        <f>IF(足元帳!U94="","",足元帳!U94)</f>
        <v/>
      </c>
      <c r="O94" s="125" t="str">
        <f>IF(足元帳!V94="","",足元帳!V94)</f>
        <v/>
      </c>
      <c r="P94" s="125" t="str">
        <f>IF(足元帳!W94="","",足元帳!W94)</f>
        <v/>
      </c>
      <c r="Q94" s="125" t="str">
        <f>IF(足元帳!X94="","",足元帳!X94)</f>
        <v/>
      </c>
      <c r="R94" s="125" t="str">
        <f>IF(足元帳!Y94="","",足元帳!Y94)</f>
        <v/>
      </c>
      <c r="S94" s="125" t="str">
        <f>IF(足元帳!Z94="","",足元帳!Z94)</f>
        <v/>
      </c>
      <c r="T94" s="125" t="str">
        <f>IF(足元帳!AT94="","",足元帳!AT94)</f>
        <v/>
      </c>
      <c r="U94" s="125" t="str">
        <f>IF(足元帳!AH94="●",足元帳!$AH$1&amp;足元帳!AW94,"")</f>
        <v/>
      </c>
      <c r="V94" s="125" t="str">
        <f>IF(足元帳!AI94="●",足元帳!$AI$1&amp;足元帳!AW94,"")</f>
        <v/>
      </c>
      <c r="W94" s="125" t="str">
        <f>IF(足元帳!AX94="","",足元帳!AX94)</f>
        <v/>
      </c>
      <c r="X94" s="125">
        <f>足元帳!BJ94</f>
        <v>0</v>
      </c>
      <c r="Y94" s="305" t="s">
        <v>308</v>
      </c>
      <c r="Z94" s="305"/>
      <c r="AA94" s="305"/>
    </row>
    <row r="95" spans="1:55" ht="13.15" customHeight="1">
      <c r="A95" s="126">
        <v>94</v>
      </c>
      <c r="B95" s="127" t="str">
        <f>IF(足元帳!K95="","",精算表!$W$1)</f>
        <v/>
      </c>
      <c r="C95" s="128" t="str">
        <f>IF(足元帳!K95="","",IF(足元帳!AY95=2,"R","N"))</f>
        <v/>
      </c>
      <c r="D95" s="128" t="str">
        <f>IF(足元帳!K95="","",IF(足元帳!AZ95=1,"姫",IF(足元帳!AZ95=2,"本指名",IF(足元帳!AZ95=3,"NET",IF(足元帳!AZ95=4,"写真","")))))</f>
        <v/>
      </c>
      <c r="E95" s="128" t="str">
        <f>IF(足元帳!K95="","",足元帳!K95)</f>
        <v/>
      </c>
      <c r="F95" s="128" t="str">
        <f>IF(足元帳!K95="","",IF(足元帳!BB95=1,45,IF(足元帳!BB95=2,60,IF(足元帳!BB95=3,75,IF(足元帳!BB95=4,90,IF(足元帳!BB95=5,120,IF(足元帳!BB95=6,150,IF(足元帳!BB95=7,180,""))))))))</f>
        <v/>
      </c>
      <c r="G95" s="128" t="str">
        <f>IF(足元帳!K95="","",足元帳!A95)</f>
        <v/>
      </c>
      <c r="H95" s="125" t="str">
        <f>IF(足元帳!AP95="","",$H$1)</f>
        <v/>
      </c>
      <c r="I95" s="125" t="str">
        <f>IF(足元帳!AQ95="","",$I$1)</f>
        <v/>
      </c>
      <c r="J95" s="125" t="str">
        <f>IF(足元帳!AR95="","",$J$1)</f>
        <v/>
      </c>
      <c r="K95" s="125" t="str">
        <f>IF(足元帳!AS95="","",$K$1)</f>
        <v/>
      </c>
      <c r="L95" s="291" t="str">
        <f>IF(COUNTIF(足元帳!AT95,"*複合*"),"複合","")</f>
        <v/>
      </c>
      <c r="M95" s="291" t="str">
        <f>IF(COUNTIF(足元帳!AT95,"*店頭本指名*"),"店頭本指名","")</f>
        <v/>
      </c>
      <c r="N95" s="125" t="str">
        <f>IF(足元帳!U95="","",足元帳!U95)</f>
        <v/>
      </c>
      <c r="O95" s="125" t="str">
        <f>IF(足元帳!V95="","",足元帳!V95)</f>
        <v/>
      </c>
      <c r="P95" s="125" t="str">
        <f>IF(足元帳!W95="","",足元帳!W95)</f>
        <v/>
      </c>
      <c r="Q95" s="125" t="str">
        <f>IF(足元帳!X95="","",足元帳!X95)</f>
        <v/>
      </c>
      <c r="R95" s="125" t="str">
        <f>IF(足元帳!Y95="","",足元帳!Y95)</f>
        <v/>
      </c>
      <c r="S95" s="125" t="str">
        <f>IF(足元帳!Z95="","",足元帳!Z95)</f>
        <v/>
      </c>
      <c r="T95" s="125" t="str">
        <f>IF(足元帳!AT95="","",足元帳!AT95)</f>
        <v/>
      </c>
      <c r="U95" s="125" t="str">
        <f>IF(足元帳!AH95="●",足元帳!$AH$1&amp;足元帳!AW95,"")</f>
        <v/>
      </c>
      <c r="V95" s="125" t="str">
        <f>IF(足元帳!AI95="●",足元帳!$AI$1&amp;足元帳!AW95,"")</f>
        <v/>
      </c>
      <c r="W95" s="125" t="str">
        <f>IF(足元帳!AX95="","",足元帳!AX95)</f>
        <v/>
      </c>
      <c r="X95" s="125">
        <f>足元帳!BJ95</f>
        <v>0</v>
      </c>
      <c r="Y95" s="305" t="s">
        <v>347</v>
      </c>
      <c r="Z95" s="305"/>
      <c r="AA95" s="305"/>
    </row>
    <row r="96" spans="1:55" ht="13.15" customHeight="1">
      <c r="A96" s="126">
        <v>95</v>
      </c>
      <c r="B96" s="127" t="str">
        <f>IF(足元帳!K96="","",精算表!$W$1)</f>
        <v/>
      </c>
      <c r="C96" s="128" t="str">
        <f>IF(足元帳!K96="","",IF(足元帳!AY96=2,"R","N"))</f>
        <v/>
      </c>
      <c r="D96" s="128" t="str">
        <f>IF(足元帳!K96="","",IF(足元帳!AZ96=1,"姫",IF(足元帳!AZ96=2,"本指名",IF(足元帳!AZ96=3,"NET",IF(足元帳!AZ96=4,"写真","")))))</f>
        <v/>
      </c>
      <c r="E96" s="128" t="str">
        <f>IF(足元帳!K96="","",足元帳!K96)</f>
        <v/>
      </c>
      <c r="F96" s="128" t="str">
        <f>IF(足元帳!K96="","",IF(足元帳!BB96=1,45,IF(足元帳!BB96=2,60,IF(足元帳!BB96=3,75,IF(足元帳!BB96=4,90,IF(足元帳!BB96=5,120,IF(足元帳!BB96=6,150,IF(足元帳!BB96=7,180,""))))))))</f>
        <v/>
      </c>
      <c r="G96" s="128" t="str">
        <f>IF(足元帳!K96="","",足元帳!A96)</f>
        <v/>
      </c>
      <c r="H96" s="125" t="str">
        <f>IF(足元帳!AP96="","",$H$1)</f>
        <v/>
      </c>
      <c r="I96" s="125" t="str">
        <f>IF(足元帳!AQ96="","",$I$1)</f>
        <v/>
      </c>
      <c r="J96" s="125" t="str">
        <f>IF(足元帳!AR96="","",$J$1)</f>
        <v/>
      </c>
      <c r="K96" s="125" t="str">
        <f>IF(足元帳!AS96="","",$K$1)</f>
        <v/>
      </c>
      <c r="L96" s="291" t="str">
        <f>IF(COUNTIF(足元帳!AT96,"*複合*"),"複合","")</f>
        <v/>
      </c>
      <c r="M96" s="291" t="str">
        <f>IF(COUNTIF(足元帳!AT96,"*店頭本指名*"),"店頭本指名","")</f>
        <v/>
      </c>
      <c r="N96" s="125" t="str">
        <f>IF(足元帳!U96="","",足元帳!U96)</f>
        <v/>
      </c>
      <c r="O96" s="125" t="str">
        <f>IF(足元帳!V96="","",足元帳!V96)</f>
        <v/>
      </c>
      <c r="P96" s="125" t="str">
        <f>IF(足元帳!W96="","",足元帳!W96)</f>
        <v/>
      </c>
      <c r="Q96" s="125" t="str">
        <f>IF(足元帳!X96="","",足元帳!X96)</f>
        <v/>
      </c>
      <c r="R96" s="125" t="str">
        <f>IF(足元帳!Y96="","",足元帳!Y96)</f>
        <v/>
      </c>
      <c r="S96" s="125" t="str">
        <f>IF(足元帳!Z96="","",足元帳!Z96)</f>
        <v/>
      </c>
      <c r="T96" s="125" t="str">
        <f>IF(足元帳!AT96="","",足元帳!AT96)</f>
        <v/>
      </c>
      <c r="U96" s="125" t="str">
        <f>IF(足元帳!AH96="●",足元帳!$AH$1&amp;足元帳!AW96,"")</f>
        <v/>
      </c>
      <c r="V96" s="125" t="str">
        <f>IF(足元帳!AI96="●",足元帳!$AI$1&amp;足元帳!AW96,"")</f>
        <v/>
      </c>
      <c r="W96" s="125" t="str">
        <f>IF(足元帳!AX96="","",足元帳!AX96)</f>
        <v/>
      </c>
      <c r="X96" s="125">
        <f>足元帳!BJ96</f>
        <v>0</v>
      </c>
      <c r="Y96" s="305" t="s">
        <v>309</v>
      </c>
      <c r="Z96" s="305" t="s">
        <v>321</v>
      </c>
      <c r="AA96" s="305" t="s">
        <v>322</v>
      </c>
      <c r="AB96" s="633"/>
      <c r="AC96" s="634"/>
      <c r="AD96" s="587" t="s">
        <v>312</v>
      </c>
      <c r="AE96" s="565"/>
      <c r="AF96" s="565"/>
      <c r="AG96" s="565"/>
      <c r="AH96" s="565"/>
      <c r="AI96" s="565"/>
      <c r="AJ96" s="566"/>
      <c r="AK96" s="587" t="s">
        <v>313</v>
      </c>
      <c r="AL96" s="565"/>
      <c r="AM96" s="565"/>
      <c r="AN96" s="565"/>
      <c r="AO96" s="565"/>
      <c r="AP96" s="565"/>
      <c r="AQ96" s="566"/>
      <c r="AR96" s="633" t="s">
        <v>314</v>
      </c>
      <c r="AS96" s="634"/>
      <c r="AT96" s="648"/>
      <c r="AU96" s="633" t="s">
        <v>315</v>
      </c>
      <c r="AV96" s="634"/>
      <c r="AW96" s="648"/>
      <c r="AX96" s="633" t="s">
        <v>316</v>
      </c>
      <c r="AY96" s="634"/>
      <c r="AZ96" s="73"/>
      <c r="BA96" s="565"/>
      <c r="BB96" s="565"/>
      <c r="BC96" s="566"/>
    </row>
    <row r="97" spans="1:55" ht="13.15" customHeight="1">
      <c r="A97" s="126">
        <v>96</v>
      </c>
      <c r="B97" s="127" t="str">
        <f>IF(足元帳!K97="","",精算表!$W$1)</f>
        <v/>
      </c>
      <c r="C97" s="128" t="str">
        <f>IF(足元帳!K97="","",IF(足元帳!AY97=2,"R","N"))</f>
        <v/>
      </c>
      <c r="D97" s="128" t="str">
        <f>IF(足元帳!K97="","",IF(足元帳!AZ97=1,"姫",IF(足元帳!AZ97=2,"本指名",IF(足元帳!AZ97=3,"NET",IF(足元帳!AZ97=4,"写真","")))))</f>
        <v/>
      </c>
      <c r="E97" s="128" t="str">
        <f>IF(足元帳!K97="","",足元帳!K97)</f>
        <v/>
      </c>
      <c r="F97" s="128" t="str">
        <f>IF(足元帳!K97="","",IF(足元帳!BB97=1,45,IF(足元帳!BB97=2,60,IF(足元帳!BB97=3,75,IF(足元帳!BB97=4,90,IF(足元帳!BB97=5,120,IF(足元帳!BB97=6,150,IF(足元帳!BB97=7,180,""))))))))</f>
        <v/>
      </c>
      <c r="G97" s="128" t="str">
        <f>IF(足元帳!K97="","",足元帳!A97)</f>
        <v/>
      </c>
      <c r="H97" s="125" t="str">
        <f>IF(足元帳!AP97="","",$H$1)</f>
        <v/>
      </c>
      <c r="I97" s="125" t="str">
        <f>IF(足元帳!AQ97="","",$I$1)</f>
        <v/>
      </c>
      <c r="J97" s="125" t="str">
        <f>IF(足元帳!AR97="","",$J$1)</f>
        <v/>
      </c>
      <c r="K97" s="125" t="str">
        <f>IF(足元帳!AS97="","",$K$1)</f>
        <v/>
      </c>
      <c r="L97" s="291" t="str">
        <f>IF(COUNTIF(足元帳!AT97,"*複合*"),"複合","")</f>
        <v/>
      </c>
      <c r="M97" s="291" t="str">
        <f>IF(COUNTIF(足元帳!AT97,"*店頭本指名*"),"店頭本指名","")</f>
        <v/>
      </c>
      <c r="N97" s="125" t="str">
        <f>IF(足元帳!U97="","",足元帳!U97)</f>
        <v/>
      </c>
      <c r="O97" s="125" t="str">
        <f>IF(足元帳!V97="","",足元帳!V97)</f>
        <v/>
      </c>
      <c r="P97" s="125" t="str">
        <f>IF(足元帳!W97="","",足元帳!W97)</f>
        <v/>
      </c>
      <c r="Q97" s="125" t="str">
        <f>IF(足元帳!X97="","",足元帳!X97)</f>
        <v/>
      </c>
      <c r="R97" s="125" t="str">
        <f>IF(足元帳!Y97="","",足元帳!Y97)</f>
        <v/>
      </c>
      <c r="S97" s="125" t="str">
        <f>IF(足元帳!Z97="","",足元帳!Z97)</f>
        <v/>
      </c>
      <c r="T97" s="125" t="str">
        <f>IF(足元帳!AT97="","",足元帳!AT97)</f>
        <v/>
      </c>
      <c r="U97" s="125" t="str">
        <f>IF(足元帳!AH97="●",足元帳!$AH$1&amp;足元帳!AW97,"")</f>
        <v/>
      </c>
      <c r="V97" s="125" t="str">
        <f>IF(足元帳!AI97="●",足元帳!$AI$1&amp;足元帳!AW97,"")</f>
        <v/>
      </c>
      <c r="W97" s="125" t="str">
        <f>IF(足元帳!AX97="","",足元帳!AX97)</f>
        <v/>
      </c>
      <c r="X97" s="125">
        <f>足元帳!BJ97</f>
        <v>0</v>
      </c>
      <c r="Y97" s="305" t="str">
        <f>"6時"&amp;Z97&amp;"名6.5時"&amp;AA97&amp;"名"</f>
        <v>6時0名6.5時0名</v>
      </c>
      <c r="Z97" s="307">
        <f>来店帰客表!B4</f>
        <v>0</v>
      </c>
      <c r="AA97" s="307">
        <f>MAX(来店帰客表!B5-来店帰客表!B4,0)</f>
        <v>0</v>
      </c>
      <c r="AB97" s="635"/>
      <c r="AC97" s="636"/>
      <c r="AD97" s="116">
        <v>45</v>
      </c>
      <c r="AE97" s="116">
        <v>60</v>
      </c>
      <c r="AF97" s="116">
        <v>75</v>
      </c>
      <c r="AG97" s="116">
        <v>90</v>
      </c>
      <c r="AH97" s="116">
        <v>120</v>
      </c>
      <c r="AI97" s="116">
        <v>150</v>
      </c>
      <c r="AJ97" s="116" t="s">
        <v>159</v>
      </c>
      <c r="AK97" s="116">
        <v>45</v>
      </c>
      <c r="AL97" s="116">
        <v>60</v>
      </c>
      <c r="AM97" s="116">
        <v>75</v>
      </c>
      <c r="AN97" s="116">
        <v>90</v>
      </c>
      <c r="AO97" s="116">
        <v>120</v>
      </c>
      <c r="AP97" s="116">
        <v>150</v>
      </c>
      <c r="AQ97" s="116" t="s">
        <v>159</v>
      </c>
      <c r="AR97" s="635"/>
      <c r="AS97" s="636"/>
      <c r="AT97" s="649"/>
      <c r="AU97" s="604" t="s">
        <v>332</v>
      </c>
      <c r="AV97" s="587"/>
      <c r="AW97" s="116" t="s">
        <v>333</v>
      </c>
      <c r="AX97" s="635"/>
      <c r="AY97" s="636"/>
      <c r="AZ97" s="115" t="s">
        <v>331</v>
      </c>
      <c r="BA97" s="115" t="s">
        <v>329</v>
      </c>
      <c r="BB97" s="115" t="s">
        <v>330</v>
      </c>
      <c r="BC97" s="115" t="s">
        <v>328</v>
      </c>
    </row>
    <row r="98" spans="1:55" ht="13.15" customHeight="1">
      <c r="A98" s="126">
        <v>97</v>
      </c>
      <c r="B98" s="127" t="str">
        <f>IF(足元帳!K98="","",精算表!$W$1)</f>
        <v/>
      </c>
      <c r="C98" s="128" t="str">
        <f>IF(足元帳!K98="","",IF(足元帳!AY98=2,"R","N"))</f>
        <v/>
      </c>
      <c r="D98" s="128" t="str">
        <f>IF(足元帳!K98="","",IF(足元帳!AZ98=1,"姫",IF(足元帳!AZ98=2,"本指名",IF(足元帳!AZ98=3,"NET",IF(足元帳!AZ98=4,"写真","")))))</f>
        <v/>
      </c>
      <c r="E98" s="128" t="str">
        <f>IF(足元帳!K98="","",足元帳!K98)</f>
        <v/>
      </c>
      <c r="F98" s="128" t="str">
        <f>IF(足元帳!K98="","",IF(足元帳!BB98=1,45,IF(足元帳!BB98=2,60,IF(足元帳!BB98=3,75,IF(足元帳!BB98=4,90,IF(足元帳!BB98=5,120,IF(足元帳!BB98=6,150,IF(足元帳!BB98=7,180,""))))))))</f>
        <v/>
      </c>
      <c r="G98" s="128" t="str">
        <f>IF(足元帳!K98="","",足元帳!A98)</f>
        <v/>
      </c>
      <c r="H98" s="125" t="str">
        <f>IF(足元帳!AP98="","",$H$1)</f>
        <v/>
      </c>
      <c r="I98" s="125" t="str">
        <f>IF(足元帳!AQ98="","",$I$1)</f>
        <v/>
      </c>
      <c r="J98" s="125" t="str">
        <f>IF(足元帳!AR98="","",$J$1)</f>
        <v/>
      </c>
      <c r="K98" s="125" t="str">
        <f>IF(足元帳!AS98="","",$K$1)</f>
        <v/>
      </c>
      <c r="L98" s="291" t="str">
        <f>IF(COUNTIF(足元帳!AT98,"*複合*"),"複合","")</f>
        <v/>
      </c>
      <c r="M98" s="291" t="str">
        <f>IF(COUNTIF(足元帳!AT98,"*店頭本指名*"),"店頭本指名","")</f>
        <v/>
      </c>
      <c r="N98" s="125" t="str">
        <f>IF(足元帳!U98="","",足元帳!U98)</f>
        <v/>
      </c>
      <c r="O98" s="125" t="str">
        <f>IF(足元帳!V98="","",足元帳!V98)</f>
        <v/>
      </c>
      <c r="P98" s="125" t="str">
        <f>IF(足元帳!W98="","",足元帳!W98)</f>
        <v/>
      </c>
      <c r="Q98" s="125" t="str">
        <f>IF(足元帳!X98="","",足元帳!X98)</f>
        <v/>
      </c>
      <c r="R98" s="125" t="str">
        <f>IF(足元帳!Y98="","",足元帳!Y98)</f>
        <v/>
      </c>
      <c r="S98" s="125" t="str">
        <f>IF(足元帳!Z98="","",足元帳!Z98)</f>
        <v/>
      </c>
      <c r="T98" s="125" t="str">
        <f>IF(足元帳!AT98="","",足元帳!AT98)</f>
        <v/>
      </c>
      <c r="U98" s="125" t="str">
        <f>IF(足元帳!AH98="●",足元帳!$AH$1&amp;足元帳!AW98,"")</f>
        <v/>
      </c>
      <c r="V98" s="125" t="str">
        <f>IF(足元帳!AI98="●",足元帳!$AI$1&amp;足元帳!AW98,"")</f>
        <v/>
      </c>
      <c r="W98" s="125" t="str">
        <f>IF(足元帳!AX98="","",足元帳!AX98)</f>
        <v/>
      </c>
      <c r="X98" s="125">
        <f>足元帳!BJ98</f>
        <v>0</v>
      </c>
      <c r="Y98" s="305" t="str">
        <f>"受付合計"&amp;Z97+AA97&amp;"名"</f>
        <v>受付合計0名</v>
      </c>
      <c r="Z98" s="306"/>
      <c r="AA98" s="305">
        <v>6</v>
      </c>
      <c r="AB98" s="587" t="s">
        <v>317</v>
      </c>
      <c r="AC98" s="565"/>
      <c r="AD98" s="245">
        <f t="shared" ref="AD98:AH101" si="19">COUNTIFS($G$2:$G$511,$AA98,$F$2:$F$511,AD$97)</f>
        <v>0</v>
      </c>
      <c r="AE98" s="245">
        <f t="shared" si="19"/>
        <v>0</v>
      </c>
      <c r="AF98" s="245">
        <f t="shared" si="19"/>
        <v>0</v>
      </c>
      <c r="AG98" s="245">
        <f t="shared" si="19"/>
        <v>0</v>
      </c>
      <c r="AH98" s="245">
        <f t="shared" si="19"/>
        <v>0</v>
      </c>
      <c r="AI98" s="240"/>
      <c r="AJ98" s="116">
        <f>SUM(AD98:AI98)</f>
        <v>0</v>
      </c>
      <c r="AK98" s="245">
        <f>SUMPRODUCT(($F$2:$F$258=AK$97)*($X$2:$X$258=5)*($G$2:$G$258=$AA98))</f>
        <v>0</v>
      </c>
      <c r="AL98" s="245">
        <f>SUMPRODUCT(($F$2:$F$258=AL$97)*($X$2:$X$258=5)*($G$2:$G$258=$AA98))</f>
        <v>0</v>
      </c>
      <c r="AM98" s="245">
        <f>SUMPRODUCT(($F$2:$F$258=AM$97)*($X$2:$X$258=5)*($G$2:$G$258=$AA98))</f>
        <v>0</v>
      </c>
      <c r="AN98" s="245">
        <f>SUMPRODUCT(($F$2:$F$258=AN$97)*($X$2:$X$258=5)*($G$2:$G$258=$AA98))</f>
        <v>0</v>
      </c>
      <c r="AO98" s="245">
        <f>SUMPRODUCT(($F$2:$F$258=AO$97)*($X$2:$X$258=5)*($G$2:$G$258=$AA98))</f>
        <v>0</v>
      </c>
      <c r="AP98" s="240"/>
      <c r="AQ98" s="116">
        <f>SUM(AK98:AP98)</f>
        <v>0</v>
      </c>
      <c r="AR98" s="637">
        <f>SUMPRODUCT(($D$2:$D$258=AZ97)*($G$2:$G$258=$AA98))</f>
        <v>0</v>
      </c>
      <c r="AS98" s="638"/>
      <c r="AT98" s="639"/>
      <c r="AU98" s="637">
        <f>SUMPRODUCT(($D$2:$D$258=BA$97)*($G$2:$G$258=$AA98)*($X$2:$X$258=5))</f>
        <v>0</v>
      </c>
      <c r="AV98" s="638"/>
      <c r="AW98" s="245">
        <f>SUM(BA98:BC98)</f>
        <v>0</v>
      </c>
      <c r="AX98" s="587">
        <f>AD98*0.75+AE98*1+AF98*1.25+AG98*1.5+AH98*2</f>
        <v>0</v>
      </c>
      <c r="AY98" s="565"/>
      <c r="AZ98" s="116">
        <f>COUNTIFS($D$2:$D$258,$AZ$97,$G$2:$G$258,AA98)</f>
        <v>0</v>
      </c>
      <c r="BA98" s="116">
        <f>COUNTIFS($D$2:$D$258,$BA$97,$G$2:$G$258,AA98)</f>
        <v>0</v>
      </c>
      <c r="BB98" s="116">
        <f>COUNTIFS($D$2:$D$258,$BB$97,$G$2:$G$258,AA98)</f>
        <v>0</v>
      </c>
      <c r="BC98" s="116">
        <f>COUNTIFS($D$2:$D$258,$BC$97,$G$2:$G$258,AA98)</f>
        <v>0</v>
      </c>
    </row>
    <row r="99" spans="1:55" ht="13.15" customHeight="1">
      <c r="A99" s="126">
        <v>98</v>
      </c>
      <c r="B99" s="127" t="str">
        <f>IF(足元帳!K99="","",精算表!$W$1)</f>
        <v/>
      </c>
      <c r="C99" s="128" t="str">
        <f>IF(足元帳!K99="","",IF(足元帳!AY99=2,"R","N"))</f>
        <v/>
      </c>
      <c r="D99" s="128" t="str">
        <f>IF(足元帳!K99="","",IF(足元帳!AZ99=1,"姫",IF(足元帳!AZ99=2,"本指名",IF(足元帳!AZ99=3,"NET",IF(足元帳!AZ99=4,"写真","")))))</f>
        <v/>
      </c>
      <c r="E99" s="128" t="str">
        <f>IF(足元帳!K99="","",足元帳!K99)</f>
        <v/>
      </c>
      <c r="F99" s="128" t="str">
        <f>IF(足元帳!K99="","",IF(足元帳!BB99=1,45,IF(足元帳!BB99=2,60,IF(足元帳!BB99=3,75,IF(足元帳!BB99=4,90,IF(足元帳!BB99=5,120,IF(足元帳!BB99=6,150,IF(足元帳!BB99=7,180,""))))))))</f>
        <v/>
      </c>
      <c r="G99" s="128" t="str">
        <f>IF(足元帳!K99="","",足元帳!A99)</f>
        <v/>
      </c>
      <c r="H99" s="125" t="str">
        <f>IF(足元帳!AP99="","",$H$1)</f>
        <v/>
      </c>
      <c r="I99" s="125" t="str">
        <f>IF(足元帳!AQ99="","",$I$1)</f>
        <v/>
      </c>
      <c r="J99" s="125" t="str">
        <f>IF(足元帳!AR99="","",$J$1)</f>
        <v/>
      </c>
      <c r="K99" s="125" t="str">
        <f>IF(足元帳!AS99="","",$K$1)</f>
        <v/>
      </c>
      <c r="L99" s="291" t="str">
        <f>IF(COUNTIF(足元帳!AT99,"*複合*"),"複合","")</f>
        <v/>
      </c>
      <c r="M99" s="291" t="str">
        <f>IF(COUNTIF(足元帳!AT99,"*店頭本指名*"),"店頭本指名","")</f>
        <v/>
      </c>
      <c r="N99" s="125" t="str">
        <f>IF(足元帳!U99="","",足元帳!U99)</f>
        <v/>
      </c>
      <c r="O99" s="125" t="str">
        <f>IF(足元帳!V99="","",足元帳!V99)</f>
        <v/>
      </c>
      <c r="P99" s="125" t="str">
        <f>IF(足元帳!W99="","",足元帳!W99)</f>
        <v/>
      </c>
      <c r="Q99" s="125" t="str">
        <f>IF(足元帳!X99="","",足元帳!X99)</f>
        <v/>
      </c>
      <c r="R99" s="125" t="str">
        <f>IF(足元帳!Y99="","",足元帳!Y99)</f>
        <v/>
      </c>
      <c r="S99" s="125" t="str">
        <f>IF(足元帳!Z99="","",足元帳!Z99)</f>
        <v/>
      </c>
      <c r="T99" s="125" t="str">
        <f>IF(足元帳!AT99="","",足元帳!AT99)</f>
        <v/>
      </c>
      <c r="U99" s="125" t="str">
        <f>IF(足元帳!AH99="●",足元帳!$AH$1&amp;足元帳!AW99,"")</f>
        <v/>
      </c>
      <c r="V99" s="125" t="str">
        <f>IF(足元帳!AI99="●",足元帳!$AI$1&amp;足元帳!AW99,"")</f>
        <v/>
      </c>
      <c r="W99" s="125" t="str">
        <f>IF(足元帳!AX99="","",足元帳!AX99)</f>
        <v/>
      </c>
      <c r="X99" s="125">
        <f>足元帳!BJ99</f>
        <v>0</v>
      </c>
      <c r="Y99" s="305"/>
      <c r="Z99" s="305"/>
      <c r="AA99" s="305">
        <v>7</v>
      </c>
      <c r="AB99" s="587" t="s">
        <v>318</v>
      </c>
      <c r="AC99" s="565"/>
      <c r="AD99" s="245">
        <f t="shared" si="19"/>
        <v>0</v>
      </c>
      <c r="AE99" s="245">
        <f t="shared" si="19"/>
        <v>0</v>
      </c>
      <c r="AF99" s="245">
        <f t="shared" si="19"/>
        <v>0</v>
      </c>
      <c r="AG99" s="245">
        <f t="shared" si="19"/>
        <v>0</v>
      </c>
      <c r="AH99" s="245">
        <f t="shared" si="19"/>
        <v>0</v>
      </c>
      <c r="AI99" s="240"/>
      <c r="AJ99" s="116">
        <f>SUM(AD99:AI99)</f>
        <v>0</v>
      </c>
      <c r="AK99" s="245">
        <f t="shared" ref="AK99:AO100" si="20">SUMPRODUCT(($F$2:$F$258=AK$97)*($X$2:$X$258=6)*($G$2:$G$258=$AA99))</f>
        <v>0</v>
      </c>
      <c r="AL99" s="245">
        <f t="shared" si="20"/>
        <v>0</v>
      </c>
      <c r="AM99" s="245">
        <f t="shared" si="20"/>
        <v>0</v>
      </c>
      <c r="AN99" s="245">
        <f t="shared" si="20"/>
        <v>0</v>
      </c>
      <c r="AO99" s="245">
        <f t="shared" si="20"/>
        <v>0</v>
      </c>
      <c r="AP99" s="240"/>
      <c r="AQ99" s="116">
        <f>SUM(AK99:AP99)</f>
        <v>0</v>
      </c>
      <c r="AR99" s="637">
        <f>SUMPRODUCT(($D$2:$D$258=AZ98)*($G$2:$G$258=$AA99))</f>
        <v>0</v>
      </c>
      <c r="AS99" s="638"/>
      <c r="AT99" s="639"/>
      <c r="AU99" s="637">
        <f>SUMPRODUCT(($D$2:$D$258=BA$97)*($G$2:$G$258=$AA99)*($X$2:$X$258=6))</f>
        <v>0</v>
      </c>
      <c r="AV99" s="638"/>
      <c r="AW99" s="245">
        <f>SUM(BA99:BC99)</f>
        <v>0</v>
      </c>
      <c r="AX99" s="587">
        <f>AD99*0.75+AE99*1+AF99*1.25+AG99*1.5+AH99*2</f>
        <v>0</v>
      </c>
      <c r="AY99" s="565"/>
      <c r="AZ99" s="116">
        <f>COUNTIFS($D$2:$D$258,$AZ$97,$G$2:$G$258,AA99)</f>
        <v>0</v>
      </c>
      <c r="BA99" s="116">
        <f>COUNTIFS($D$2:$D$258,$BA$97,$G$2:$G$258,AA99)</f>
        <v>0</v>
      </c>
      <c r="BB99" s="116">
        <f>COUNTIFS($D$2:$D$258,$BB$97,$G$2:$G$258,AA99)</f>
        <v>0</v>
      </c>
      <c r="BC99" s="116">
        <f>COUNTIFS($D$2:$D$258,$BC$97,$G$2:$G$258,AA99)</f>
        <v>0</v>
      </c>
    </row>
    <row r="100" spans="1:55" ht="13.15" customHeight="1">
      <c r="A100" s="126">
        <v>99</v>
      </c>
      <c r="B100" s="127" t="str">
        <f>IF(足元帳!K100="","",精算表!$W$1)</f>
        <v/>
      </c>
      <c r="C100" s="128" t="str">
        <f>IF(足元帳!K100="","",IF(足元帳!AY100=2,"R","N"))</f>
        <v/>
      </c>
      <c r="D100" s="128" t="str">
        <f>IF(足元帳!K100="","",IF(足元帳!AZ100=1,"姫",IF(足元帳!AZ100=2,"本指名",IF(足元帳!AZ100=3,"NET",IF(足元帳!AZ100=4,"写真","")))))</f>
        <v/>
      </c>
      <c r="E100" s="128" t="str">
        <f>IF(足元帳!K100="","",足元帳!K100)</f>
        <v/>
      </c>
      <c r="F100" s="128" t="str">
        <f>IF(足元帳!K100="","",IF(足元帳!BB100=1,45,IF(足元帳!BB100=2,60,IF(足元帳!BB100=3,75,IF(足元帳!BB100=4,90,IF(足元帳!BB100=5,120,IF(足元帳!BB100=6,150,IF(足元帳!BB100=7,180,""))))))))</f>
        <v/>
      </c>
      <c r="G100" s="128" t="str">
        <f>IF(足元帳!K100="","",足元帳!A100)</f>
        <v/>
      </c>
      <c r="H100" s="125" t="str">
        <f>IF(足元帳!AP100="","",$H$1)</f>
        <v/>
      </c>
      <c r="I100" s="125" t="str">
        <f>IF(足元帳!AQ100="","",$I$1)</f>
        <v/>
      </c>
      <c r="J100" s="125" t="str">
        <f>IF(足元帳!AR100="","",$J$1)</f>
        <v/>
      </c>
      <c r="K100" s="125" t="str">
        <f>IF(足元帳!AS100="","",$K$1)</f>
        <v/>
      </c>
      <c r="L100" s="291" t="str">
        <f>IF(COUNTIF(足元帳!AT100,"*複合*"),"複合","")</f>
        <v/>
      </c>
      <c r="M100" s="291" t="str">
        <f>IF(COUNTIF(足元帳!AT100,"*店頭本指名*"),"店頭本指名","")</f>
        <v/>
      </c>
      <c r="N100" s="125" t="str">
        <f>IF(足元帳!U100="","",足元帳!U100)</f>
        <v/>
      </c>
      <c r="O100" s="125" t="str">
        <f>IF(足元帳!V100="","",足元帳!V100)</f>
        <v/>
      </c>
      <c r="P100" s="125" t="str">
        <f>IF(足元帳!W100="","",足元帳!W100)</f>
        <v/>
      </c>
      <c r="Q100" s="125" t="str">
        <f>IF(足元帳!X100="","",足元帳!X100)</f>
        <v/>
      </c>
      <c r="R100" s="125" t="str">
        <f>IF(足元帳!Y100="","",足元帳!Y100)</f>
        <v/>
      </c>
      <c r="S100" s="125" t="str">
        <f>IF(足元帳!Z100="","",足元帳!Z100)</f>
        <v/>
      </c>
      <c r="T100" s="125" t="str">
        <f>IF(足元帳!AT100="","",足元帳!AT100)</f>
        <v/>
      </c>
      <c r="U100" s="125" t="str">
        <f>IF(足元帳!AH100="●",足元帳!$AH$1&amp;足元帳!AW100,"")</f>
        <v/>
      </c>
      <c r="V100" s="125" t="str">
        <f>IF(足元帳!AI100="●",足元帳!$AI$1&amp;足元帳!AW100,"")</f>
        <v/>
      </c>
      <c r="W100" s="125" t="str">
        <f>IF(足元帳!AX100="","",足元帳!AX100)</f>
        <v/>
      </c>
      <c r="X100" s="125">
        <f>足元帳!BJ100</f>
        <v>0</v>
      </c>
      <c r="Y100" s="305" t="s">
        <v>310</v>
      </c>
      <c r="Z100" s="305"/>
      <c r="AA100" s="305">
        <v>8</v>
      </c>
      <c r="AB100" s="587" t="s">
        <v>319</v>
      </c>
      <c r="AC100" s="565"/>
      <c r="AD100" s="245">
        <f t="shared" si="19"/>
        <v>0</v>
      </c>
      <c r="AE100" s="245">
        <f t="shared" si="19"/>
        <v>0</v>
      </c>
      <c r="AF100" s="245">
        <f t="shared" si="19"/>
        <v>0</v>
      </c>
      <c r="AG100" s="245">
        <f t="shared" si="19"/>
        <v>0</v>
      </c>
      <c r="AH100" s="245">
        <f t="shared" si="19"/>
        <v>0</v>
      </c>
      <c r="AI100" s="116"/>
      <c r="AJ100" s="116">
        <f>SUM(AD100:AI100)</f>
        <v>0</v>
      </c>
      <c r="AK100" s="245">
        <f t="shared" si="20"/>
        <v>0</v>
      </c>
      <c r="AL100" s="245">
        <f t="shared" si="20"/>
        <v>0</v>
      </c>
      <c r="AM100" s="245">
        <f t="shared" si="20"/>
        <v>0</v>
      </c>
      <c r="AN100" s="245">
        <f t="shared" si="20"/>
        <v>0</v>
      </c>
      <c r="AO100" s="245">
        <f t="shared" si="20"/>
        <v>0</v>
      </c>
      <c r="AP100" s="116"/>
      <c r="AQ100" s="116">
        <f>SUM(AK100:AP100)</f>
        <v>0</v>
      </c>
      <c r="AR100" s="637">
        <f>SUMPRODUCT(($D$2:$D$258=AZ99)*($G$2:$G$258=$AA100))</f>
        <v>0</v>
      </c>
      <c r="AS100" s="638"/>
      <c r="AT100" s="639"/>
      <c r="AU100" s="637">
        <f>SUMPRODUCT(($D$2:$D$258=BA$97)*($G$2:$G$258=$AA100)*($X$2:$X$258=6))</f>
        <v>0</v>
      </c>
      <c r="AV100" s="638"/>
      <c r="AW100" s="116">
        <f>SUM(BA100:BC100)</f>
        <v>0</v>
      </c>
      <c r="AX100" s="587">
        <f>AD100*0.75+AE100*1+AF100*1.25+AG100*1.5+AH100*2</f>
        <v>0</v>
      </c>
      <c r="AY100" s="565"/>
      <c r="AZ100" s="116">
        <f>COUNTIFS($D$2:$D$258,$AZ$97,$G$2:$G$258,AA100)</f>
        <v>0</v>
      </c>
      <c r="BA100" s="116">
        <f>COUNTIFS($D$2:$D$258,$BA$97,$G$2:$G$258,AA100)</f>
        <v>0</v>
      </c>
      <c r="BB100" s="116">
        <f>COUNTIFS($D$2:$D$258,$BB$97,$G$2:$G$258,AA100)</f>
        <v>0</v>
      </c>
      <c r="BC100" s="116">
        <f>COUNTIFS($D$2:$D$258,$BC$97,$G$2:$G$258,AA100)</f>
        <v>0</v>
      </c>
    </row>
    <row r="101" spans="1:55" ht="13.15" customHeight="1">
      <c r="A101" s="126">
        <v>100</v>
      </c>
      <c r="B101" s="127" t="str">
        <f>IF(足元帳!K101="","",精算表!$W$1)</f>
        <v/>
      </c>
      <c r="C101" s="128" t="str">
        <f>IF(足元帳!K101="","",IF(足元帳!AY101=2,"R","N"))</f>
        <v/>
      </c>
      <c r="D101" s="128" t="str">
        <f>IF(足元帳!K101="","",IF(足元帳!AZ101=1,"姫",IF(足元帳!AZ101=2,"本指名",IF(足元帳!AZ101=3,"NET",IF(足元帳!AZ101=4,"写真","")))))</f>
        <v/>
      </c>
      <c r="E101" s="128" t="str">
        <f>IF(足元帳!K101="","",足元帳!K101)</f>
        <v/>
      </c>
      <c r="F101" s="128" t="str">
        <f>IF(足元帳!K101="","",IF(足元帳!BB101=1,45,IF(足元帳!BB101=2,60,IF(足元帳!BB101=3,75,IF(足元帳!BB101=4,90,IF(足元帳!BB101=5,120,IF(足元帳!BB101=6,150,IF(足元帳!BB101=7,180,""))))))))</f>
        <v/>
      </c>
      <c r="G101" s="128" t="str">
        <f>IF(足元帳!K101="","",足元帳!A101)</f>
        <v/>
      </c>
      <c r="H101" s="125" t="str">
        <f>IF(足元帳!AP101="","",$H$1)</f>
        <v/>
      </c>
      <c r="I101" s="125" t="str">
        <f>IF(足元帳!AQ101="","",$I$1)</f>
        <v/>
      </c>
      <c r="J101" s="125" t="str">
        <f>IF(足元帳!AR101="","",$J$1)</f>
        <v/>
      </c>
      <c r="K101" s="125" t="str">
        <f>IF(足元帳!AS101="","",$K$1)</f>
        <v/>
      </c>
      <c r="L101" s="291" t="str">
        <f>IF(COUNTIF(足元帳!AT101,"*複合*"),"複合","")</f>
        <v/>
      </c>
      <c r="M101" s="291" t="str">
        <f>IF(COUNTIF(足元帳!AT101,"*店頭本指名*"),"店頭本指名","")</f>
        <v/>
      </c>
      <c r="N101" s="125" t="str">
        <f>IF(足元帳!U101="","",足元帳!U101)</f>
        <v/>
      </c>
      <c r="O101" s="125" t="str">
        <f>IF(足元帳!V101="","",足元帳!V101)</f>
        <v/>
      </c>
      <c r="P101" s="125" t="str">
        <f>IF(足元帳!W101="","",足元帳!W101)</f>
        <v/>
      </c>
      <c r="Q101" s="125" t="str">
        <f>IF(足元帳!X101="","",足元帳!X101)</f>
        <v/>
      </c>
      <c r="R101" s="125" t="str">
        <f>IF(足元帳!Y101="","",足元帳!Y101)</f>
        <v/>
      </c>
      <c r="S101" s="125" t="str">
        <f>IF(足元帳!Z101="","",足元帳!Z101)</f>
        <v/>
      </c>
      <c r="T101" s="125" t="str">
        <f>IF(足元帳!AT101="","",足元帳!AT101)</f>
        <v/>
      </c>
      <c r="U101" s="125" t="str">
        <f>IF(足元帳!AH101="●",足元帳!$AH$1&amp;足元帳!AW101,"")</f>
        <v/>
      </c>
      <c r="V101" s="125" t="str">
        <f>IF(足元帳!AI101="●",足元帳!$AI$1&amp;足元帳!AW101,"")</f>
        <v/>
      </c>
      <c r="W101" s="125" t="str">
        <f>IF(足元帳!AX101="","",足元帳!AX101)</f>
        <v/>
      </c>
      <c r="X101" s="125">
        <f>足元帳!BJ101</f>
        <v>0</v>
      </c>
      <c r="Y101" s="305" t="str">
        <f>"　"&amp;AD98&amp;"/"&amp;AE98&amp;"/"&amp;AF98&amp;"/"&amp;AG98&amp;"/"&amp;AH98&amp;"("&amp;AK98&amp;"/"&amp;AL98&amp;"/"&amp;AM98&amp;"/"&amp;AN98&amp;"/"&amp;AO98&amp;")"</f>
        <v>　0/0/0/0/0(0/0/0/0/0)</v>
      </c>
      <c r="Z101" s="305"/>
      <c r="AA101" s="305">
        <v>9</v>
      </c>
      <c r="AB101" s="587" t="s">
        <v>334</v>
      </c>
      <c r="AC101" s="566"/>
      <c r="AD101" s="116">
        <f t="shared" si="19"/>
        <v>0</v>
      </c>
      <c r="AE101" s="116">
        <f t="shared" si="19"/>
        <v>0</v>
      </c>
      <c r="AF101" s="116">
        <f t="shared" si="19"/>
        <v>0</v>
      </c>
      <c r="AG101" s="116">
        <f t="shared" si="19"/>
        <v>0</v>
      </c>
      <c r="AH101" s="116">
        <f t="shared" si="19"/>
        <v>0</v>
      </c>
      <c r="AI101" s="116"/>
      <c r="AJ101" s="116">
        <f>SUM(AD101:AH101)</f>
        <v>0</v>
      </c>
      <c r="AK101" s="245">
        <f>SUMPRODUCT(($F$2:$F$258=AK$97)*($X$2:$X$258=3)*($G$2:$G$258=$AA101))</f>
        <v>0</v>
      </c>
      <c r="AL101" s="245">
        <f>SUMPRODUCT(($F$2:$F$258=AL$97)*($X$2:$X$258=3)*($G$2:$G$258=$AA101))</f>
        <v>0</v>
      </c>
      <c r="AM101" s="245">
        <f>SUMPRODUCT(($F$2:$F$258=AM$97)*($X$2:$X$258=3)*($G$2:$G$258=$AA101))</f>
        <v>0</v>
      </c>
      <c r="AN101" s="245">
        <f>SUMPRODUCT(($F$2:$F$258=AN$97)*($X$2:$X$258=3)*($G$2:$G$258=$AA101))</f>
        <v>0</v>
      </c>
      <c r="AO101" s="245">
        <f>SUMPRODUCT(($F$2:$F$258=AO$97)*($X$2:$X$258=3)*($G$2:$G$258=$AA101))</f>
        <v>0</v>
      </c>
      <c r="AP101" s="116"/>
      <c r="AQ101" s="116">
        <f>SUM(AK101:AO101)</f>
        <v>0</v>
      </c>
      <c r="AR101" s="637">
        <f>SUMPRODUCT(($D$2:$D$258=AZ100)*($G$2:$G$258=$AA101))</f>
        <v>0</v>
      </c>
      <c r="AS101" s="638"/>
      <c r="AT101" s="639"/>
      <c r="AU101" s="637">
        <f>SUMPRODUCT(($D$2:$D$258=BA$97)*($G$2:$G$258=$AA101)*($X$2:$X$258=3))</f>
        <v>0</v>
      </c>
      <c r="AV101" s="638"/>
      <c r="AW101" s="116">
        <f>SUM(BA101:BC101)</f>
        <v>0</v>
      </c>
      <c r="AX101" s="587">
        <f>AD101*0.75+AE101*1+AF101*1.25+AG101*1.5+AH101*2</f>
        <v>0</v>
      </c>
      <c r="AY101" s="566"/>
      <c r="AZ101" s="116">
        <f>COUNTIFS($D$2:$D$258,AZ97,$G$2:$G$258,$AA$101)</f>
        <v>0</v>
      </c>
      <c r="BA101" s="116">
        <f>COUNTIFS($D$2:$D$258,BA97,$G$2:$G$258,$AA$101)</f>
        <v>0</v>
      </c>
      <c r="BB101" s="116">
        <f>COUNTIFS($D$2:$D$258,BB97,$G$2:$G$258,$AA$101)</f>
        <v>0</v>
      </c>
      <c r="BC101" s="116">
        <f>COUNTIFS($D$2:$D$258,BC97,$G$2:$G$258,$AA$101)</f>
        <v>0</v>
      </c>
    </row>
    <row r="102" spans="1:55" ht="13.15" customHeight="1">
      <c r="A102" s="126">
        <v>101</v>
      </c>
      <c r="B102" s="127" t="str">
        <f>IF(足元帳!K102="","",精算表!$W$1)</f>
        <v/>
      </c>
      <c r="C102" s="128" t="str">
        <f>IF(足元帳!K102="","",IF(足元帳!AY102=2,"R","N"))</f>
        <v/>
      </c>
      <c r="D102" s="128" t="str">
        <f>IF(足元帳!K102="","",IF(足元帳!AZ102=1,"姫",IF(足元帳!AZ102=2,"本指名",IF(足元帳!AZ102=3,"NET",IF(足元帳!AZ102=4,"写真","")))))</f>
        <v/>
      </c>
      <c r="E102" s="128" t="str">
        <f>IF(足元帳!K102="","",足元帳!K102)</f>
        <v/>
      </c>
      <c r="F102" s="128" t="str">
        <f>IF(足元帳!K102="","",IF(足元帳!BB102=1,45,IF(足元帳!BB102=2,60,IF(足元帳!BB102=3,75,IF(足元帳!BB102=4,90,IF(足元帳!BB102=5,120,IF(足元帳!BB102=6,150,IF(足元帳!BB102=7,180,""))))))))</f>
        <v/>
      </c>
      <c r="G102" s="128" t="str">
        <f>IF(足元帳!K102="","",足元帳!A102)</f>
        <v/>
      </c>
      <c r="H102" s="125" t="str">
        <f>IF(足元帳!AP102="","",$H$1)</f>
        <v/>
      </c>
      <c r="I102" s="125" t="str">
        <f>IF(足元帳!AQ102="","",$I$1)</f>
        <v/>
      </c>
      <c r="J102" s="125" t="str">
        <f>IF(足元帳!AR102="","",$J$1)</f>
        <v/>
      </c>
      <c r="K102" s="125" t="str">
        <f>IF(足元帳!AS102="","",$K$1)</f>
        <v/>
      </c>
      <c r="L102" s="291" t="str">
        <f>IF(COUNTIF(足元帳!AT102,"*複合*"),"複合","")</f>
        <v/>
      </c>
      <c r="M102" s="291" t="str">
        <f>IF(COUNTIF(足元帳!AT102,"*店頭本指名*"),"店頭本指名","")</f>
        <v/>
      </c>
      <c r="N102" s="125" t="str">
        <f>IF(足元帳!U102="","",足元帳!U102)</f>
        <v/>
      </c>
      <c r="O102" s="125" t="str">
        <f>IF(足元帳!V102="","",足元帳!V102)</f>
        <v/>
      </c>
      <c r="P102" s="125" t="str">
        <f>IF(足元帳!W102="","",足元帳!W102)</f>
        <v/>
      </c>
      <c r="Q102" s="125" t="str">
        <f>IF(足元帳!X102="","",足元帳!X102)</f>
        <v/>
      </c>
      <c r="R102" s="125" t="str">
        <f>IF(足元帳!Y102="","",足元帳!Y102)</f>
        <v/>
      </c>
      <c r="S102" s="125" t="str">
        <f>IF(足元帳!Z102="","",足元帳!Z102)</f>
        <v/>
      </c>
      <c r="T102" s="125" t="str">
        <f>IF(足元帳!AT102="","",足元帳!AT102)</f>
        <v/>
      </c>
      <c r="U102" s="125" t="str">
        <f>IF(足元帳!AH102="●",足元帳!$AH$1&amp;足元帳!AW102,"")</f>
        <v/>
      </c>
      <c r="V102" s="125" t="str">
        <f>IF(足元帳!AI102="●",足元帳!$AI$1&amp;足元帳!AW102,"")</f>
        <v/>
      </c>
      <c r="W102" s="125" t="str">
        <f>IF(足元帳!AX102="","",足元帳!AX102)</f>
        <v/>
      </c>
      <c r="X102" s="125">
        <f>足元帳!BJ102</f>
        <v>0</v>
      </c>
      <c r="Y102" s="305" t="str">
        <f>"　"&amp;AJ98&amp;"本"&amp;"　"&amp;AX98&amp;"pt"</f>
        <v>　0本　0pt</v>
      </c>
      <c r="Z102" s="305"/>
      <c r="AA102" s="305"/>
      <c r="AB102" s="604" t="s">
        <v>159</v>
      </c>
      <c r="AC102" s="604"/>
      <c r="AD102" s="116">
        <f>SUM(AD98:AD101)</f>
        <v>0</v>
      </c>
      <c r="AE102" s="116">
        <f>SUM(AE98:AE101)</f>
        <v>0</v>
      </c>
      <c r="AF102" s="116">
        <f>SUM(AF98:AF101)</f>
        <v>0</v>
      </c>
      <c r="AG102" s="116">
        <f>SUM(AG98:AG101)</f>
        <v>0</v>
      </c>
      <c r="AH102" s="116">
        <f>SUM(AH98:AH101)</f>
        <v>0</v>
      </c>
      <c r="AI102" s="116"/>
      <c r="AJ102" s="116">
        <f t="shared" ref="AJ102:AO102" si="21">SUM(AJ98:AJ101)</f>
        <v>0</v>
      </c>
      <c r="AK102" s="116">
        <f t="shared" si="21"/>
        <v>0</v>
      </c>
      <c r="AL102" s="116">
        <f t="shared" si="21"/>
        <v>0</v>
      </c>
      <c r="AM102" s="116">
        <f t="shared" si="21"/>
        <v>0</v>
      </c>
      <c r="AN102" s="116">
        <f t="shared" si="21"/>
        <v>0</v>
      </c>
      <c r="AO102" s="116">
        <f t="shared" si="21"/>
        <v>0</v>
      </c>
      <c r="AP102" s="116"/>
      <c r="AQ102" s="116">
        <f>SUM(AQ98:AQ101)</f>
        <v>0</v>
      </c>
      <c r="AR102" s="604">
        <f>SUM(AR98:AR101)</f>
        <v>0</v>
      </c>
      <c r="AS102" s="604"/>
      <c r="AT102" s="604"/>
      <c r="AU102" s="604">
        <f>SUM(AU98:AU101)</f>
        <v>0</v>
      </c>
      <c r="AV102" s="604"/>
      <c r="AW102" s="116">
        <f>SUM(AW98:AW101)</f>
        <v>0</v>
      </c>
      <c r="AX102" s="604">
        <f>SUM(AX98:AX101)</f>
        <v>0</v>
      </c>
      <c r="AY102" s="604"/>
      <c r="AZ102" s="116">
        <f>SUM(AZ98:AZ101)</f>
        <v>0</v>
      </c>
      <c r="BA102" s="116">
        <f>SUM(BA98:BA101)</f>
        <v>0</v>
      </c>
      <c r="BB102" s="116">
        <f>SUM(BB98:BB101)</f>
        <v>0</v>
      </c>
      <c r="BC102" s="116">
        <f>SUM(BC98:BC101)</f>
        <v>0</v>
      </c>
    </row>
    <row r="103" spans="1:55" ht="13.15" customHeight="1">
      <c r="A103" s="126">
        <v>102</v>
      </c>
      <c r="B103" s="127" t="str">
        <f>IF(足元帳!K103="","",精算表!$W$1)</f>
        <v/>
      </c>
      <c r="C103" s="128" t="str">
        <f>IF(足元帳!K103="","",IF(足元帳!AY103=2,"R","N"))</f>
        <v/>
      </c>
      <c r="D103" s="128" t="str">
        <f>IF(足元帳!K103="","",IF(足元帳!AZ103=1,"姫",IF(足元帳!AZ103=2,"本指名",IF(足元帳!AZ103=3,"NET",IF(足元帳!AZ103=4,"写真","")))))</f>
        <v/>
      </c>
      <c r="E103" s="128" t="str">
        <f>IF(足元帳!K103="","",足元帳!K103)</f>
        <v/>
      </c>
      <c r="F103" s="128" t="str">
        <f>IF(足元帳!K103="","",IF(足元帳!BB103=1,45,IF(足元帳!BB103=2,60,IF(足元帳!BB103=3,75,IF(足元帳!BB103=4,90,IF(足元帳!BB103=5,120,IF(足元帳!BB103=6,150,IF(足元帳!BB103=7,180,""))))))))</f>
        <v/>
      </c>
      <c r="G103" s="128" t="str">
        <f>IF(足元帳!K103="","",足元帳!A103)</f>
        <v/>
      </c>
      <c r="H103" s="125" t="str">
        <f>IF(足元帳!AP103="","",$H$1)</f>
        <v/>
      </c>
      <c r="I103" s="125" t="str">
        <f>IF(足元帳!AQ103="","",$I$1)</f>
        <v/>
      </c>
      <c r="J103" s="125" t="str">
        <f>IF(足元帳!AR103="","",$J$1)</f>
        <v/>
      </c>
      <c r="K103" s="125" t="str">
        <f>IF(足元帳!AS103="","",$K$1)</f>
        <v/>
      </c>
      <c r="L103" s="291" t="str">
        <f>IF(COUNTIF(足元帳!AT103,"*複合*"),"複合","")</f>
        <v/>
      </c>
      <c r="M103" s="291" t="str">
        <f>IF(COUNTIF(足元帳!AT103,"*店頭本指名*"),"店頭本指名","")</f>
        <v/>
      </c>
      <c r="N103" s="125" t="str">
        <f>IF(足元帳!U103="","",足元帳!U103)</f>
        <v/>
      </c>
      <c r="O103" s="125" t="str">
        <f>IF(足元帳!V103="","",足元帳!V103)</f>
        <v/>
      </c>
      <c r="P103" s="125" t="str">
        <f>IF(足元帳!W103="","",足元帳!W103)</f>
        <v/>
      </c>
      <c r="Q103" s="125" t="str">
        <f>IF(足元帳!X103="","",足元帳!X103)</f>
        <v/>
      </c>
      <c r="R103" s="125" t="str">
        <f>IF(足元帳!Y103="","",足元帳!Y103)</f>
        <v/>
      </c>
      <c r="S103" s="125" t="str">
        <f>IF(足元帳!Z103="","",足元帳!Z103)</f>
        <v/>
      </c>
      <c r="T103" s="125" t="str">
        <f>IF(足元帳!AT103="","",足元帳!AT103)</f>
        <v/>
      </c>
      <c r="U103" s="125" t="str">
        <f>IF(足元帳!AH103="●",足元帳!$AH$1&amp;足元帳!AW103,"")</f>
        <v/>
      </c>
      <c r="V103" s="125" t="str">
        <f>IF(足元帳!AI103="●",足元帳!$AI$1&amp;足元帳!AW103,"")</f>
        <v/>
      </c>
      <c r="W103" s="125" t="str">
        <f>IF(足元帳!AX103="","",足元帳!AX103)</f>
        <v/>
      </c>
      <c r="X103" s="125">
        <f>足元帳!BJ103</f>
        <v>0</v>
      </c>
      <c r="Y103" s="305" t="str">
        <f>"　"&amp;"内訳"&amp;"　"&amp;"来店"&amp;AZ98&amp;"名"&amp;"　"&amp;"予約"&amp;AW98&amp;"名"</f>
        <v>　内訳　来店0名　予約0名</v>
      </c>
      <c r="Z103" s="305"/>
      <c r="AA103" s="305"/>
    </row>
    <row r="104" spans="1:55" ht="13.15" customHeight="1">
      <c r="A104" s="126">
        <v>103</v>
      </c>
      <c r="B104" s="127" t="str">
        <f>IF(足元帳!K104="","",精算表!$W$1)</f>
        <v/>
      </c>
      <c r="C104" s="128" t="str">
        <f>IF(足元帳!K104="","",IF(足元帳!AY104=2,"R","N"))</f>
        <v/>
      </c>
      <c r="D104" s="128" t="str">
        <f>IF(足元帳!K104="","",IF(足元帳!AZ104=1,"姫",IF(足元帳!AZ104=2,"本指名",IF(足元帳!AZ104=3,"NET",IF(足元帳!AZ104=4,"写真","")))))</f>
        <v/>
      </c>
      <c r="E104" s="128" t="str">
        <f>IF(足元帳!K104="","",足元帳!K104)</f>
        <v/>
      </c>
      <c r="F104" s="128" t="str">
        <f>IF(足元帳!K104="","",IF(足元帳!BB104=1,45,IF(足元帳!BB104=2,60,IF(足元帳!BB104=3,75,IF(足元帳!BB104=4,90,IF(足元帳!BB104=5,120,IF(足元帳!BB104=6,150,IF(足元帳!BB104=7,180,""))))))))</f>
        <v/>
      </c>
      <c r="G104" s="128" t="str">
        <f>IF(足元帳!K104="","",足元帳!A104)</f>
        <v/>
      </c>
      <c r="H104" s="125" t="str">
        <f>IF(足元帳!AP104="","",$H$1)</f>
        <v/>
      </c>
      <c r="I104" s="125" t="str">
        <f>IF(足元帳!AQ104="","",$I$1)</f>
        <v/>
      </c>
      <c r="J104" s="125" t="str">
        <f>IF(足元帳!AR104="","",$J$1)</f>
        <v/>
      </c>
      <c r="K104" s="125" t="str">
        <f>IF(足元帳!AS104="","",$K$1)</f>
        <v/>
      </c>
      <c r="L104" s="291" t="str">
        <f>IF(COUNTIF(足元帳!AT104,"*複合*"),"複合","")</f>
        <v/>
      </c>
      <c r="M104" s="291" t="str">
        <f>IF(COUNTIF(足元帳!AT104,"*店頭本指名*"),"店頭本指名","")</f>
        <v/>
      </c>
      <c r="N104" s="125" t="str">
        <f>IF(足元帳!U104="","",足元帳!U104)</f>
        <v/>
      </c>
      <c r="O104" s="125" t="str">
        <f>IF(足元帳!V104="","",足元帳!V104)</f>
        <v/>
      </c>
      <c r="P104" s="125" t="str">
        <f>IF(足元帳!W104="","",足元帳!W104)</f>
        <v/>
      </c>
      <c r="Q104" s="125" t="str">
        <f>IF(足元帳!X104="","",足元帳!X104)</f>
        <v/>
      </c>
      <c r="R104" s="125" t="str">
        <f>IF(足元帳!Y104="","",足元帳!Y104)</f>
        <v/>
      </c>
      <c r="S104" s="125" t="str">
        <f>IF(足元帳!Z104="","",足元帳!Z104)</f>
        <v/>
      </c>
      <c r="T104" s="125" t="str">
        <f>IF(足元帳!AT104="","",足元帳!AT104)</f>
        <v/>
      </c>
      <c r="U104" s="125" t="str">
        <f>IF(足元帳!AH104="●",足元帳!$AH$1&amp;足元帳!AW104,"")</f>
        <v/>
      </c>
      <c r="V104" s="125" t="str">
        <f>IF(足元帳!AI104="●",足元帳!$AI$1&amp;足元帳!AW104,"")</f>
        <v/>
      </c>
      <c r="W104" s="125" t="str">
        <f>IF(足元帳!AX104="","",足元帳!AX104)</f>
        <v/>
      </c>
      <c r="X104" s="125">
        <f>足元帳!BJ104</f>
        <v>0</v>
      </c>
      <c r="Y104" s="305"/>
      <c r="Z104" s="305"/>
      <c r="AA104" s="305"/>
    </row>
    <row r="105" spans="1:55" ht="13.15" customHeight="1">
      <c r="A105" s="126">
        <v>104</v>
      </c>
      <c r="B105" s="127" t="str">
        <f>IF(足元帳!K105="","",精算表!$W$1)</f>
        <v/>
      </c>
      <c r="C105" s="128" t="str">
        <f>IF(足元帳!K105="","",IF(足元帳!AY105=2,"R","N"))</f>
        <v/>
      </c>
      <c r="D105" s="128" t="str">
        <f>IF(足元帳!K105="","",IF(足元帳!AZ105=1,"姫",IF(足元帳!AZ105=2,"本指名",IF(足元帳!AZ105=3,"NET",IF(足元帳!AZ105=4,"写真","")))))</f>
        <v/>
      </c>
      <c r="E105" s="128" t="str">
        <f>IF(足元帳!K105="","",足元帳!K105)</f>
        <v/>
      </c>
      <c r="F105" s="128" t="str">
        <f>IF(足元帳!K105="","",IF(足元帳!BB105=1,45,IF(足元帳!BB105=2,60,IF(足元帳!BB105=3,75,IF(足元帳!BB105=4,90,IF(足元帳!BB105=5,120,IF(足元帳!BB105=6,150,IF(足元帳!BB105=7,180,""))))))))</f>
        <v/>
      </c>
      <c r="G105" s="128" t="str">
        <f>IF(足元帳!K105="","",足元帳!A105)</f>
        <v/>
      </c>
      <c r="H105" s="125" t="str">
        <f>IF(足元帳!AP105="","",$H$1)</f>
        <v/>
      </c>
      <c r="I105" s="125" t="str">
        <f>IF(足元帳!AQ105="","",$I$1)</f>
        <v/>
      </c>
      <c r="J105" s="125" t="str">
        <f>IF(足元帳!AR105="","",$J$1)</f>
        <v/>
      </c>
      <c r="K105" s="125" t="str">
        <f>IF(足元帳!AS105="","",$K$1)</f>
        <v/>
      </c>
      <c r="L105" s="291" t="str">
        <f>IF(COUNTIF(足元帳!AT105,"*複合*"),"複合","")</f>
        <v/>
      </c>
      <c r="M105" s="291" t="str">
        <f>IF(COUNTIF(足元帳!AT105,"*店頭本指名*"),"店頭本指名","")</f>
        <v/>
      </c>
      <c r="N105" s="125" t="str">
        <f>IF(足元帳!U105="","",足元帳!U105)</f>
        <v/>
      </c>
      <c r="O105" s="125" t="str">
        <f>IF(足元帳!V105="","",足元帳!V105)</f>
        <v/>
      </c>
      <c r="P105" s="125" t="str">
        <f>IF(足元帳!W105="","",足元帳!W105)</f>
        <v/>
      </c>
      <c r="Q105" s="125" t="str">
        <f>IF(足元帳!X105="","",足元帳!X105)</f>
        <v/>
      </c>
      <c r="R105" s="125" t="str">
        <f>IF(足元帳!Y105="","",足元帳!Y105)</f>
        <v/>
      </c>
      <c r="S105" s="125" t="str">
        <f>IF(足元帳!Z105="","",足元帳!Z105)</f>
        <v/>
      </c>
      <c r="T105" s="125" t="str">
        <f>IF(足元帳!AT105="","",足元帳!AT105)</f>
        <v/>
      </c>
      <c r="U105" s="125" t="str">
        <f>IF(足元帳!AH105="●",足元帳!$AH$1&amp;足元帳!AW105,"")</f>
        <v/>
      </c>
      <c r="V105" s="125" t="str">
        <f>IF(足元帳!AI105="●",足元帳!$AI$1&amp;足元帳!AW105,"")</f>
        <v/>
      </c>
      <c r="W105" s="125" t="str">
        <f>IF(足元帳!AX105="","",足元帳!AX105)</f>
        <v/>
      </c>
      <c r="X105" s="125">
        <f>足元帳!BJ105</f>
        <v>0</v>
      </c>
      <c r="Y105" s="305" t="s">
        <v>348</v>
      </c>
      <c r="Z105" s="305"/>
      <c r="AA105" s="305"/>
      <c r="AB105" s="632"/>
      <c r="AC105" s="632"/>
      <c r="AD105" s="230"/>
      <c r="AE105" s="230"/>
      <c r="AF105" s="230"/>
      <c r="AG105" s="230"/>
      <c r="AH105" s="230"/>
      <c r="AI105" s="230"/>
      <c r="AJ105" s="230"/>
      <c r="AK105" s="230"/>
      <c r="AL105" s="230"/>
      <c r="AM105" s="230"/>
      <c r="AN105" s="230"/>
      <c r="AO105" s="230"/>
      <c r="AP105" s="230"/>
      <c r="AQ105" s="230"/>
      <c r="AR105" s="632"/>
      <c r="AS105" s="632"/>
      <c r="AT105" s="632"/>
      <c r="AU105" s="632"/>
      <c r="AV105" s="632"/>
      <c r="AW105" s="230"/>
      <c r="AX105" s="632"/>
      <c r="AY105" s="632"/>
      <c r="AZ105" s="230"/>
      <c r="BA105" s="230"/>
      <c r="BB105" s="230"/>
      <c r="BC105" s="230"/>
    </row>
    <row r="106" spans="1:55" ht="13.15" customHeight="1">
      <c r="A106" s="126">
        <v>105</v>
      </c>
      <c r="B106" s="127" t="str">
        <f>IF(足元帳!K106="","",精算表!$W$1)</f>
        <v/>
      </c>
      <c r="C106" s="128" t="str">
        <f>IF(足元帳!K106="","",IF(足元帳!AY106=2,"R","N"))</f>
        <v/>
      </c>
      <c r="D106" s="128" t="str">
        <f>IF(足元帳!K106="","",IF(足元帳!AZ106=1,"姫",IF(足元帳!AZ106=2,"本指名",IF(足元帳!AZ106=3,"NET",IF(足元帳!AZ106=4,"写真","")))))</f>
        <v/>
      </c>
      <c r="E106" s="128" t="str">
        <f>IF(足元帳!K106="","",足元帳!K106)</f>
        <v/>
      </c>
      <c r="F106" s="128" t="str">
        <f>IF(足元帳!K106="","",IF(足元帳!BB106=1,45,IF(足元帳!BB106=2,60,IF(足元帳!BB106=3,75,IF(足元帳!BB106=4,90,IF(足元帳!BB106=5,120,IF(足元帳!BB106=6,150,IF(足元帳!BB106=7,180,""))))))))</f>
        <v/>
      </c>
      <c r="G106" s="128" t="str">
        <f>IF(足元帳!K106="","",足元帳!A106)</f>
        <v/>
      </c>
      <c r="H106" s="125" t="str">
        <f>IF(足元帳!AP106="","",$H$1)</f>
        <v/>
      </c>
      <c r="I106" s="125" t="str">
        <f>IF(足元帳!AQ106="","",$I$1)</f>
        <v/>
      </c>
      <c r="J106" s="125" t="str">
        <f>IF(足元帳!AR106="","",$J$1)</f>
        <v/>
      </c>
      <c r="K106" s="125" t="str">
        <f>IF(足元帳!AS106="","",$K$1)</f>
        <v/>
      </c>
      <c r="L106" s="291" t="str">
        <f>IF(COUNTIF(足元帳!AT106,"*複合*"),"複合","")</f>
        <v/>
      </c>
      <c r="M106" s="291" t="str">
        <f>IF(COUNTIF(足元帳!AT106,"*店頭本指名*"),"店頭本指名","")</f>
        <v/>
      </c>
      <c r="N106" s="125" t="str">
        <f>IF(足元帳!U106="","",足元帳!U106)</f>
        <v/>
      </c>
      <c r="O106" s="125" t="str">
        <f>IF(足元帳!V106="","",足元帳!V106)</f>
        <v/>
      </c>
      <c r="P106" s="125" t="str">
        <f>IF(足元帳!W106="","",足元帳!W106)</f>
        <v/>
      </c>
      <c r="Q106" s="125" t="str">
        <f>IF(足元帳!X106="","",足元帳!X106)</f>
        <v/>
      </c>
      <c r="R106" s="125" t="str">
        <f>IF(足元帳!Y106="","",足元帳!Y106)</f>
        <v/>
      </c>
      <c r="S106" s="125" t="str">
        <f>IF(足元帳!Z106="","",足元帳!Z106)</f>
        <v/>
      </c>
      <c r="T106" s="125" t="str">
        <f>IF(足元帳!AT106="","",足元帳!AT106)</f>
        <v/>
      </c>
      <c r="U106" s="125" t="str">
        <f>IF(足元帳!AH106="●",足元帳!$AH$1&amp;足元帳!AW106,"")</f>
        <v/>
      </c>
      <c r="V106" s="125" t="str">
        <f>IF(足元帳!AI106="●",足元帳!$AI$1&amp;足元帳!AW106,"")</f>
        <v/>
      </c>
      <c r="W106" s="125" t="str">
        <f>IF(足元帳!AX106="","",足元帳!AX106)</f>
        <v/>
      </c>
      <c r="X106" s="125">
        <f>足元帳!BJ106</f>
        <v>0</v>
      </c>
      <c r="Y106" s="305" t="s">
        <v>309</v>
      </c>
      <c r="Z106" s="305" t="s">
        <v>323</v>
      </c>
      <c r="AA106" s="305" t="s">
        <v>324</v>
      </c>
      <c r="AB106" s="632"/>
      <c r="AC106" s="632"/>
      <c r="AD106" s="230"/>
      <c r="AE106" s="230"/>
      <c r="AF106" s="230"/>
      <c r="AG106" s="230"/>
      <c r="AH106" s="230"/>
      <c r="AI106" s="230"/>
      <c r="AJ106" s="230"/>
      <c r="AK106" s="230"/>
      <c r="AL106" s="230"/>
      <c r="AM106" s="230"/>
      <c r="AN106" s="230"/>
      <c r="AO106" s="230"/>
      <c r="AP106" s="230"/>
      <c r="AQ106" s="230"/>
      <c r="AR106" s="632"/>
      <c r="AS106" s="632"/>
      <c r="AT106" s="632"/>
      <c r="AU106" s="632"/>
      <c r="AV106" s="632"/>
      <c r="AW106" s="230"/>
      <c r="AX106" s="632"/>
      <c r="AY106" s="632"/>
      <c r="AZ106" s="230"/>
      <c r="BA106" s="230"/>
      <c r="BB106" s="230"/>
      <c r="BC106" s="230"/>
    </row>
    <row r="107" spans="1:55" ht="13.15" customHeight="1">
      <c r="A107" s="126">
        <v>106</v>
      </c>
      <c r="B107" s="127" t="str">
        <f>IF(足元帳!K107="","",精算表!$W$1)</f>
        <v/>
      </c>
      <c r="C107" s="128" t="str">
        <f>IF(足元帳!K107="","",IF(足元帳!AY107=2,"R","N"))</f>
        <v/>
      </c>
      <c r="D107" s="128" t="str">
        <f>IF(足元帳!K107="","",IF(足元帳!AZ107=1,"姫",IF(足元帳!AZ107=2,"本指名",IF(足元帳!AZ107=3,"NET",IF(足元帳!AZ107=4,"写真","")))))</f>
        <v/>
      </c>
      <c r="E107" s="128" t="str">
        <f>IF(足元帳!K107="","",足元帳!K107)</f>
        <v/>
      </c>
      <c r="F107" s="128" t="str">
        <f>IF(足元帳!K107="","",IF(足元帳!BB107=1,45,IF(足元帳!BB107=2,60,IF(足元帳!BB107=3,75,IF(足元帳!BB107=4,90,IF(足元帳!BB107=5,120,IF(足元帳!BB107=6,150,IF(足元帳!BB107=7,180,""))))))))</f>
        <v/>
      </c>
      <c r="G107" s="128" t="str">
        <f>IF(足元帳!K107="","",足元帳!A107)</f>
        <v/>
      </c>
      <c r="H107" s="125" t="str">
        <f>IF(足元帳!AP107="","",$H$1)</f>
        <v/>
      </c>
      <c r="I107" s="125" t="str">
        <f>IF(足元帳!AQ107="","",$I$1)</f>
        <v/>
      </c>
      <c r="J107" s="125" t="str">
        <f>IF(足元帳!AR107="","",$J$1)</f>
        <v/>
      </c>
      <c r="K107" s="125" t="str">
        <f>IF(足元帳!AS107="","",$K$1)</f>
        <v/>
      </c>
      <c r="L107" s="291" t="str">
        <f>IF(COUNTIF(足元帳!AT107,"*複合*"),"複合","")</f>
        <v/>
      </c>
      <c r="M107" s="291" t="str">
        <f>IF(COUNTIF(足元帳!AT107,"*店頭本指名*"),"店頭本指名","")</f>
        <v/>
      </c>
      <c r="N107" s="125" t="str">
        <f>IF(足元帳!U107="","",足元帳!U107)</f>
        <v/>
      </c>
      <c r="O107" s="125" t="str">
        <f>IF(足元帳!V107="","",足元帳!V107)</f>
        <v/>
      </c>
      <c r="P107" s="125" t="str">
        <f>IF(足元帳!W107="","",足元帳!W107)</f>
        <v/>
      </c>
      <c r="Q107" s="125" t="str">
        <f>IF(足元帳!X107="","",足元帳!X107)</f>
        <v/>
      </c>
      <c r="R107" s="125" t="str">
        <f>IF(足元帳!Y107="","",足元帳!Y107)</f>
        <v/>
      </c>
      <c r="S107" s="125" t="str">
        <f>IF(足元帳!Z107="","",足元帳!Z107)</f>
        <v/>
      </c>
      <c r="T107" s="125" t="str">
        <f>IF(足元帳!AT107="","",足元帳!AT107)</f>
        <v/>
      </c>
      <c r="U107" s="125" t="str">
        <f>IF(足元帳!AH107="●",足元帳!$AH$1&amp;足元帳!AW107,"")</f>
        <v/>
      </c>
      <c r="V107" s="125" t="str">
        <f>IF(足元帳!AI107="●",足元帳!$AI$1&amp;足元帳!AW107,"")</f>
        <v/>
      </c>
      <c r="W107" s="125" t="str">
        <f>IF(足元帳!AX107="","",足元帳!AX107)</f>
        <v/>
      </c>
      <c r="X107" s="125">
        <f>足元帳!BJ107</f>
        <v>0</v>
      </c>
      <c r="Y107" s="305" t="str">
        <f>"7時"&amp;Z107&amp;"名7.5時"&amp;AA107&amp;"名"</f>
        <v>7時0名7.5時0名</v>
      </c>
      <c r="Z107" s="307">
        <f>MAX(来店帰客表!B6-来店帰客表!B5,0)</f>
        <v>0</v>
      </c>
      <c r="AA107" s="307">
        <v>0</v>
      </c>
    </row>
    <row r="108" spans="1:55" ht="13.15" customHeight="1">
      <c r="A108" s="126">
        <v>107</v>
      </c>
      <c r="B108" s="127" t="str">
        <f>IF(足元帳!K108="","",精算表!$W$1)</f>
        <v/>
      </c>
      <c r="C108" s="128" t="str">
        <f>IF(足元帳!K108="","",IF(足元帳!AY108=2,"R","N"))</f>
        <v/>
      </c>
      <c r="D108" s="128" t="str">
        <f>IF(足元帳!K108="","",IF(足元帳!AZ108=1,"姫",IF(足元帳!AZ108=2,"本指名",IF(足元帳!AZ108=3,"NET",IF(足元帳!AZ108=4,"写真","")))))</f>
        <v/>
      </c>
      <c r="E108" s="128" t="str">
        <f>IF(足元帳!K108="","",足元帳!K108)</f>
        <v/>
      </c>
      <c r="F108" s="128" t="str">
        <f>IF(足元帳!K108="","",IF(足元帳!BB108=1,45,IF(足元帳!BB108=2,60,IF(足元帳!BB108=3,75,IF(足元帳!BB108=4,90,IF(足元帳!BB108=5,120,IF(足元帳!BB108=6,150,IF(足元帳!BB108=7,180,""))))))))</f>
        <v/>
      </c>
      <c r="G108" s="128" t="str">
        <f>IF(足元帳!K108="","",足元帳!A108)</f>
        <v/>
      </c>
      <c r="H108" s="125" t="str">
        <f>IF(足元帳!AP108="","",$H$1)</f>
        <v/>
      </c>
      <c r="I108" s="125" t="str">
        <f>IF(足元帳!AQ108="","",$I$1)</f>
        <v/>
      </c>
      <c r="J108" s="125" t="str">
        <f>IF(足元帳!AR108="","",$J$1)</f>
        <v/>
      </c>
      <c r="K108" s="125" t="str">
        <f>IF(足元帳!AS108="","",$K$1)</f>
        <v/>
      </c>
      <c r="L108" s="291" t="str">
        <f>IF(COUNTIF(足元帳!AT108,"*複合*"),"複合","")</f>
        <v/>
      </c>
      <c r="M108" s="291" t="str">
        <f>IF(COUNTIF(足元帳!AT108,"*店頭本指名*"),"店頭本指名","")</f>
        <v/>
      </c>
      <c r="N108" s="125" t="str">
        <f>IF(足元帳!U108="","",足元帳!U108)</f>
        <v/>
      </c>
      <c r="O108" s="125" t="str">
        <f>IF(足元帳!V108="","",足元帳!V108)</f>
        <v/>
      </c>
      <c r="P108" s="125" t="str">
        <f>IF(足元帳!W108="","",足元帳!W108)</f>
        <v/>
      </c>
      <c r="Q108" s="125" t="str">
        <f>IF(足元帳!X108="","",足元帳!X108)</f>
        <v/>
      </c>
      <c r="R108" s="125" t="str">
        <f>IF(足元帳!Y108="","",足元帳!Y108)</f>
        <v/>
      </c>
      <c r="S108" s="125" t="str">
        <f>IF(足元帳!Z108="","",足元帳!Z108)</f>
        <v/>
      </c>
      <c r="T108" s="125" t="str">
        <f>IF(足元帳!AT108="","",足元帳!AT108)</f>
        <v/>
      </c>
      <c r="U108" s="125" t="str">
        <f>IF(足元帳!AH108="●",足元帳!$AH$1&amp;足元帳!AW108,"")</f>
        <v/>
      </c>
      <c r="V108" s="125" t="str">
        <f>IF(足元帳!AI108="●",足元帳!$AI$1&amp;足元帳!AW108,"")</f>
        <v/>
      </c>
      <c r="W108" s="125" t="str">
        <f>IF(足元帳!AX108="","",足元帳!AX108)</f>
        <v/>
      </c>
      <c r="X108" s="125">
        <f>足元帳!BJ108</f>
        <v>0</v>
      </c>
      <c r="Y108" s="305" t="str">
        <f>"8時"&amp;Z108&amp;"名8.5時"&amp;AA108&amp;"名"</f>
        <v>8時0名8.5時0名</v>
      </c>
      <c r="Z108" s="307">
        <f>MAX(来店帰客表!B7-来店帰客表!B6-AA107,0)</f>
        <v>0</v>
      </c>
      <c r="AA108" s="307">
        <v>0</v>
      </c>
    </row>
    <row r="109" spans="1:55" ht="13.15" customHeight="1">
      <c r="A109" s="126">
        <v>108</v>
      </c>
      <c r="B109" s="127" t="str">
        <f>IF(足元帳!K109="","",精算表!$W$1)</f>
        <v/>
      </c>
      <c r="C109" s="128" t="str">
        <f>IF(足元帳!K109="","",IF(足元帳!AY109=2,"R","N"))</f>
        <v/>
      </c>
      <c r="D109" s="128" t="str">
        <f>IF(足元帳!K109="","",IF(足元帳!AZ109=1,"姫",IF(足元帳!AZ109=2,"本指名",IF(足元帳!AZ109=3,"NET",IF(足元帳!AZ109=4,"写真","")))))</f>
        <v/>
      </c>
      <c r="E109" s="128" t="str">
        <f>IF(足元帳!K109="","",足元帳!K109)</f>
        <v/>
      </c>
      <c r="F109" s="128" t="str">
        <f>IF(足元帳!K109="","",IF(足元帳!BB109=1,45,IF(足元帳!BB109=2,60,IF(足元帳!BB109=3,75,IF(足元帳!BB109=4,90,IF(足元帳!BB109=5,120,IF(足元帳!BB109=6,150,IF(足元帳!BB109=7,180,""))))))))</f>
        <v/>
      </c>
      <c r="G109" s="128" t="str">
        <f>IF(足元帳!K109="","",足元帳!A109)</f>
        <v/>
      </c>
      <c r="H109" s="125" t="str">
        <f>IF(足元帳!AP109="","",$H$1)</f>
        <v/>
      </c>
      <c r="I109" s="125" t="str">
        <f>IF(足元帳!AQ109="","",$I$1)</f>
        <v/>
      </c>
      <c r="J109" s="125" t="str">
        <f>IF(足元帳!AR109="","",$J$1)</f>
        <v/>
      </c>
      <c r="K109" s="125" t="str">
        <f>IF(足元帳!AS109="","",$K$1)</f>
        <v/>
      </c>
      <c r="L109" s="291" t="str">
        <f>IF(COUNTIF(足元帳!AT109,"*複合*"),"複合","")</f>
        <v/>
      </c>
      <c r="M109" s="291" t="str">
        <f>IF(COUNTIF(足元帳!AT109,"*店頭本指名*"),"店頭本指名","")</f>
        <v/>
      </c>
      <c r="N109" s="125" t="str">
        <f>IF(足元帳!U109="","",足元帳!U109)</f>
        <v/>
      </c>
      <c r="O109" s="125" t="str">
        <f>IF(足元帳!V109="","",足元帳!V109)</f>
        <v/>
      </c>
      <c r="P109" s="125" t="str">
        <f>IF(足元帳!W109="","",足元帳!W109)</f>
        <v/>
      </c>
      <c r="Q109" s="125" t="str">
        <f>IF(足元帳!X109="","",足元帳!X109)</f>
        <v/>
      </c>
      <c r="R109" s="125" t="str">
        <f>IF(足元帳!Y109="","",足元帳!Y109)</f>
        <v/>
      </c>
      <c r="S109" s="125" t="str">
        <f>IF(足元帳!Z109="","",足元帳!Z109)</f>
        <v/>
      </c>
      <c r="T109" s="125" t="str">
        <f>IF(足元帳!AT109="","",足元帳!AT109)</f>
        <v/>
      </c>
      <c r="U109" s="125" t="str">
        <f>IF(足元帳!AH109="●",足元帳!$AH$1&amp;足元帳!AW109,"")</f>
        <v/>
      </c>
      <c r="V109" s="125" t="str">
        <f>IF(足元帳!AI109="●",足元帳!$AI$1&amp;足元帳!AW109,"")</f>
        <v/>
      </c>
      <c r="W109" s="125" t="str">
        <f>IF(足元帳!AX109="","",足元帳!AX109)</f>
        <v/>
      </c>
      <c r="X109" s="125">
        <f>足元帳!BJ109</f>
        <v>0</v>
      </c>
      <c r="Y109" s="305" t="str">
        <f>"受付合計"&amp;Z97+AA97+Z107+AA107+Z108+AA108&amp;"名"</f>
        <v>受付合計0名</v>
      </c>
      <c r="Z109" s="321"/>
      <c r="AA109" s="305"/>
    </row>
    <row r="110" spans="1:55" ht="13.15" customHeight="1">
      <c r="A110" s="126">
        <v>109</v>
      </c>
      <c r="B110" s="127" t="str">
        <f>IF(足元帳!K110="","",精算表!$W$1)</f>
        <v/>
      </c>
      <c r="C110" s="128" t="str">
        <f>IF(足元帳!K110="","",IF(足元帳!AY110=2,"R","N"))</f>
        <v/>
      </c>
      <c r="D110" s="128" t="str">
        <f>IF(足元帳!K110="","",IF(足元帳!AZ110=1,"姫",IF(足元帳!AZ110=2,"本指名",IF(足元帳!AZ110=3,"NET",IF(足元帳!AZ110=4,"写真","")))))</f>
        <v/>
      </c>
      <c r="E110" s="128" t="str">
        <f>IF(足元帳!K110="","",足元帳!K110)</f>
        <v/>
      </c>
      <c r="F110" s="128" t="str">
        <f>IF(足元帳!K110="","",IF(足元帳!BB110=1,45,IF(足元帳!BB110=2,60,IF(足元帳!BB110=3,75,IF(足元帳!BB110=4,90,IF(足元帳!BB110=5,120,IF(足元帳!BB110=6,150,IF(足元帳!BB110=7,180,""))))))))</f>
        <v/>
      </c>
      <c r="G110" s="128" t="str">
        <f>IF(足元帳!K110="","",足元帳!A110)</f>
        <v/>
      </c>
      <c r="H110" s="125" t="str">
        <f>IF(足元帳!AP110="","",$H$1)</f>
        <v/>
      </c>
      <c r="I110" s="125" t="str">
        <f>IF(足元帳!AQ110="","",$I$1)</f>
        <v/>
      </c>
      <c r="J110" s="125" t="str">
        <f>IF(足元帳!AR110="","",$J$1)</f>
        <v/>
      </c>
      <c r="K110" s="125" t="str">
        <f>IF(足元帳!AS110="","",$K$1)</f>
        <v/>
      </c>
      <c r="L110" s="291" t="str">
        <f>IF(COUNTIF(足元帳!AT110,"*複合*"),"複合","")</f>
        <v/>
      </c>
      <c r="M110" s="291" t="str">
        <f>IF(COUNTIF(足元帳!AT110,"*店頭本指名*"),"店頭本指名","")</f>
        <v/>
      </c>
      <c r="N110" s="125" t="str">
        <f>IF(足元帳!U110="","",足元帳!U110)</f>
        <v/>
      </c>
      <c r="O110" s="125" t="str">
        <f>IF(足元帳!V110="","",足元帳!V110)</f>
        <v/>
      </c>
      <c r="P110" s="125" t="str">
        <f>IF(足元帳!W110="","",足元帳!W110)</f>
        <v/>
      </c>
      <c r="Q110" s="125" t="str">
        <f>IF(足元帳!X110="","",足元帳!X110)</f>
        <v/>
      </c>
      <c r="R110" s="125" t="str">
        <f>IF(足元帳!Y110="","",足元帳!Y110)</f>
        <v/>
      </c>
      <c r="S110" s="125" t="str">
        <f>IF(足元帳!Z110="","",足元帳!Z110)</f>
        <v/>
      </c>
      <c r="T110" s="125" t="str">
        <f>IF(足元帳!AT110="","",足元帳!AT110)</f>
        <v/>
      </c>
      <c r="U110" s="125" t="str">
        <f>IF(足元帳!AH110="●",足元帳!$AH$1&amp;足元帳!AW110,"")</f>
        <v/>
      </c>
      <c r="V110" s="125" t="str">
        <f>IF(足元帳!AI110="●",足元帳!$AI$1&amp;足元帳!AW110,"")</f>
        <v/>
      </c>
      <c r="W110" s="125" t="str">
        <f>IF(足元帳!AX110="","",足元帳!AX110)</f>
        <v/>
      </c>
      <c r="X110" s="125">
        <f>足元帳!BJ110</f>
        <v>0</v>
      </c>
      <c r="Y110" s="305"/>
      <c r="Z110" s="305"/>
      <c r="AA110" s="305"/>
    </row>
    <row r="111" spans="1:55" ht="13.15" customHeight="1">
      <c r="A111" s="126">
        <v>110</v>
      </c>
      <c r="B111" s="127" t="str">
        <f>IF(足元帳!K111="","",精算表!$W$1)</f>
        <v/>
      </c>
      <c r="C111" s="128" t="str">
        <f>IF(足元帳!K111="","",IF(足元帳!AY111=2,"R","N"))</f>
        <v/>
      </c>
      <c r="D111" s="128" t="str">
        <f>IF(足元帳!K111="","",IF(足元帳!AZ111=1,"姫",IF(足元帳!AZ111=2,"本指名",IF(足元帳!AZ111=3,"NET",IF(足元帳!AZ111=4,"写真","")))))</f>
        <v/>
      </c>
      <c r="E111" s="128" t="str">
        <f>IF(足元帳!K111="","",足元帳!K111)</f>
        <v/>
      </c>
      <c r="F111" s="128" t="str">
        <f>IF(足元帳!K111="","",IF(足元帳!BB111=1,45,IF(足元帳!BB111=2,60,IF(足元帳!BB111=3,75,IF(足元帳!BB111=4,90,IF(足元帳!BB111=5,120,IF(足元帳!BB111=6,150,IF(足元帳!BB111=7,180,""))))))))</f>
        <v/>
      </c>
      <c r="G111" s="128" t="str">
        <f>IF(足元帳!K111="","",足元帳!A111)</f>
        <v/>
      </c>
      <c r="H111" s="125" t="str">
        <f>IF(足元帳!AP111="","",$H$1)</f>
        <v/>
      </c>
      <c r="I111" s="125" t="str">
        <f>IF(足元帳!AQ111="","",$I$1)</f>
        <v/>
      </c>
      <c r="J111" s="125" t="str">
        <f>IF(足元帳!AR111="","",$J$1)</f>
        <v/>
      </c>
      <c r="K111" s="125" t="str">
        <f>IF(足元帳!AS111="","",$K$1)</f>
        <v/>
      </c>
      <c r="L111" s="291" t="str">
        <f>IF(COUNTIF(足元帳!AT111,"*複合*"),"複合","")</f>
        <v/>
      </c>
      <c r="M111" s="291" t="str">
        <f>IF(COUNTIF(足元帳!AT111,"*店頭本指名*"),"店頭本指名","")</f>
        <v/>
      </c>
      <c r="N111" s="125" t="str">
        <f>IF(足元帳!U111="","",足元帳!U111)</f>
        <v/>
      </c>
      <c r="O111" s="125" t="str">
        <f>IF(足元帳!V111="","",足元帳!V111)</f>
        <v/>
      </c>
      <c r="P111" s="125" t="str">
        <f>IF(足元帳!W111="","",足元帳!W111)</f>
        <v/>
      </c>
      <c r="Q111" s="125" t="str">
        <f>IF(足元帳!X111="","",足元帳!X111)</f>
        <v/>
      </c>
      <c r="R111" s="125" t="str">
        <f>IF(足元帳!Y111="","",足元帳!Y111)</f>
        <v/>
      </c>
      <c r="S111" s="125" t="str">
        <f>IF(足元帳!Z111="","",足元帳!Z111)</f>
        <v/>
      </c>
      <c r="T111" s="125" t="str">
        <f>IF(足元帳!AT111="","",足元帳!AT111)</f>
        <v/>
      </c>
      <c r="U111" s="125" t="str">
        <f>IF(足元帳!AH111="●",足元帳!$AH$1&amp;足元帳!AW111,"")</f>
        <v/>
      </c>
      <c r="V111" s="125" t="str">
        <f>IF(足元帳!AI111="●",足元帳!$AI$1&amp;足元帳!AW111,"")</f>
        <v/>
      </c>
      <c r="W111" s="125" t="str">
        <f>IF(足元帳!AX111="","",足元帳!AX111)</f>
        <v/>
      </c>
      <c r="X111" s="125">
        <f>足元帳!BJ111</f>
        <v>0</v>
      </c>
      <c r="Y111" s="305" t="s">
        <v>310</v>
      </c>
      <c r="Z111" s="305"/>
      <c r="AA111" s="305"/>
    </row>
    <row r="112" spans="1:55" ht="13.15" customHeight="1">
      <c r="A112" s="126">
        <v>111</v>
      </c>
      <c r="B112" s="127" t="str">
        <f>IF(足元帳!K112="","",精算表!$W$1)</f>
        <v/>
      </c>
      <c r="C112" s="128" t="str">
        <f>IF(足元帳!K112="","",IF(足元帳!AY112=2,"R","N"))</f>
        <v/>
      </c>
      <c r="D112" s="128" t="str">
        <f>IF(足元帳!K112="","",IF(足元帳!AZ112=1,"姫",IF(足元帳!AZ112=2,"本指名",IF(足元帳!AZ112=3,"NET",IF(足元帳!AZ112=4,"写真","")))))</f>
        <v/>
      </c>
      <c r="E112" s="128" t="str">
        <f>IF(足元帳!K112="","",足元帳!K112)</f>
        <v/>
      </c>
      <c r="F112" s="128" t="str">
        <f>IF(足元帳!K112="","",IF(足元帳!BB112=1,45,IF(足元帳!BB112=2,60,IF(足元帳!BB112=3,75,IF(足元帳!BB112=4,90,IF(足元帳!BB112=5,120,IF(足元帳!BB112=6,150,IF(足元帳!BB112=7,180,""))))))))</f>
        <v/>
      </c>
      <c r="G112" s="128" t="str">
        <f>IF(足元帳!K112="","",足元帳!A112)</f>
        <v/>
      </c>
      <c r="H112" s="125" t="str">
        <f>IF(足元帳!AP112="","",$H$1)</f>
        <v/>
      </c>
      <c r="I112" s="125" t="str">
        <f>IF(足元帳!AQ112="","",$I$1)</f>
        <v/>
      </c>
      <c r="J112" s="125" t="str">
        <f>IF(足元帳!AR112="","",$J$1)</f>
        <v/>
      </c>
      <c r="K112" s="125" t="str">
        <f>IF(足元帳!AS112="","",$K$1)</f>
        <v/>
      </c>
      <c r="L112" s="291" t="str">
        <f>IF(COUNTIF(足元帳!AT112,"*複合*"),"複合","")</f>
        <v/>
      </c>
      <c r="M112" s="291" t="str">
        <f>IF(COUNTIF(足元帳!AT112,"*店頭本指名*"),"店頭本指名","")</f>
        <v/>
      </c>
      <c r="N112" s="125" t="str">
        <f>IF(足元帳!U112="","",足元帳!U112)</f>
        <v/>
      </c>
      <c r="O112" s="125" t="str">
        <f>IF(足元帳!V112="","",足元帳!V112)</f>
        <v/>
      </c>
      <c r="P112" s="125" t="str">
        <f>IF(足元帳!W112="","",足元帳!W112)</f>
        <v/>
      </c>
      <c r="Q112" s="125" t="str">
        <f>IF(足元帳!X112="","",足元帳!X112)</f>
        <v/>
      </c>
      <c r="R112" s="125" t="str">
        <f>IF(足元帳!Y112="","",足元帳!Y112)</f>
        <v/>
      </c>
      <c r="S112" s="125" t="str">
        <f>IF(足元帳!Z112="","",足元帳!Z112)</f>
        <v/>
      </c>
      <c r="T112" s="125" t="str">
        <f>IF(足元帳!AT112="","",足元帳!AT112)</f>
        <v/>
      </c>
      <c r="U112" s="125" t="str">
        <f>IF(足元帳!AH112="●",足元帳!$AH$1&amp;足元帳!AW112,"")</f>
        <v/>
      </c>
      <c r="V112" s="125" t="str">
        <f>IF(足元帳!AI112="●",足元帳!$AI$1&amp;足元帳!AW112,"")</f>
        <v/>
      </c>
      <c r="W112" s="125" t="str">
        <f>IF(足元帳!AX112="","",足元帳!AX112)</f>
        <v/>
      </c>
      <c r="X112" s="125">
        <f>足元帳!BJ112</f>
        <v>0</v>
      </c>
      <c r="Y112" s="305" t="str">
        <f>"　"&amp;AD99+AD100&amp;"/"&amp;AE99+AE100&amp;"/"&amp;AF99+AF100&amp;"/"&amp;AG99+AG100&amp;"/"&amp;AH99+AH100&amp;"("&amp;AK99+AK100&amp;"/"&amp;AL99+AL100&amp;"/"&amp;AM99+AM100&amp;"/"&amp;AN99+AN100&amp;"/"&amp;AO99+AO100&amp;")"</f>
        <v>　0/0/0/0/0(0/0/0/0/0)</v>
      </c>
      <c r="Z112" s="305"/>
      <c r="AA112" s="305"/>
    </row>
    <row r="113" spans="1:27" ht="13.15" customHeight="1">
      <c r="A113" s="126">
        <v>112</v>
      </c>
      <c r="B113" s="127" t="str">
        <f>IF(足元帳!K113="","",精算表!$W$1)</f>
        <v/>
      </c>
      <c r="C113" s="128" t="str">
        <f>IF(足元帳!K113="","",IF(足元帳!AY113=2,"R","N"))</f>
        <v/>
      </c>
      <c r="D113" s="128" t="str">
        <f>IF(足元帳!K113="","",IF(足元帳!AZ113=1,"姫",IF(足元帳!AZ113=2,"本指名",IF(足元帳!AZ113=3,"NET",IF(足元帳!AZ113=4,"写真","")))))</f>
        <v/>
      </c>
      <c r="E113" s="128" t="str">
        <f>IF(足元帳!K113="","",足元帳!K113)</f>
        <v/>
      </c>
      <c r="F113" s="128" t="str">
        <f>IF(足元帳!K113="","",IF(足元帳!BB113=1,45,IF(足元帳!BB113=2,60,IF(足元帳!BB113=3,75,IF(足元帳!BB113=4,90,IF(足元帳!BB113=5,120,IF(足元帳!BB113=6,150,IF(足元帳!BB113=7,180,""))))))))</f>
        <v/>
      </c>
      <c r="G113" s="128" t="str">
        <f>IF(足元帳!K113="","",足元帳!A113)</f>
        <v/>
      </c>
      <c r="H113" s="125" t="str">
        <f>IF(足元帳!AP113="","",$H$1)</f>
        <v/>
      </c>
      <c r="I113" s="125" t="str">
        <f>IF(足元帳!AQ113="","",$I$1)</f>
        <v/>
      </c>
      <c r="J113" s="125" t="str">
        <f>IF(足元帳!AR113="","",$J$1)</f>
        <v/>
      </c>
      <c r="K113" s="125" t="str">
        <f>IF(足元帳!AS113="","",$K$1)</f>
        <v/>
      </c>
      <c r="L113" s="291" t="str">
        <f>IF(COUNTIF(足元帳!AT113,"*複合*"),"複合","")</f>
        <v/>
      </c>
      <c r="M113" s="291" t="str">
        <f>IF(COUNTIF(足元帳!AT113,"*店頭本指名*"),"店頭本指名","")</f>
        <v/>
      </c>
      <c r="N113" s="125" t="str">
        <f>IF(足元帳!U113="","",足元帳!U113)</f>
        <v/>
      </c>
      <c r="O113" s="125" t="str">
        <f>IF(足元帳!V113="","",足元帳!V113)</f>
        <v/>
      </c>
      <c r="P113" s="125" t="str">
        <f>IF(足元帳!W113="","",足元帳!W113)</f>
        <v/>
      </c>
      <c r="Q113" s="125" t="str">
        <f>IF(足元帳!X113="","",足元帳!X113)</f>
        <v/>
      </c>
      <c r="R113" s="125" t="str">
        <f>IF(足元帳!Y113="","",足元帳!Y113)</f>
        <v/>
      </c>
      <c r="S113" s="125" t="str">
        <f>IF(足元帳!Z113="","",足元帳!Z113)</f>
        <v/>
      </c>
      <c r="T113" s="125" t="str">
        <f>IF(足元帳!AT113="","",足元帳!AT113)</f>
        <v/>
      </c>
      <c r="U113" s="125" t="str">
        <f>IF(足元帳!AH113="●",足元帳!$AH$1&amp;足元帳!AW113,"")</f>
        <v/>
      </c>
      <c r="V113" s="125" t="str">
        <f>IF(足元帳!AI113="●",足元帳!$AI$1&amp;足元帳!AW113,"")</f>
        <v/>
      </c>
      <c r="W113" s="125" t="str">
        <f>IF(足元帳!AX113="","",足元帳!AX113)</f>
        <v/>
      </c>
      <c r="X113" s="125">
        <f>足元帳!BJ113</f>
        <v>0</v>
      </c>
      <c r="Y113" s="305" t="str">
        <f>"　"&amp;AJ99+AJ100&amp;"本"&amp;"　"&amp;AX99+AX100&amp;"pt"</f>
        <v>　0本　0pt</v>
      </c>
      <c r="Z113" s="305"/>
      <c r="AA113" s="305"/>
    </row>
    <row r="114" spans="1:27" ht="13.15" customHeight="1">
      <c r="A114" s="126">
        <v>113</v>
      </c>
      <c r="B114" s="127" t="str">
        <f>IF(足元帳!K114="","",精算表!$W$1)</f>
        <v/>
      </c>
      <c r="C114" s="128" t="str">
        <f>IF(足元帳!K114="","",IF(足元帳!AY114=2,"R","N"))</f>
        <v/>
      </c>
      <c r="D114" s="128" t="str">
        <f>IF(足元帳!K114="","",IF(足元帳!AZ114=1,"姫",IF(足元帳!AZ114=2,"本指名",IF(足元帳!AZ114=3,"NET",IF(足元帳!AZ114=4,"写真","")))))</f>
        <v/>
      </c>
      <c r="E114" s="128" t="str">
        <f>IF(足元帳!K114="","",足元帳!K114)</f>
        <v/>
      </c>
      <c r="F114" s="128" t="str">
        <f>IF(足元帳!K114="","",IF(足元帳!BB114=1,45,IF(足元帳!BB114=2,60,IF(足元帳!BB114=3,75,IF(足元帳!BB114=4,90,IF(足元帳!BB114=5,120,IF(足元帳!BB114=6,150,IF(足元帳!BB114=7,180,""))))))))</f>
        <v/>
      </c>
      <c r="G114" s="128" t="str">
        <f>IF(足元帳!K114="","",足元帳!A114)</f>
        <v/>
      </c>
      <c r="H114" s="125" t="str">
        <f>IF(足元帳!AP114="","",$H$1)</f>
        <v/>
      </c>
      <c r="I114" s="125" t="str">
        <f>IF(足元帳!AQ114="","",$I$1)</f>
        <v/>
      </c>
      <c r="J114" s="125" t="str">
        <f>IF(足元帳!AR114="","",$J$1)</f>
        <v/>
      </c>
      <c r="K114" s="125" t="str">
        <f>IF(足元帳!AS114="","",$K$1)</f>
        <v/>
      </c>
      <c r="L114" s="291" t="str">
        <f>IF(COUNTIF(足元帳!AT114,"*複合*"),"複合","")</f>
        <v/>
      </c>
      <c r="M114" s="291" t="str">
        <f>IF(COUNTIF(足元帳!AT114,"*店頭本指名*"),"店頭本指名","")</f>
        <v/>
      </c>
      <c r="N114" s="125" t="str">
        <f>IF(足元帳!U114="","",足元帳!U114)</f>
        <v/>
      </c>
      <c r="O114" s="125" t="str">
        <f>IF(足元帳!V114="","",足元帳!V114)</f>
        <v/>
      </c>
      <c r="P114" s="125" t="str">
        <f>IF(足元帳!W114="","",足元帳!W114)</f>
        <v/>
      </c>
      <c r="Q114" s="125" t="str">
        <f>IF(足元帳!X114="","",足元帳!X114)</f>
        <v/>
      </c>
      <c r="R114" s="125" t="str">
        <f>IF(足元帳!Y114="","",足元帳!Y114)</f>
        <v/>
      </c>
      <c r="S114" s="125" t="str">
        <f>IF(足元帳!Z114="","",足元帳!Z114)</f>
        <v/>
      </c>
      <c r="T114" s="125" t="str">
        <f>IF(足元帳!AT114="","",足元帳!AT114)</f>
        <v/>
      </c>
      <c r="U114" s="125" t="str">
        <f>IF(足元帳!AH114="●",足元帳!$AH$1&amp;足元帳!AW114,"")</f>
        <v/>
      </c>
      <c r="V114" s="125" t="str">
        <f>IF(足元帳!AI114="●",足元帳!$AI$1&amp;足元帳!AW114,"")</f>
        <v/>
      </c>
      <c r="W114" s="125" t="str">
        <f>IF(足元帳!AX114="","",足元帳!AX114)</f>
        <v/>
      </c>
      <c r="X114" s="125">
        <f>足元帳!BJ114</f>
        <v>0</v>
      </c>
      <c r="Y114" s="305" t="str">
        <f>"　"&amp;"内訳"&amp;"　"&amp;"来店"&amp;AZ99+AZ100&amp;"名"&amp;"　"&amp;"予約"&amp;AW99+AW100&amp;"名"</f>
        <v>　内訳　来店0名　予約0名</v>
      </c>
      <c r="Z114" s="305"/>
      <c r="AA114" s="305"/>
    </row>
    <row r="115" spans="1:27" ht="13.15" customHeight="1">
      <c r="A115" s="126">
        <v>114</v>
      </c>
      <c r="B115" s="127" t="str">
        <f>IF(足元帳!K115="","",精算表!$W$1)</f>
        <v/>
      </c>
      <c r="C115" s="128" t="str">
        <f>IF(足元帳!K115="","",IF(足元帳!AY115=2,"R","N"))</f>
        <v/>
      </c>
      <c r="D115" s="128" t="str">
        <f>IF(足元帳!K115="","",IF(足元帳!AZ115=1,"姫",IF(足元帳!AZ115=2,"本指名",IF(足元帳!AZ115=3,"NET",IF(足元帳!AZ115=4,"写真","")))))</f>
        <v/>
      </c>
      <c r="E115" s="128" t="str">
        <f>IF(足元帳!K115="","",足元帳!K115)</f>
        <v/>
      </c>
      <c r="F115" s="128" t="str">
        <f>IF(足元帳!K115="","",IF(足元帳!BB115=1,45,IF(足元帳!BB115=2,60,IF(足元帳!BB115=3,75,IF(足元帳!BB115=4,90,IF(足元帳!BB115=5,120,IF(足元帳!BB115=6,150,IF(足元帳!BB115=7,180,""))))))))</f>
        <v/>
      </c>
      <c r="G115" s="128" t="str">
        <f>IF(足元帳!K115="","",足元帳!A115)</f>
        <v/>
      </c>
      <c r="H115" s="125" t="str">
        <f>IF(足元帳!AP115="","",$H$1)</f>
        <v/>
      </c>
      <c r="I115" s="125" t="str">
        <f>IF(足元帳!AQ115="","",$I$1)</f>
        <v/>
      </c>
      <c r="J115" s="125" t="str">
        <f>IF(足元帳!AR115="","",$J$1)</f>
        <v/>
      </c>
      <c r="K115" s="125" t="str">
        <f>IF(足元帳!AS115="","",$K$1)</f>
        <v/>
      </c>
      <c r="L115" s="291" t="str">
        <f>IF(COUNTIF(足元帳!AT115,"*複合*"),"複合","")</f>
        <v/>
      </c>
      <c r="M115" s="291" t="str">
        <f>IF(COUNTIF(足元帳!AT115,"*店頭本指名*"),"店頭本指名","")</f>
        <v/>
      </c>
      <c r="N115" s="125" t="str">
        <f>IF(足元帳!U115="","",足元帳!U115)</f>
        <v/>
      </c>
      <c r="O115" s="125" t="str">
        <f>IF(足元帳!V115="","",足元帳!V115)</f>
        <v/>
      </c>
      <c r="P115" s="125" t="str">
        <f>IF(足元帳!W115="","",足元帳!W115)</f>
        <v/>
      </c>
      <c r="Q115" s="125" t="str">
        <f>IF(足元帳!X115="","",足元帳!X115)</f>
        <v/>
      </c>
      <c r="R115" s="125" t="str">
        <f>IF(足元帳!Y115="","",足元帳!Y115)</f>
        <v/>
      </c>
      <c r="S115" s="125" t="str">
        <f>IF(足元帳!Z115="","",足元帳!Z115)</f>
        <v/>
      </c>
      <c r="T115" s="125" t="str">
        <f>IF(足元帳!AT115="","",足元帳!AT115)</f>
        <v/>
      </c>
      <c r="U115" s="125" t="str">
        <f>IF(足元帳!AH115="●",足元帳!$AH$1&amp;足元帳!AW115,"")</f>
        <v/>
      </c>
      <c r="V115" s="125" t="str">
        <f>IF(足元帳!AI115="●",足元帳!$AI$1&amp;足元帳!AW115,"")</f>
        <v/>
      </c>
      <c r="W115" s="125" t="str">
        <f>IF(足元帳!AX115="","",足元帳!AX115)</f>
        <v/>
      </c>
      <c r="X115" s="125">
        <f>足元帳!BJ115</f>
        <v>0</v>
      </c>
      <c r="Y115" s="305"/>
      <c r="Z115" s="305"/>
      <c r="AA115" s="305"/>
    </row>
    <row r="116" spans="1:27" ht="13.15" customHeight="1">
      <c r="A116" s="126">
        <v>115</v>
      </c>
      <c r="B116" s="127" t="str">
        <f>IF(足元帳!K116="","",精算表!$W$1)</f>
        <v/>
      </c>
      <c r="C116" s="128" t="str">
        <f>IF(足元帳!K116="","",IF(足元帳!AY116=2,"R","N"))</f>
        <v/>
      </c>
      <c r="D116" s="128" t="str">
        <f>IF(足元帳!K116="","",IF(足元帳!AZ116=1,"姫",IF(足元帳!AZ116=2,"本指名",IF(足元帳!AZ116=3,"NET",IF(足元帳!AZ116=4,"写真","")))))</f>
        <v/>
      </c>
      <c r="E116" s="128" t="str">
        <f>IF(足元帳!K116="","",足元帳!K116)</f>
        <v/>
      </c>
      <c r="F116" s="128" t="str">
        <f>IF(足元帳!K116="","",IF(足元帳!BB116=1,45,IF(足元帳!BB116=2,60,IF(足元帳!BB116=3,75,IF(足元帳!BB116=4,90,IF(足元帳!BB116=5,120,IF(足元帳!BB116=6,150,IF(足元帳!BB116=7,180,""))))))))</f>
        <v/>
      </c>
      <c r="G116" s="128" t="str">
        <f>IF(足元帳!K116="","",足元帳!A116)</f>
        <v/>
      </c>
      <c r="H116" s="125" t="str">
        <f>IF(足元帳!AP116="","",$H$1)</f>
        <v/>
      </c>
      <c r="I116" s="125" t="str">
        <f>IF(足元帳!AQ116="","",$I$1)</f>
        <v/>
      </c>
      <c r="J116" s="125" t="str">
        <f>IF(足元帳!AR116="","",$J$1)</f>
        <v/>
      </c>
      <c r="K116" s="125" t="str">
        <f>IF(足元帳!AS116="","",$K$1)</f>
        <v/>
      </c>
      <c r="L116" s="291" t="str">
        <f>IF(COUNTIF(足元帳!AT116,"*複合*"),"複合","")</f>
        <v/>
      </c>
      <c r="M116" s="291" t="str">
        <f>IF(COUNTIF(足元帳!AT116,"*店頭本指名*"),"店頭本指名","")</f>
        <v/>
      </c>
      <c r="N116" s="125" t="str">
        <f>IF(足元帳!U116="","",足元帳!U116)</f>
        <v/>
      </c>
      <c r="O116" s="125" t="str">
        <f>IF(足元帳!V116="","",足元帳!V116)</f>
        <v/>
      </c>
      <c r="P116" s="125" t="str">
        <f>IF(足元帳!W116="","",足元帳!W116)</f>
        <v/>
      </c>
      <c r="Q116" s="125" t="str">
        <f>IF(足元帳!X116="","",足元帳!X116)</f>
        <v/>
      </c>
      <c r="R116" s="125" t="str">
        <f>IF(足元帳!Y116="","",足元帳!Y116)</f>
        <v/>
      </c>
      <c r="S116" s="125" t="str">
        <f>IF(足元帳!Z116="","",足元帳!Z116)</f>
        <v/>
      </c>
      <c r="T116" s="125" t="str">
        <f>IF(足元帳!AT116="","",足元帳!AT116)</f>
        <v/>
      </c>
      <c r="U116" s="125" t="str">
        <f>IF(足元帳!AH116="●",足元帳!$AH$1&amp;足元帳!AW116,"")</f>
        <v/>
      </c>
      <c r="V116" s="125" t="str">
        <f>IF(足元帳!AI116="●",足元帳!$AI$1&amp;足元帳!AW116,"")</f>
        <v/>
      </c>
      <c r="W116" s="125" t="str">
        <f>IF(足元帳!AX116="","",足元帳!AX116)</f>
        <v/>
      </c>
      <c r="X116" s="125">
        <f>足元帳!BJ116</f>
        <v>0</v>
      </c>
      <c r="Y116" s="305" t="s">
        <v>335</v>
      </c>
      <c r="Z116" s="306"/>
      <c r="AA116" s="306"/>
    </row>
    <row r="117" spans="1:27" ht="13.15" customHeight="1">
      <c r="A117" s="126">
        <v>116</v>
      </c>
      <c r="B117" s="127" t="str">
        <f>IF(足元帳!K117="","",精算表!$W$1)</f>
        <v/>
      </c>
      <c r="C117" s="128" t="str">
        <f>IF(足元帳!K117="","",IF(足元帳!AY117=2,"R","N"))</f>
        <v/>
      </c>
      <c r="D117" s="128" t="str">
        <f>IF(足元帳!K117="","",IF(足元帳!AZ117=1,"姫",IF(足元帳!AZ117=2,"本指名",IF(足元帳!AZ117=3,"NET",IF(足元帳!AZ117=4,"写真","")))))</f>
        <v/>
      </c>
      <c r="E117" s="128" t="str">
        <f>IF(足元帳!K117="","",足元帳!K117)</f>
        <v/>
      </c>
      <c r="F117" s="128" t="str">
        <f>IF(足元帳!K117="","",IF(足元帳!BB117=1,45,IF(足元帳!BB117=2,60,IF(足元帳!BB117=3,75,IF(足元帳!BB117=4,90,IF(足元帳!BB117=5,120,IF(足元帳!BB117=6,150,IF(足元帳!BB117=7,180,""))))))))</f>
        <v/>
      </c>
      <c r="G117" s="128" t="str">
        <f>IF(足元帳!K117="","",足元帳!A117)</f>
        <v/>
      </c>
      <c r="H117" s="125" t="str">
        <f>IF(足元帳!AP117="","",$H$1)</f>
        <v/>
      </c>
      <c r="I117" s="125" t="str">
        <f>IF(足元帳!AQ117="","",$I$1)</f>
        <v/>
      </c>
      <c r="J117" s="125" t="str">
        <f>IF(足元帳!AR117="","",$J$1)</f>
        <v/>
      </c>
      <c r="K117" s="125" t="str">
        <f>IF(足元帳!AS117="","",$K$1)</f>
        <v/>
      </c>
      <c r="L117" s="291" t="str">
        <f>IF(COUNTIF(足元帳!AT117,"*複合*"),"複合","")</f>
        <v/>
      </c>
      <c r="M117" s="291" t="str">
        <f>IF(COUNTIF(足元帳!AT117,"*店頭本指名*"),"店頭本指名","")</f>
        <v/>
      </c>
      <c r="N117" s="125" t="str">
        <f>IF(足元帳!U117="","",足元帳!U117)</f>
        <v/>
      </c>
      <c r="O117" s="125" t="str">
        <f>IF(足元帳!V117="","",足元帳!V117)</f>
        <v/>
      </c>
      <c r="P117" s="125" t="str">
        <f>IF(足元帳!W117="","",足元帳!W117)</f>
        <v/>
      </c>
      <c r="Q117" s="125" t="str">
        <f>IF(足元帳!X117="","",足元帳!X117)</f>
        <v/>
      </c>
      <c r="R117" s="125" t="str">
        <f>IF(足元帳!Y117="","",足元帳!Y117)</f>
        <v/>
      </c>
      <c r="S117" s="125" t="str">
        <f>IF(足元帳!Z117="","",足元帳!Z117)</f>
        <v/>
      </c>
      <c r="T117" s="125" t="str">
        <f>IF(足元帳!AT117="","",足元帳!AT117)</f>
        <v/>
      </c>
      <c r="U117" s="125" t="str">
        <f>IF(足元帳!AH117="●",足元帳!$AH$1&amp;足元帳!AW117,"")</f>
        <v/>
      </c>
      <c r="V117" s="125" t="str">
        <f>IF(足元帳!AI117="●",足元帳!$AI$1&amp;足元帳!AW117,"")</f>
        <v/>
      </c>
      <c r="W117" s="125" t="str">
        <f>IF(足元帳!AX117="","",足元帳!AX117)</f>
        <v/>
      </c>
      <c r="X117" s="125">
        <f>足元帳!BJ117</f>
        <v>0</v>
      </c>
      <c r="Y117" s="305" t="str">
        <f>"9時"&amp;Z117+Z118&amp;"名9.5時"&amp;AA117&amp;"名"</f>
        <v>9時0名9.5時0名</v>
      </c>
      <c r="Z117" s="307">
        <f>MAX(来店帰客表!B8-来店帰客表!B7-AA108,0)</f>
        <v>0</v>
      </c>
      <c r="AA117" s="307">
        <v>0</v>
      </c>
    </row>
    <row r="118" spans="1:27" ht="13.15" customHeight="1">
      <c r="A118" s="126">
        <v>117</v>
      </c>
      <c r="B118" s="127" t="str">
        <f>IF(足元帳!K118="","",精算表!$W$1)</f>
        <v/>
      </c>
      <c r="C118" s="128" t="str">
        <f>IF(足元帳!K118="","",IF(足元帳!AY118=2,"R","N"))</f>
        <v/>
      </c>
      <c r="D118" s="128" t="str">
        <f>IF(足元帳!K118="","",IF(足元帳!AZ118=1,"姫",IF(足元帳!AZ118=2,"本指名",IF(足元帳!AZ118=3,"NET",IF(足元帳!AZ118=4,"写真","")))))</f>
        <v/>
      </c>
      <c r="E118" s="128" t="str">
        <f>IF(足元帳!K118="","",足元帳!K118)</f>
        <v/>
      </c>
      <c r="F118" s="128" t="str">
        <f>IF(足元帳!K118="","",IF(足元帳!BB118=1,45,IF(足元帳!BB118=2,60,IF(足元帳!BB118=3,75,IF(足元帳!BB118=4,90,IF(足元帳!BB118=5,120,IF(足元帳!BB118=6,150,IF(足元帳!BB118=7,180,""))))))))</f>
        <v/>
      </c>
      <c r="G118" s="128" t="str">
        <f>IF(足元帳!K118="","",足元帳!A118)</f>
        <v/>
      </c>
      <c r="H118" s="125" t="str">
        <f>IF(足元帳!AP118="","",$H$1)</f>
        <v/>
      </c>
      <c r="I118" s="125" t="str">
        <f>IF(足元帳!AQ118="","",$I$1)</f>
        <v/>
      </c>
      <c r="J118" s="125" t="str">
        <f>IF(足元帳!AR118="","",$J$1)</f>
        <v/>
      </c>
      <c r="K118" s="125" t="str">
        <f>IF(足元帳!AS118="","",$K$1)</f>
        <v/>
      </c>
      <c r="L118" s="291" t="str">
        <f>IF(COUNTIF(足元帳!AT118,"*複合*"),"複合","")</f>
        <v/>
      </c>
      <c r="M118" s="291" t="str">
        <f>IF(COUNTIF(足元帳!AT118,"*店頭本指名*"),"店頭本指名","")</f>
        <v/>
      </c>
      <c r="N118" s="125" t="str">
        <f>IF(足元帳!U118="","",足元帳!U118)</f>
        <v/>
      </c>
      <c r="O118" s="125" t="str">
        <f>IF(足元帳!V118="","",足元帳!V118)</f>
        <v/>
      </c>
      <c r="P118" s="125" t="str">
        <f>IF(足元帳!W118="","",足元帳!W118)</f>
        <v/>
      </c>
      <c r="Q118" s="125" t="str">
        <f>IF(足元帳!X118="","",足元帳!X118)</f>
        <v/>
      </c>
      <c r="R118" s="125" t="str">
        <f>IF(足元帳!Y118="","",足元帳!Y118)</f>
        <v/>
      </c>
      <c r="S118" s="125" t="str">
        <f>IF(足元帳!Z118="","",足元帳!Z118)</f>
        <v/>
      </c>
      <c r="T118" s="125" t="str">
        <f>IF(足元帳!AT118="","",足元帳!AT118)</f>
        <v/>
      </c>
      <c r="U118" s="125" t="str">
        <f>IF(足元帳!AH118="●",足元帳!$AH$1&amp;足元帳!AW118,"")</f>
        <v/>
      </c>
      <c r="V118" s="125" t="str">
        <f>IF(足元帳!AI118="●",足元帳!$AI$1&amp;足元帳!AW118,"")</f>
        <v/>
      </c>
      <c r="W118" s="125" t="str">
        <f>IF(足元帳!AX118="","",足元帳!AX118)</f>
        <v/>
      </c>
      <c r="X118" s="125">
        <f>足元帳!BJ118</f>
        <v>0</v>
      </c>
      <c r="Y118" s="305" t="str">
        <f>"受付合計"&amp;Z97+AA97+Z107+AA107+Z108+AA108+Z117+AA117-Z118&amp;"名"</f>
        <v>受付合計0名</v>
      </c>
      <c r="Z118" s="307">
        <v>0</v>
      </c>
      <c r="AA118" s="305"/>
    </row>
    <row r="119" spans="1:27" ht="13.15" customHeight="1">
      <c r="A119" s="126">
        <v>118</v>
      </c>
      <c r="B119" s="127" t="str">
        <f>IF(足元帳!K119="","",精算表!$W$1)</f>
        <v/>
      </c>
      <c r="C119" s="128" t="str">
        <f>IF(足元帳!K119="","",IF(足元帳!AY119=2,"R","N"))</f>
        <v/>
      </c>
      <c r="D119" s="128" t="str">
        <f>IF(足元帳!K119="","",IF(足元帳!AZ119=1,"姫",IF(足元帳!AZ119=2,"本指名",IF(足元帳!AZ119=3,"NET",IF(足元帳!AZ119=4,"写真","")))))</f>
        <v/>
      </c>
      <c r="E119" s="128" t="str">
        <f>IF(足元帳!K119="","",足元帳!K119)</f>
        <v/>
      </c>
      <c r="F119" s="128" t="str">
        <f>IF(足元帳!K119="","",IF(足元帳!BB119=1,45,IF(足元帳!BB119=2,60,IF(足元帳!BB119=3,75,IF(足元帳!BB119=4,90,IF(足元帳!BB119=5,120,IF(足元帳!BB119=6,150,IF(足元帳!BB119=7,180,""))))))))</f>
        <v/>
      </c>
      <c r="G119" s="128" t="str">
        <f>IF(足元帳!K119="","",足元帳!A119)</f>
        <v/>
      </c>
      <c r="H119" s="125" t="str">
        <f>IF(足元帳!AP119="","",$H$1)</f>
        <v/>
      </c>
      <c r="I119" s="125" t="str">
        <f>IF(足元帳!AQ119="","",$I$1)</f>
        <v/>
      </c>
      <c r="J119" s="125" t="str">
        <f>IF(足元帳!AR119="","",$J$1)</f>
        <v/>
      </c>
      <c r="K119" s="125" t="str">
        <f>IF(足元帳!AS119="","",$K$1)</f>
        <v/>
      </c>
      <c r="L119" s="291" t="str">
        <f>IF(COUNTIF(足元帳!AT119,"*複合*"),"複合","")</f>
        <v/>
      </c>
      <c r="M119" s="291" t="str">
        <f>IF(COUNTIF(足元帳!AT119,"*店頭本指名*"),"店頭本指名","")</f>
        <v/>
      </c>
      <c r="N119" s="125" t="str">
        <f>IF(足元帳!U119="","",足元帳!U119)</f>
        <v/>
      </c>
      <c r="O119" s="125" t="str">
        <f>IF(足元帳!V119="","",足元帳!V119)</f>
        <v/>
      </c>
      <c r="P119" s="125" t="str">
        <f>IF(足元帳!W119="","",足元帳!W119)</f>
        <v/>
      </c>
      <c r="Q119" s="125" t="str">
        <f>IF(足元帳!X119="","",足元帳!X119)</f>
        <v/>
      </c>
      <c r="R119" s="125" t="str">
        <f>IF(足元帳!Y119="","",足元帳!Y119)</f>
        <v/>
      </c>
      <c r="S119" s="125" t="str">
        <f>IF(足元帳!Z119="","",足元帳!Z119)</f>
        <v/>
      </c>
      <c r="T119" s="125" t="str">
        <f>IF(足元帳!AT119="","",足元帳!AT119)</f>
        <v/>
      </c>
      <c r="U119" s="125" t="str">
        <f>IF(足元帳!AH119="●",足元帳!$AH$1&amp;足元帳!AW119,"")</f>
        <v/>
      </c>
      <c r="V119" s="125" t="str">
        <f>IF(足元帳!AI119="●",足元帳!$AI$1&amp;足元帳!AW119,"")</f>
        <v/>
      </c>
      <c r="W119" s="125" t="str">
        <f>IF(足元帳!AX119="","",足元帳!AX119)</f>
        <v/>
      </c>
      <c r="X119" s="125">
        <f>足元帳!BJ119</f>
        <v>0</v>
      </c>
      <c r="Y119" s="305" t="s">
        <v>337</v>
      </c>
      <c r="Z119" s="305"/>
      <c r="AA119" s="305"/>
    </row>
    <row r="120" spans="1:27" ht="13.15" customHeight="1">
      <c r="A120" s="126">
        <v>119</v>
      </c>
      <c r="B120" s="127" t="str">
        <f>IF(足元帳!K120="","",精算表!$W$1)</f>
        <v/>
      </c>
      <c r="C120" s="128" t="str">
        <f>IF(足元帳!K120="","",IF(足元帳!AY120=2,"R","N"))</f>
        <v/>
      </c>
      <c r="D120" s="128" t="str">
        <f>IF(足元帳!K120="","",IF(足元帳!AZ120=1,"姫",IF(足元帳!AZ120=2,"本指名",IF(足元帳!AZ120=3,"NET",IF(足元帳!AZ120=4,"写真","")))))</f>
        <v/>
      </c>
      <c r="E120" s="128" t="str">
        <f>IF(足元帳!K120="","",足元帳!K120)</f>
        <v/>
      </c>
      <c r="F120" s="128" t="str">
        <f>IF(足元帳!K120="","",IF(足元帳!BB120=1,45,IF(足元帳!BB120=2,60,IF(足元帳!BB120=3,75,IF(足元帳!BB120=4,90,IF(足元帳!BB120=5,120,IF(足元帳!BB120=6,150,IF(足元帳!BB120=7,180,""))))))))</f>
        <v/>
      </c>
      <c r="G120" s="128" t="str">
        <f>IF(足元帳!K120="","",足元帳!A120)</f>
        <v/>
      </c>
      <c r="H120" s="125" t="str">
        <f>IF(足元帳!AP120="","",$H$1)</f>
        <v/>
      </c>
      <c r="I120" s="125" t="str">
        <f>IF(足元帳!AQ120="","",$I$1)</f>
        <v/>
      </c>
      <c r="J120" s="125" t="str">
        <f>IF(足元帳!AR120="","",$J$1)</f>
        <v/>
      </c>
      <c r="K120" s="125" t="str">
        <f>IF(足元帳!AS120="","",$K$1)</f>
        <v/>
      </c>
      <c r="L120" s="291" t="str">
        <f>IF(COUNTIF(足元帳!AT120,"*複合*"),"複合","")</f>
        <v/>
      </c>
      <c r="M120" s="291" t="str">
        <f>IF(COUNTIF(足元帳!AT120,"*店頭本指名*"),"店頭本指名","")</f>
        <v/>
      </c>
      <c r="N120" s="125" t="str">
        <f>IF(足元帳!U120="","",足元帳!U120)</f>
        <v/>
      </c>
      <c r="O120" s="125" t="str">
        <f>IF(足元帳!V120="","",足元帳!V120)</f>
        <v/>
      </c>
      <c r="P120" s="125" t="str">
        <f>IF(足元帳!W120="","",足元帳!W120)</f>
        <v/>
      </c>
      <c r="Q120" s="125" t="str">
        <f>IF(足元帳!X120="","",足元帳!X120)</f>
        <v/>
      </c>
      <c r="R120" s="125" t="str">
        <f>IF(足元帳!Y120="","",足元帳!Y120)</f>
        <v/>
      </c>
      <c r="S120" s="125" t="str">
        <f>IF(足元帳!Z120="","",足元帳!Z120)</f>
        <v/>
      </c>
      <c r="T120" s="125" t="str">
        <f>IF(足元帳!AT120="","",足元帳!AT120)</f>
        <v/>
      </c>
      <c r="U120" s="125" t="str">
        <f>IF(足元帳!AH120="●",足元帳!$AH$1&amp;足元帳!AW120,"")</f>
        <v/>
      </c>
      <c r="V120" s="125" t="str">
        <f>IF(足元帳!AI120="●",足元帳!$AI$1&amp;足元帳!AW120,"")</f>
        <v/>
      </c>
      <c r="W120" s="125" t="str">
        <f>IF(足元帳!AX120="","",足元帳!AX120)</f>
        <v/>
      </c>
      <c r="X120" s="125">
        <f>足元帳!BJ120</f>
        <v>0</v>
      </c>
      <c r="Y120" s="305" t="str">
        <f>"　"&amp;AD101&amp;"/"&amp;AE101&amp;"/"&amp;AF101&amp;"/"&amp;AG101&amp;"/"&amp;AH101&amp;"("&amp;AK101&amp;"/"&amp;AL101&amp;"/"&amp;AM101&amp;"/"&amp;AN101&amp;"/"&amp;AO101&amp;")"</f>
        <v>　0/0/0/0/0(0/0/0/0/0)</v>
      </c>
      <c r="Z120" s="305"/>
      <c r="AA120" s="305"/>
    </row>
    <row r="121" spans="1:27" ht="13.15" customHeight="1">
      <c r="A121" s="126">
        <v>120</v>
      </c>
      <c r="B121" s="127" t="str">
        <f>IF(足元帳!K121="","",精算表!$W$1)</f>
        <v/>
      </c>
      <c r="C121" s="128" t="str">
        <f>IF(足元帳!K121="","",IF(足元帳!AY121=2,"R","N"))</f>
        <v/>
      </c>
      <c r="D121" s="128" t="str">
        <f>IF(足元帳!K121="","",IF(足元帳!AZ121=1,"姫",IF(足元帳!AZ121=2,"本指名",IF(足元帳!AZ121=3,"NET",IF(足元帳!AZ121=4,"写真","")))))</f>
        <v/>
      </c>
      <c r="E121" s="128" t="str">
        <f>IF(足元帳!K121="","",足元帳!K121)</f>
        <v/>
      </c>
      <c r="F121" s="128" t="str">
        <f>IF(足元帳!K121="","",IF(足元帳!BB121=1,45,IF(足元帳!BB121=2,60,IF(足元帳!BB121=3,75,IF(足元帳!BB121=4,90,IF(足元帳!BB121=5,120,IF(足元帳!BB121=6,150,IF(足元帳!BB121=7,180,""))))))))</f>
        <v/>
      </c>
      <c r="G121" s="128" t="str">
        <f>IF(足元帳!K121="","",足元帳!A121)</f>
        <v/>
      </c>
      <c r="H121" s="125" t="str">
        <f>IF(足元帳!AP121="","",$H$1)</f>
        <v/>
      </c>
      <c r="I121" s="125" t="str">
        <f>IF(足元帳!AQ121="","",$I$1)</f>
        <v/>
      </c>
      <c r="J121" s="125" t="str">
        <f>IF(足元帳!AR121="","",$J$1)</f>
        <v/>
      </c>
      <c r="K121" s="125" t="str">
        <f>IF(足元帳!AS121="","",$K$1)</f>
        <v/>
      </c>
      <c r="L121" s="291" t="str">
        <f>IF(COUNTIF(足元帳!AT121,"*複合*"),"複合","")</f>
        <v/>
      </c>
      <c r="M121" s="291" t="str">
        <f>IF(COUNTIF(足元帳!AT121,"*店頭本指名*"),"店頭本指名","")</f>
        <v/>
      </c>
      <c r="N121" s="125" t="str">
        <f>IF(足元帳!U121="","",足元帳!U121)</f>
        <v/>
      </c>
      <c r="O121" s="125" t="str">
        <f>IF(足元帳!V121="","",足元帳!V121)</f>
        <v/>
      </c>
      <c r="P121" s="125" t="str">
        <f>IF(足元帳!W121="","",足元帳!W121)</f>
        <v/>
      </c>
      <c r="Q121" s="125" t="str">
        <f>IF(足元帳!X121="","",足元帳!X121)</f>
        <v/>
      </c>
      <c r="R121" s="125" t="str">
        <f>IF(足元帳!Y121="","",足元帳!Y121)</f>
        <v/>
      </c>
      <c r="S121" s="125" t="str">
        <f>IF(足元帳!Z121="","",足元帳!Z121)</f>
        <v/>
      </c>
      <c r="T121" s="125" t="str">
        <f>IF(足元帳!AT121="","",足元帳!AT121)</f>
        <v/>
      </c>
      <c r="U121" s="125" t="str">
        <f>IF(足元帳!AH121="●",足元帳!$AH$1&amp;足元帳!AW121,"")</f>
        <v/>
      </c>
      <c r="V121" s="125" t="str">
        <f>IF(足元帳!AI121="●",足元帳!$AI$1&amp;足元帳!AW121,"")</f>
        <v/>
      </c>
      <c r="W121" s="125" t="str">
        <f>IF(足元帳!AX121="","",足元帳!AX121)</f>
        <v/>
      </c>
      <c r="X121" s="125">
        <f>足元帳!BJ121</f>
        <v>0</v>
      </c>
      <c r="Y121" s="305" t="str">
        <f>"　"&amp;AJ101&amp;"本"&amp;"　"&amp;AX101&amp;"pt"</f>
        <v>　0本　0pt</v>
      </c>
      <c r="Z121" s="305"/>
      <c r="AA121" s="305"/>
    </row>
    <row r="122" spans="1:27" ht="13.15" customHeight="1">
      <c r="A122" s="126">
        <v>121</v>
      </c>
      <c r="B122" s="127" t="str">
        <f>IF(足元帳!K122="","",精算表!$W$1)</f>
        <v/>
      </c>
      <c r="C122" s="128" t="str">
        <f>IF(足元帳!K122="","",IF(足元帳!AY122=2,"R","N"))</f>
        <v/>
      </c>
      <c r="D122" s="128" t="str">
        <f>IF(足元帳!K122="","",IF(足元帳!AZ122=1,"姫",IF(足元帳!AZ122=2,"本指名",IF(足元帳!AZ122=3,"NET",IF(足元帳!AZ122=4,"写真","")))))</f>
        <v/>
      </c>
      <c r="E122" s="128" t="str">
        <f>IF(足元帳!K122="","",足元帳!K122)</f>
        <v/>
      </c>
      <c r="F122" s="128" t="str">
        <f>IF(足元帳!K122="","",IF(足元帳!BB122=1,45,IF(足元帳!BB122=2,60,IF(足元帳!BB122=3,75,IF(足元帳!BB122=4,90,IF(足元帳!BB122=5,120,IF(足元帳!BB122=6,150,IF(足元帳!BB122=7,180,""))))))))</f>
        <v/>
      </c>
      <c r="G122" s="128" t="str">
        <f>IF(足元帳!K122="","",足元帳!A122)</f>
        <v/>
      </c>
      <c r="H122" s="125" t="str">
        <f>IF(足元帳!AP122="","",$H$1)</f>
        <v/>
      </c>
      <c r="I122" s="125" t="str">
        <f>IF(足元帳!AQ122="","",$I$1)</f>
        <v/>
      </c>
      <c r="J122" s="125" t="str">
        <f>IF(足元帳!AR122="","",$J$1)</f>
        <v/>
      </c>
      <c r="K122" s="125" t="str">
        <f>IF(足元帳!AS122="","",$K$1)</f>
        <v/>
      </c>
      <c r="L122" s="291" t="str">
        <f>IF(COUNTIF(足元帳!AT122,"*複合*"),"複合","")</f>
        <v/>
      </c>
      <c r="M122" s="291" t="str">
        <f>IF(COUNTIF(足元帳!AT122,"*店頭本指名*"),"店頭本指名","")</f>
        <v/>
      </c>
      <c r="N122" s="125" t="str">
        <f>IF(足元帳!U122="","",足元帳!U122)</f>
        <v/>
      </c>
      <c r="O122" s="125" t="str">
        <f>IF(足元帳!V122="","",足元帳!V122)</f>
        <v/>
      </c>
      <c r="P122" s="125" t="str">
        <f>IF(足元帳!W122="","",足元帳!W122)</f>
        <v/>
      </c>
      <c r="Q122" s="125" t="str">
        <f>IF(足元帳!X122="","",足元帳!X122)</f>
        <v/>
      </c>
      <c r="R122" s="125" t="str">
        <f>IF(足元帳!Y122="","",足元帳!Y122)</f>
        <v/>
      </c>
      <c r="S122" s="125" t="str">
        <f>IF(足元帳!Z122="","",足元帳!Z122)</f>
        <v/>
      </c>
      <c r="T122" s="125" t="str">
        <f>IF(足元帳!AT122="","",足元帳!AT122)</f>
        <v/>
      </c>
      <c r="U122" s="125" t="str">
        <f>IF(足元帳!AH122="●",足元帳!$AH$1&amp;足元帳!AW122,"")</f>
        <v/>
      </c>
      <c r="V122" s="125" t="str">
        <f>IF(足元帳!AI122="●",足元帳!$AI$1&amp;足元帳!AW122,"")</f>
        <v/>
      </c>
      <c r="W122" s="125" t="str">
        <f>IF(足元帳!AX122="","",足元帳!AX122)</f>
        <v/>
      </c>
      <c r="X122" s="125">
        <f>足元帳!BJ122</f>
        <v>0</v>
      </c>
      <c r="Y122" s="305" t="str">
        <f>"　"&amp;"内訳"&amp;"　"&amp;"来店"&amp;AZ101&amp;"名"&amp;"　"&amp;"予約"&amp;AW101&amp;"名"</f>
        <v>　内訳　来店0名　予約0名</v>
      </c>
      <c r="Z122" s="305"/>
      <c r="AA122" s="305"/>
    </row>
    <row r="123" spans="1:27" ht="13.15" customHeight="1">
      <c r="A123" s="126">
        <v>122</v>
      </c>
      <c r="B123" s="127" t="str">
        <f>IF(足元帳!K123="","",精算表!$W$1)</f>
        <v/>
      </c>
      <c r="C123" s="128" t="str">
        <f>IF(足元帳!K123="","",IF(足元帳!AY123=2,"R","N"))</f>
        <v/>
      </c>
      <c r="D123" s="128" t="str">
        <f>IF(足元帳!K123="","",IF(足元帳!AZ123=1,"姫",IF(足元帳!AZ123=2,"本指名",IF(足元帳!AZ123=3,"NET",IF(足元帳!AZ123=4,"写真","")))))</f>
        <v/>
      </c>
      <c r="E123" s="128" t="str">
        <f>IF(足元帳!K123="","",足元帳!K123)</f>
        <v/>
      </c>
      <c r="F123" s="128" t="str">
        <f>IF(足元帳!K123="","",IF(足元帳!BB123=1,45,IF(足元帳!BB123=2,60,IF(足元帳!BB123=3,75,IF(足元帳!BB123=4,90,IF(足元帳!BB123=5,120,IF(足元帳!BB123=6,150,IF(足元帳!BB123=7,180,""))))))))</f>
        <v/>
      </c>
      <c r="G123" s="128" t="str">
        <f>IF(足元帳!K123="","",足元帳!A123)</f>
        <v/>
      </c>
      <c r="H123" s="125" t="str">
        <f>IF(足元帳!AP123="","",$H$1)</f>
        <v/>
      </c>
      <c r="I123" s="125" t="str">
        <f>IF(足元帳!AQ123="","",$I$1)</f>
        <v/>
      </c>
      <c r="J123" s="125" t="str">
        <f>IF(足元帳!AR123="","",$J$1)</f>
        <v/>
      </c>
      <c r="K123" s="125" t="str">
        <f>IF(足元帳!AS123="","",$K$1)</f>
        <v/>
      </c>
      <c r="L123" s="291" t="str">
        <f>IF(COUNTIF(足元帳!AT123,"*複合*"),"複合","")</f>
        <v/>
      </c>
      <c r="M123" s="291" t="str">
        <f>IF(COUNTIF(足元帳!AT123,"*店頭本指名*"),"店頭本指名","")</f>
        <v/>
      </c>
      <c r="N123" s="125" t="str">
        <f>IF(足元帳!U123="","",足元帳!U123)</f>
        <v/>
      </c>
      <c r="O123" s="125" t="str">
        <f>IF(足元帳!V123="","",足元帳!V123)</f>
        <v/>
      </c>
      <c r="P123" s="125" t="str">
        <f>IF(足元帳!W123="","",足元帳!W123)</f>
        <v/>
      </c>
      <c r="Q123" s="125" t="str">
        <f>IF(足元帳!X123="","",足元帳!X123)</f>
        <v/>
      </c>
      <c r="R123" s="125" t="str">
        <f>IF(足元帳!Y123="","",足元帳!Y123)</f>
        <v/>
      </c>
      <c r="S123" s="125" t="str">
        <f>IF(足元帳!Z123="","",足元帳!Z123)</f>
        <v/>
      </c>
      <c r="T123" s="125" t="str">
        <f>IF(足元帳!AT123="","",足元帳!AT123)</f>
        <v/>
      </c>
      <c r="U123" s="125" t="str">
        <f>IF(足元帳!AH123="●",足元帳!$AH$1&amp;足元帳!AW123,"")</f>
        <v/>
      </c>
      <c r="V123" s="125" t="str">
        <f>IF(足元帳!AI123="●",足元帳!$AI$1&amp;足元帳!AW123,"")</f>
        <v/>
      </c>
      <c r="W123" s="125" t="str">
        <f>IF(足元帳!AX123="","",足元帳!AX123)</f>
        <v/>
      </c>
      <c r="X123" s="125">
        <f>足元帳!BJ123</f>
        <v>0</v>
      </c>
      <c r="Y123" s="305" t="s">
        <v>336</v>
      </c>
      <c r="Z123" s="305"/>
      <c r="AA123" s="305"/>
    </row>
    <row r="124" spans="1:27" ht="13.15" customHeight="1">
      <c r="A124" s="126">
        <v>123</v>
      </c>
      <c r="B124" s="127" t="str">
        <f>IF(足元帳!K124="","",精算表!$W$1)</f>
        <v/>
      </c>
      <c r="C124" s="128" t="str">
        <f>IF(足元帳!K124="","",IF(足元帳!AY124=2,"R","N"))</f>
        <v/>
      </c>
      <c r="D124" s="128" t="str">
        <f>IF(足元帳!K124="","",IF(足元帳!AZ124=1,"姫",IF(足元帳!AZ124=2,"本指名",IF(足元帳!AZ124=3,"NET",IF(足元帳!AZ124=4,"写真","")))))</f>
        <v/>
      </c>
      <c r="E124" s="128" t="str">
        <f>IF(足元帳!K124="","",足元帳!K124)</f>
        <v/>
      </c>
      <c r="F124" s="128" t="str">
        <f>IF(足元帳!K124="","",IF(足元帳!BB124=1,45,IF(足元帳!BB124=2,60,IF(足元帳!BB124=3,75,IF(足元帳!BB124=4,90,IF(足元帳!BB124=5,120,IF(足元帳!BB124=6,150,IF(足元帳!BB124=7,180,""))))))))</f>
        <v/>
      </c>
      <c r="G124" s="128" t="str">
        <f>IF(足元帳!K124="","",足元帳!A124)</f>
        <v/>
      </c>
      <c r="H124" s="125" t="str">
        <f>IF(足元帳!AP124="","",$H$1)</f>
        <v/>
      </c>
      <c r="I124" s="125" t="str">
        <f>IF(足元帳!AQ124="","",$I$1)</f>
        <v/>
      </c>
      <c r="J124" s="125" t="str">
        <f>IF(足元帳!AR124="","",$J$1)</f>
        <v/>
      </c>
      <c r="K124" s="125" t="str">
        <f>IF(足元帳!AS124="","",$K$1)</f>
        <v/>
      </c>
      <c r="L124" s="291" t="str">
        <f>IF(COUNTIF(足元帳!AT124,"*複合*"),"複合","")</f>
        <v/>
      </c>
      <c r="M124" s="291" t="str">
        <f>IF(COUNTIF(足元帳!AT124,"*店頭本指名*"),"店頭本指名","")</f>
        <v/>
      </c>
      <c r="N124" s="125" t="str">
        <f>IF(足元帳!U124="","",足元帳!U124)</f>
        <v/>
      </c>
      <c r="O124" s="125" t="str">
        <f>IF(足元帳!V124="","",足元帳!V124)</f>
        <v/>
      </c>
      <c r="P124" s="125" t="str">
        <f>IF(足元帳!W124="","",足元帳!W124)</f>
        <v/>
      </c>
      <c r="Q124" s="125" t="str">
        <f>IF(足元帳!X124="","",足元帳!X124)</f>
        <v/>
      </c>
      <c r="R124" s="125" t="str">
        <f>IF(足元帳!Y124="","",足元帳!Y124)</f>
        <v/>
      </c>
      <c r="S124" s="125" t="str">
        <f>IF(足元帳!Z124="","",足元帳!Z124)</f>
        <v/>
      </c>
      <c r="T124" s="125" t="str">
        <f>IF(足元帳!AT124="","",足元帳!AT124)</f>
        <v/>
      </c>
      <c r="U124" s="125" t="str">
        <f>IF(足元帳!AH124="●",足元帳!$AH$1&amp;足元帳!AW124,"")</f>
        <v/>
      </c>
      <c r="V124" s="125" t="str">
        <f>IF(足元帳!AI124="●",足元帳!$AI$1&amp;足元帳!AW124,"")</f>
        <v/>
      </c>
      <c r="W124" s="125" t="str">
        <f>IF(足元帳!AX124="","",足元帳!AX124)</f>
        <v/>
      </c>
      <c r="X124" s="125">
        <f>足元帳!BJ124</f>
        <v>0</v>
      </c>
      <c r="Y124" s="305" t="str">
        <f>"　"&amp;AD102&amp;"/"&amp;AE102&amp;"/"&amp;AF102&amp;"/"&amp;AG102&amp;"/"&amp;AH102&amp;"("&amp;AK102&amp;"/"&amp;AL102&amp;"/"&amp;AM102&amp;"/"&amp;AN102&amp;"/"&amp;AO102&amp;")"</f>
        <v>　0/0/0/0/0(0/0/0/0/0)</v>
      </c>
      <c r="Z124" s="305"/>
      <c r="AA124" s="305"/>
    </row>
    <row r="125" spans="1:27" ht="13.15" customHeight="1">
      <c r="A125" s="126">
        <v>124</v>
      </c>
      <c r="B125" s="127" t="str">
        <f>IF(足元帳!K125="","",精算表!$W$1)</f>
        <v/>
      </c>
      <c r="C125" s="128" t="str">
        <f>IF(足元帳!K125="","",IF(足元帳!AY125=2,"R","N"))</f>
        <v/>
      </c>
      <c r="D125" s="128" t="str">
        <f>IF(足元帳!K125="","",IF(足元帳!AZ125=1,"姫",IF(足元帳!AZ125=2,"本指名",IF(足元帳!AZ125=3,"NET",IF(足元帳!AZ125=4,"写真","")))))</f>
        <v/>
      </c>
      <c r="E125" s="128" t="str">
        <f>IF(足元帳!K125="","",足元帳!K125)</f>
        <v/>
      </c>
      <c r="F125" s="128" t="str">
        <f>IF(足元帳!K125="","",IF(足元帳!BB125=1,45,IF(足元帳!BB125=2,60,IF(足元帳!BB125=3,75,IF(足元帳!BB125=4,90,IF(足元帳!BB125=5,120,IF(足元帳!BB125=6,150,IF(足元帳!BB125=7,180,""))))))))</f>
        <v/>
      </c>
      <c r="G125" s="128" t="str">
        <f>IF(足元帳!K125="","",足元帳!A125)</f>
        <v/>
      </c>
      <c r="H125" s="125" t="str">
        <f>IF(足元帳!AP125="","",$H$1)</f>
        <v/>
      </c>
      <c r="I125" s="125" t="str">
        <f>IF(足元帳!AQ125="","",$I$1)</f>
        <v/>
      </c>
      <c r="J125" s="125" t="str">
        <f>IF(足元帳!AR125="","",$J$1)</f>
        <v/>
      </c>
      <c r="K125" s="125" t="str">
        <f>IF(足元帳!AS125="","",$K$1)</f>
        <v/>
      </c>
      <c r="L125" s="291" t="str">
        <f>IF(COUNTIF(足元帳!AT125,"*複合*"),"複合","")</f>
        <v/>
      </c>
      <c r="M125" s="291" t="str">
        <f>IF(COUNTIF(足元帳!AT125,"*店頭本指名*"),"店頭本指名","")</f>
        <v/>
      </c>
      <c r="N125" s="125" t="str">
        <f>IF(足元帳!U125="","",足元帳!U125)</f>
        <v/>
      </c>
      <c r="O125" s="125" t="str">
        <f>IF(足元帳!V125="","",足元帳!V125)</f>
        <v/>
      </c>
      <c r="P125" s="125" t="str">
        <f>IF(足元帳!W125="","",足元帳!W125)</f>
        <v/>
      </c>
      <c r="Q125" s="125" t="str">
        <f>IF(足元帳!X125="","",足元帳!X125)</f>
        <v/>
      </c>
      <c r="R125" s="125" t="str">
        <f>IF(足元帳!Y125="","",足元帳!Y125)</f>
        <v/>
      </c>
      <c r="S125" s="125" t="str">
        <f>IF(足元帳!Z125="","",足元帳!Z125)</f>
        <v/>
      </c>
      <c r="T125" s="125" t="str">
        <f>IF(足元帳!AT125="","",足元帳!AT125)</f>
        <v/>
      </c>
      <c r="U125" s="125" t="str">
        <f>IF(足元帳!AH125="●",足元帳!$AH$1&amp;足元帳!AW125,"")</f>
        <v/>
      </c>
      <c r="V125" s="125" t="str">
        <f>IF(足元帳!AI125="●",足元帳!$AI$1&amp;足元帳!AW125,"")</f>
        <v/>
      </c>
      <c r="W125" s="125" t="str">
        <f>IF(足元帳!AX125="","",足元帳!AX125)</f>
        <v/>
      </c>
      <c r="X125" s="125">
        <f>足元帳!BJ125</f>
        <v>0</v>
      </c>
      <c r="Y125" s="305" t="str">
        <f>"　"&amp;AJ102&amp;"本"&amp;"　"&amp;AX102&amp;"pt"</f>
        <v>　0本　0pt</v>
      </c>
      <c r="Z125" s="305"/>
      <c r="AA125" s="305"/>
    </row>
    <row r="126" spans="1:27" ht="13.15" customHeight="1">
      <c r="A126" s="126">
        <v>125</v>
      </c>
      <c r="B126" s="127" t="str">
        <f>IF(足元帳!K126="","",精算表!$W$1)</f>
        <v/>
      </c>
      <c r="C126" s="128" t="str">
        <f>IF(足元帳!K126="","",IF(足元帳!AY126=2,"R","N"))</f>
        <v/>
      </c>
      <c r="D126" s="128" t="str">
        <f>IF(足元帳!K126="","",IF(足元帳!AZ126=1,"姫",IF(足元帳!AZ126=2,"本指名",IF(足元帳!AZ126=3,"NET",IF(足元帳!AZ126=4,"写真","")))))</f>
        <v/>
      </c>
      <c r="E126" s="128" t="str">
        <f>IF(足元帳!K126="","",足元帳!K126)</f>
        <v/>
      </c>
      <c r="F126" s="128" t="str">
        <f>IF(足元帳!K126="","",IF(足元帳!BB126=1,45,IF(足元帳!BB126=2,60,IF(足元帳!BB126=3,75,IF(足元帳!BB126=4,90,IF(足元帳!BB126=5,120,IF(足元帳!BB126=6,150,IF(足元帳!BB126=7,180,""))))))))</f>
        <v/>
      </c>
      <c r="G126" s="128" t="str">
        <f>IF(足元帳!K126="","",足元帳!A126)</f>
        <v/>
      </c>
      <c r="H126" s="125" t="str">
        <f>IF(足元帳!AP126="","",$H$1)</f>
        <v/>
      </c>
      <c r="I126" s="125" t="str">
        <f>IF(足元帳!AQ126="","",$I$1)</f>
        <v/>
      </c>
      <c r="J126" s="125" t="str">
        <f>IF(足元帳!AR126="","",$J$1)</f>
        <v/>
      </c>
      <c r="K126" s="125" t="str">
        <f>IF(足元帳!AS126="","",$K$1)</f>
        <v/>
      </c>
      <c r="L126" s="291" t="str">
        <f>IF(COUNTIF(足元帳!AT126,"*複合*"),"複合","")</f>
        <v/>
      </c>
      <c r="M126" s="291" t="str">
        <f>IF(COUNTIF(足元帳!AT126,"*店頭本指名*"),"店頭本指名","")</f>
        <v/>
      </c>
      <c r="N126" s="125" t="str">
        <f>IF(足元帳!U126="","",足元帳!U126)</f>
        <v/>
      </c>
      <c r="O126" s="125" t="str">
        <f>IF(足元帳!V126="","",足元帳!V126)</f>
        <v/>
      </c>
      <c r="P126" s="125" t="str">
        <f>IF(足元帳!W126="","",足元帳!W126)</f>
        <v/>
      </c>
      <c r="Q126" s="125" t="str">
        <f>IF(足元帳!X126="","",足元帳!X126)</f>
        <v/>
      </c>
      <c r="R126" s="125" t="str">
        <f>IF(足元帳!Y126="","",足元帳!Y126)</f>
        <v/>
      </c>
      <c r="S126" s="125" t="str">
        <f>IF(足元帳!Z126="","",足元帳!Z126)</f>
        <v/>
      </c>
      <c r="T126" s="125" t="str">
        <f>IF(足元帳!AT126="","",足元帳!AT126)</f>
        <v/>
      </c>
      <c r="U126" s="125" t="str">
        <f>IF(足元帳!AH126="●",足元帳!$AH$1&amp;足元帳!AW126,"")</f>
        <v/>
      </c>
      <c r="V126" s="125" t="str">
        <f>IF(足元帳!AI126="●",足元帳!$AI$1&amp;足元帳!AW126,"")</f>
        <v/>
      </c>
      <c r="W126" s="125" t="str">
        <f>IF(足元帳!AX126="","",足元帳!AX126)</f>
        <v/>
      </c>
      <c r="X126" s="125">
        <f>足元帳!BJ126</f>
        <v>0</v>
      </c>
      <c r="Y126" s="305" t="str">
        <f>"　"&amp;"内訳"&amp;"　"&amp;"来店"&amp;AZ105&amp;"名"&amp;"　"&amp;"予約"&amp;AW105&amp;"名"</f>
        <v>　内訳　来店名　予約名</v>
      </c>
      <c r="Z126" s="305"/>
      <c r="AA126" s="305"/>
    </row>
    <row r="127" spans="1:27" ht="13.15" customHeight="1">
      <c r="A127" s="126">
        <v>126</v>
      </c>
      <c r="B127" s="127" t="str">
        <f>IF(足元帳!K127="","",精算表!$W$1)</f>
        <v/>
      </c>
      <c r="C127" s="128" t="str">
        <f>IF(足元帳!K127="","",IF(足元帳!AY127=2,"R","N"))</f>
        <v/>
      </c>
      <c r="D127" s="128" t="str">
        <f>IF(足元帳!K127="","",IF(足元帳!AZ127=1,"姫",IF(足元帳!AZ127=2,"本指名",IF(足元帳!AZ127=3,"NET",IF(足元帳!AZ127=4,"写真","")))))</f>
        <v/>
      </c>
      <c r="E127" s="128" t="str">
        <f>IF(足元帳!K127="","",足元帳!K127)</f>
        <v/>
      </c>
      <c r="F127" s="128" t="str">
        <f>IF(足元帳!K127="","",IF(足元帳!BB127=1,45,IF(足元帳!BB127=2,60,IF(足元帳!BB127=3,75,IF(足元帳!BB127=4,90,IF(足元帳!BB127=5,120,IF(足元帳!BB127=6,150,IF(足元帳!BB127=7,180,""))))))))</f>
        <v/>
      </c>
      <c r="G127" s="128" t="str">
        <f>IF(足元帳!K127="","",足元帳!A127)</f>
        <v/>
      </c>
      <c r="H127" s="125" t="str">
        <f>IF(足元帳!AP127="","",$H$1)</f>
        <v/>
      </c>
      <c r="I127" s="125" t="str">
        <f>IF(足元帳!AQ127="","",$I$1)</f>
        <v/>
      </c>
      <c r="J127" s="125" t="str">
        <f>IF(足元帳!AR127="","",$J$1)</f>
        <v/>
      </c>
      <c r="K127" s="125" t="str">
        <f>IF(足元帳!AS127="","",$K$1)</f>
        <v/>
      </c>
      <c r="L127" s="291" t="str">
        <f>IF(COUNTIF(足元帳!AT127,"*複合*"),"複合","")</f>
        <v/>
      </c>
      <c r="M127" s="291" t="str">
        <f>IF(COUNTIF(足元帳!AT127,"*店頭本指名*"),"店頭本指名","")</f>
        <v/>
      </c>
      <c r="N127" s="125" t="str">
        <f>IF(足元帳!U127="","",足元帳!U127)</f>
        <v/>
      </c>
      <c r="O127" s="125" t="str">
        <f>IF(足元帳!V127="","",足元帳!V127)</f>
        <v/>
      </c>
      <c r="P127" s="125" t="str">
        <f>IF(足元帳!W127="","",足元帳!W127)</f>
        <v/>
      </c>
      <c r="Q127" s="125" t="str">
        <f>IF(足元帳!X127="","",足元帳!X127)</f>
        <v/>
      </c>
      <c r="R127" s="125" t="str">
        <f>IF(足元帳!Y127="","",足元帳!Y127)</f>
        <v/>
      </c>
      <c r="S127" s="125" t="str">
        <f>IF(足元帳!Z127="","",足元帳!Z127)</f>
        <v/>
      </c>
      <c r="T127" s="125" t="str">
        <f>IF(足元帳!AT127="","",足元帳!AT127)</f>
        <v/>
      </c>
      <c r="U127" s="125" t="str">
        <f>IF(足元帳!AH127="●",足元帳!$AH$1&amp;足元帳!AW127,"")</f>
        <v/>
      </c>
      <c r="V127" s="125" t="str">
        <f>IF(足元帳!AI127="●",足元帳!$AI$1&amp;足元帳!AW127,"")</f>
        <v/>
      </c>
      <c r="W127" s="125" t="str">
        <f>IF(足元帳!AX127="","",足元帳!AX127)</f>
        <v/>
      </c>
      <c r="X127" s="125">
        <f>足元帳!BJ127</f>
        <v>0</v>
      </c>
      <c r="Y127" s="305" t="s">
        <v>311</v>
      </c>
      <c r="Z127" s="305"/>
      <c r="AA127" s="305"/>
    </row>
    <row r="128" spans="1:27" ht="13.15" customHeight="1">
      <c r="A128" s="126">
        <v>127</v>
      </c>
      <c r="B128" s="127" t="str">
        <f>IF(足元帳!K128="","",精算表!$W$1)</f>
        <v/>
      </c>
      <c r="C128" s="128" t="str">
        <f>IF(足元帳!K128="","",IF(足元帳!AY128=2,"R","N"))</f>
        <v/>
      </c>
      <c r="D128" s="128" t="str">
        <f>IF(足元帳!K128="","",IF(足元帳!AZ128=1,"姫",IF(足元帳!AZ128=2,"本指名",IF(足元帳!AZ128=3,"NET",IF(足元帳!AZ128=4,"写真","")))))</f>
        <v/>
      </c>
      <c r="E128" s="128" t="str">
        <f>IF(足元帳!K128="","",足元帳!K128)</f>
        <v/>
      </c>
      <c r="F128" s="128" t="str">
        <f>IF(足元帳!K128="","",IF(足元帳!BB128=1,45,IF(足元帳!BB128=2,60,IF(足元帳!BB128=3,75,IF(足元帳!BB128=4,90,IF(足元帳!BB128=5,120,IF(足元帳!BB128=6,150,IF(足元帳!BB128=7,180,""))))))))</f>
        <v/>
      </c>
      <c r="G128" s="128" t="str">
        <f>IF(足元帳!K128="","",足元帳!A128)</f>
        <v/>
      </c>
      <c r="H128" s="125" t="str">
        <f>IF(足元帳!AP128="","",$H$1)</f>
        <v/>
      </c>
      <c r="I128" s="125" t="str">
        <f>IF(足元帳!AQ128="","",$I$1)</f>
        <v/>
      </c>
      <c r="J128" s="125" t="str">
        <f>IF(足元帳!AR128="","",$J$1)</f>
        <v/>
      </c>
      <c r="K128" s="125" t="str">
        <f>IF(足元帳!AS128="","",$K$1)</f>
        <v/>
      </c>
      <c r="L128" s="291" t="str">
        <f>IF(COUNTIF(足元帳!AT128,"*複合*"),"複合","")</f>
        <v/>
      </c>
      <c r="M128" s="291" t="str">
        <f>IF(COUNTIF(足元帳!AT128,"*店頭本指名*"),"店頭本指名","")</f>
        <v/>
      </c>
      <c r="N128" s="125" t="str">
        <f>IF(足元帳!U128="","",足元帳!U128)</f>
        <v/>
      </c>
      <c r="O128" s="125" t="str">
        <f>IF(足元帳!V128="","",足元帳!V128)</f>
        <v/>
      </c>
      <c r="P128" s="125" t="str">
        <f>IF(足元帳!W128="","",足元帳!W128)</f>
        <v/>
      </c>
      <c r="Q128" s="125" t="str">
        <f>IF(足元帳!X128="","",足元帳!X128)</f>
        <v/>
      </c>
      <c r="R128" s="125" t="str">
        <f>IF(足元帳!Y128="","",足元帳!Y128)</f>
        <v/>
      </c>
      <c r="S128" s="125" t="str">
        <f>IF(足元帳!Z128="","",足元帳!Z128)</f>
        <v/>
      </c>
      <c r="T128" s="125" t="str">
        <f>IF(足元帳!AT128="","",足元帳!AT128)</f>
        <v/>
      </c>
      <c r="U128" s="125" t="str">
        <f>IF(足元帳!AH128="●",足元帳!$AH$1&amp;足元帳!AW128,"")</f>
        <v/>
      </c>
      <c r="V128" s="125" t="str">
        <f>IF(足元帳!AI128="●",足元帳!$AI$1&amp;足元帳!AW128,"")</f>
        <v/>
      </c>
      <c r="W128" s="125" t="str">
        <f>IF(足元帳!AX128="","",足元帳!AX128)</f>
        <v/>
      </c>
      <c r="X128" s="125">
        <f>足元帳!BJ128</f>
        <v>0</v>
      </c>
    </row>
    <row r="129" spans="1:24" ht="13.15" customHeight="1">
      <c r="A129" s="126">
        <v>128</v>
      </c>
      <c r="B129" s="127" t="str">
        <f>IF(足元帳!K129="","",精算表!$W$1)</f>
        <v/>
      </c>
      <c r="C129" s="128" t="str">
        <f>IF(足元帳!K129="","",IF(足元帳!AY129=2,"R","N"))</f>
        <v/>
      </c>
      <c r="D129" s="128" t="str">
        <f>IF(足元帳!K129="","",IF(足元帳!AZ129=1,"姫",IF(足元帳!AZ129=2,"本指名",IF(足元帳!AZ129=3,"NET",IF(足元帳!AZ129=4,"写真","")))))</f>
        <v/>
      </c>
      <c r="E129" s="128" t="str">
        <f>IF(足元帳!K129="","",足元帳!K129)</f>
        <v/>
      </c>
      <c r="F129" s="128" t="str">
        <f>IF(足元帳!K129="","",IF(足元帳!BB129=1,45,IF(足元帳!BB129=2,60,IF(足元帳!BB129=3,75,IF(足元帳!BB129=4,90,IF(足元帳!BB129=5,120,IF(足元帳!BB129=6,150,IF(足元帳!BB129=7,180,""))))))))</f>
        <v/>
      </c>
      <c r="G129" s="128" t="str">
        <f>IF(足元帳!K129="","",足元帳!A129)</f>
        <v/>
      </c>
      <c r="H129" s="125" t="str">
        <f>IF(足元帳!AP129="","",$H$1)</f>
        <v/>
      </c>
      <c r="I129" s="125" t="str">
        <f>IF(足元帳!AQ129="","",$I$1)</f>
        <v/>
      </c>
      <c r="J129" s="125" t="str">
        <f>IF(足元帳!AR129="","",$J$1)</f>
        <v/>
      </c>
      <c r="K129" s="125" t="str">
        <f>IF(足元帳!AS129="","",$K$1)</f>
        <v/>
      </c>
      <c r="L129" s="291" t="str">
        <f>IF(COUNTIF(足元帳!AT129,"*複合*"),"複合","")</f>
        <v/>
      </c>
      <c r="M129" s="291" t="str">
        <f>IF(COUNTIF(足元帳!AT129,"*店頭本指名*"),"店頭本指名","")</f>
        <v/>
      </c>
      <c r="N129" s="125" t="str">
        <f>IF(足元帳!U129="","",足元帳!U129)</f>
        <v/>
      </c>
      <c r="O129" s="125" t="str">
        <f>IF(足元帳!V129="","",足元帳!V129)</f>
        <v/>
      </c>
      <c r="P129" s="125" t="str">
        <f>IF(足元帳!W129="","",足元帳!W129)</f>
        <v/>
      </c>
      <c r="Q129" s="125" t="str">
        <f>IF(足元帳!X129="","",足元帳!X129)</f>
        <v/>
      </c>
      <c r="R129" s="125" t="str">
        <f>IF(足元帳!Y129="","",足元帳!Y129)</f>
        <v/>
      </c>
      <c r="S129" s="125" t="str">
        <f>IF(足元帳!Z129="","",足元帳!Z129)</f>
        <v/>
      </c>
      <c r="T129" s="125" t="str">
        <f>IF(足元帳!AT129="","",足元帳!AT129)</f>
        <v/>
      </c>
      <c r="U129" s="125" t="str">
        <f>IF(足元帳!AH129="●",足元帳!$AH$1&amp;足元帳!AW129,"")</f>
        <v/>
      </c>
      <c r="V129" s="125" t="str">
        <f>IF(足元帳!AI129="●",足元帳!$AI$1&amp;足元帳!AW129,"")</f>
        <v/>
      </c>
      <c r="W129" s="125" t="str">
        <f>IF(足元帳!AX129="","",足元帳!AX129)</f>
        <v/>
      </c>
      <c r="X129" s="125">
        <f>足元帳!BJ129</f>
        <v>0</v>
      </c>
    </row>
    <row r="130" spans="1:24" ht="13.15" customHeight="1">
      <c r="A130" s="126">
        <v>129</v>
      </c>
      <c r="B130" s="127" t="str">
        <f>IF(足元帳!K130="","",精算表!$W$1)</f>
        <v/>
      </c>
      <c r="C130" s="128" t="str">
        <f>IF(足元帳!K130="","",IF(足元帳!AY130=2,"R","N"))</f>
        <v/>
      </c>
      <c r="D130" s="128" t="str">
        <f>IF(足元帳!K130="","",IF(足元帳!AZ130=1,"姫",IF(足元帳!AZ130=2,"本指名",IF(足元帳!AZ130=3,"NET",IF(足元帳!AZ130=4,"写真","")))))</f>
        <v/>
      </c>
      <c r="E130" s="128" t="str">
        <f>IF(足元帳!K130="","",足元帳!K130)</f>
        <v/>
      </c>
      <c r="F130" s="128" t="str">
        <f>IF(足元帳!K130="","",IF(足元帳!BB130=1,45,IF(足元帳!BB130=2,60,IF(足元帳!BB130=3,75,IF(足元帳!BB130=4,90,IF(足元帳!BB130=5,120,IF(足元帳!BB130=6,150,IF(足元帳!BB130=7,180,""))))))))</f>
        <v/>
      </c>
      <c r="G130" s="128" t="str">
        <f>IF(足元帳!K130="","",足元帳!A130)</f>
        <v/>
      </c>
      <c r="H130" s="125" t="str">
        <f>IF(足元帳!AP130="","",$H$1)</f>
        <v/>
      </c>
      <c r="I130" s="125" t="str">
        <f>IF(足元帳!AQ130="","",$I$1)</f>
        <v/>
      </c>
      <c r="J130" s="125" t="str">
        <f>IF(足元帳!AR130="","",$J$1)</f>
        <v/>
      </c>
      <c r="K130" s="125" t="str">
        <f>IF(足元帳!AS130="","",$K$1)</f>
        <v/>
      </c>
      <c r="L130" s="291" t="str">
        <f>IF(COUNTIF(足元帳!AT130,"*複合*"),"複合","")</f>
        <v/>
      </c>
      <c r="M130" s="291" t="str">
        <f>IF(COUNTIF(足元帳!AT130,"*店頭本指名*"),"店頭本指名","")</f>
        <v/>
      </c>
      <c r="N130" s="125" t="str">
        <f>IF(足元帳!U130="","",足元帳!U130)</f>
        <v/>
      </c>
      <c r="O130" s="125" t="str">
        <f>IF(足元帳!V130="","",足元帳!V130)</f>
        <v/>
      </c>
      <c r="P130" s="125" t="str">
        <f>IF(足元帳!W130="","",足元帳!W130)</f>
        <v/>
      </c>
      <c r="Q130" s="125" t="str">
        <f>IF(足元帳!X130="","",足元帳!X130)</f>
        <v/>
      </c>
      <c r="R130" s="125" t="str">
        <f>IF(足元帳!Y130="","",足元帳!Y130)</f>
        <v/>
      </c>
      <c r="S130" s="125" t="str">
        <f>IF(足元帳!Z130="","",足元帳!Z130)</f>
        <v/>
      </c>
      <c r="T130" s="125" t="str">
        <f>IF(足元帳!AT130="","",足元帳!AT130)</f>
        <v/>
      </c>
      <c r="U130" s="125" t="str">
        <f>IF(足元帳!AH130="●",足元帳!$AH$1&amp;足元帳!AW130,"")</f>
        <v/>
      </c>
      <c r="V130" s="125" t="str">
        <f>IF(足元帳!AI130="●",足元帳!$AI$1&amp;足元帳!AW130,"")</f>
        <v/>
      </c>
      <c r="W130" s="125" t="str">
        <f>IF(足元帳!AX130="","",足元帳!AX130)</f>
        <v/>
      </c>
      <c r="X130" s="125">
        <f>足元帳!BJ130</f>
        <v>0</v>
      </c>
    </row>
    <row r="131" spans="1:24" ht="13.15" customHeight="1">
      <c r="A131" s="126">
        <v>130</v>
      </c>
      <c r="B131" s="127" t="str">
        <f>IF(足元帳!K131="","",精算表!$W$1)</f>
        <v/>
      </c>
      <c r="C131" s="128" t="str">
        <f>IF(足元帳!K131="","",IF(足元帳!AY131=2,"R","N"))</f>
        <v/>
      </c>
      <c r="D131" s="128" t="str">
        <f>IF(足元帳!K131="","",IF(足元帳!AZ131=1,"姫",IF(足元帳!AZ131=2,"本指名",IF(足元帳!AZ131=3,"NET",IF(足元帳!AZ131=4,"写真","")))))</f>
        <v/>
      </c>
      <c r="E131" s="128" t="str">
        <f>IF(足元帳!K131="","",足元帳!K131)</f>
        <v/>
      </c>
      <c r="F131" s="128" t="str">
        <f>IF(足元帳!K131="","",IF(足元帳!BB131=1,45,IF(足元帳!BB131=2,60,IF(足元帳!BB131=3,75,IF(足元帳!BB131=4,90,IF(足元帳!BB131=5,120,IF(足元帳!BB131=6,150,IF(足元帳!BB131=7,180,""))))))))</f>
        <v/>
      </c>
      <c r="G131" s="128" t="str">
        <f>IF(足元帳!K131="","",足元帳!A131)</f>
        <v/>
      </c>
      <c r="H131" s="125" t="str">
        <f>IF(足元帳!AP131="","",$H$1)</f>
        <v/>
      </c>
      <c r="I131" s="125" t="str">
        <f>IF(足元帳!AQ131="","",$I$1)</f>
        <v/>
      </c>
      <c r="J131" s="125" t="str">
        <f>IF(足元帳!AR131="","",$J$1)</f>
        <v/>
      </c>
      <c r="K131" s="125" t="str">
        <f>IF(足元帳!AS131="","",$K$1)</f>
        <v/>
      </c>
      <c r="L131" s="291" t="str">
        <f>IF(COUNTIF(足元帳!AT131,"*複合*"),"複合","")</f>
        <v/>
      </c>
      <c r="M131" s="291" t="str">
        <f>IF(COUNTIF(足元帳!AT131,"*店頭本指名*"),"店頭本指名","")</f>
        <v/>
      </c>
      <c r="N131" s="125" t="str">
        <f>IF(足元帳!U131="","",足元帳!U131)</f>
        <v/>
      </c>
      <c r="O131" s="125" t="str">
        <f>IF(足元帳!V131="","",足元帳!V131)</f>
        <v/>
      </c>
      <c r="P131" s="125" t="str">
        <f>IF(足元帳!W131="","",足元帳!W131)</f>
        <v/>
      </c>
      <c r="Q131" s="125" t="str">
        <f>IF(足元帳!X131="","",足元帳!X131)</f>
        <v/>
      </c>
      <c r="R131" s="125" t="str">
        <f>IF(足元帳!Y131="","",足元帳!Y131)</f>
        <v/>
      </c>
      <c r="S131" s="125" t="str">
        <f>IF(足元帳!Z131="","",足元帳!Z131)</f>
        <v/>
      </c>
      <c r="T131" s="125" t="str">
        <f>IF(足元帳!AT131="","",足元帳!AT131)</f>
        <v/>
      </c>
      <c r="U131" s="125" t="str">
        <f>IF(足元帳!AH131="●",足元帳!$AH$1&amp;足元帳!AW131,"")</f>
        <v/>
      </c>
      <c r="V131" s="125" t="str">
        <f>IF(足元帳!AI131="●",足元帳!$AI$1&amp;足元帳!AW131,"")</f>
        <v/>
      </c>
      <c r="W131" s="125" t="str">
        <f>IF(足元帳!AX131="","",足元帳!AX131)</f>
        <v/>
      </c>
      <c r="X131" s="125">
        <f>足元帳!BJ131</f>
        <v>0</v>
      </c>
    </row>
    <row r="132" spans="1:24" ht="13.15" customHeight="1">
      <c r="A132" s="126">
        <v>131</v>
      </c>
      <c r="B132" s="127" t="str">
        <f>IF(足元帳!K132="","",精算表!$W$1)</f>
        <v/>
      </c>
      <c r="C132" s="128" t="str">
        <f>IF(足元帳!K132="","",IF(足元帳!AY132=2,"R","N"))</f>
        <v/>
      </c>
      <c r="D132" s="128" t="str">
        <f>IF(足元帳!K132="","",IF(足元帳!AZ132=1,"姫",IF(足元帳!AZ132=2,"本指名",IF(足元帳!AZ132=3,"NET",IF(足元帳!AZ132=4,"写真","")))))</f>
        <v/>
      </c>
      <c r="E132" s="128" t="str">
        <f>IF(足元帳!K132="","",足元帳!K132)</f>
        <v/>
      </c>
      <c r="F132" s="128" t="str">
        <f>IF(足元帳!K132="","",IF(足元帳!BB132=1,45,IF(足元帳!BB132=2,60,IF(足元帳!BB132=3,75,IF(足元帳!BB132=4,90,IF(足元帳!BB132=5,120,IF(足元帳!BB132=6,150,IF(足元帳!BB132=7,180,""))))))))</f>
        <v/>
      </c>
      <c r="G132" s="128" t="str">
        <f>IF(足元帳!K132="","",足元帳!A132)</f>
        <v/>
      </c>
      <c r="H132" s="125" t="str">
        <f>IF(足元帳!AP132="","",$H$1)</f>
        <v/>
      </c>
      <c r="I132" s="125" t="str">
        <f>IF(足元帳!AQ132="","",$I$1)</f>
        <v/>
      </c>
      <c r="J132" s="125" t="str">
        <f>IF(足元帳!AR132="","",$J$1)</f>
        <v/>
      </c>
      <c r="K132" s="125" t="str">
        <f>IF(足元帳!AS132="","",$K$1)</f>
        <v/>
      </c>
      <c r="L132" s="291" t="str">
        <f>IF(COUNTIF(足元帳!AT132,"*複合*"),"複合","")</f>
        <v/>
      </c>
      <c r="M132" s="291" t="str">
        <f>IF(COUNTIF(足元帳!AT132,"*店頭本指名*"),"店頭本指名","")</f>
        <v/>
      </c>
      <c r="N132" s="125" t="str">
        <f>IF(足元帳!U132="","",足元帳!U132)</f>
        <v/>
      </c>
      <c r="O132" s="125" t="str">
        <f>IF(足元帳!V132="","",足元帳!V132)</f>
        <v/>
      </c>
      <c r="P132" s="125" t="str">
        <f>IF(足元帳!W132="","",足元帳!W132)</f>
        <v/>
      </c>
      <c r="Q132" s="125" t="str">
        <f>IF(足元帳!X132="","",足元帳!X132)</f>
        <v/>
      </c>
      <c r="R132" s="125" t="str">
        <f>IF(足元帳!Y132="","",足元帳!Y132)</f>
        <v/>
      </c>
      <c r="S132" s="125" t="str">
        <f>IF(足元帳!Z132="","",足元帳!Z132)</f>
        <v/>
      </c>
      <c r="T132" s="125" t="str">
        <f>IF(足元帳!AT132="","",足元帳!AT132)</f>
        <v/>
      </c>
      <c r="U132" s="125" t="str">
        <f>IF(足元帳!AH132="●",足元帳!$AH$1&amp;足元帳!AW132,"")</f>
        <v/>
      </c>
      <c r="V132" s="125" t="str">
        <f>IF(足元帳!AI132="●",足元帳!$AI$1&amp;足元帳!AW132,"")</f>
        <v/>
      </c>
      <c r="W132" s="125" t="str">
        <f>IF(足元帳!AX132="","",足元帳!AX132)</f>
        <v/>
      </c>
      <c r="X132" s="125">
        <f>足元帳!BJ132</f>
        <v>0</v>
      </c>
    </row>
    <row r="133" spans="1:24" ht="13.15" customHeight="1">
      <c r="A133" s="126">
        <v>132</v>
      </c>
      <c r="B133" s="127" t="str">
        <f>IF(足元帳!K133="","",精算表!$W$1)</f>
        <v/>
      </c>
      <c r="C133" s="128" t="str">
        <f>IF(足元帳!K133="","",IF(足元帳!AY133=2,"R","N"))</f>
        <v/>
      </c>
      <c r="D133" s="128" t="str">
        <f>IF(足元帳!K133="","",IF(足元帳!AZ133=1,"姫",IF(足元帳!AZ133=2,"本指名",IF(足元帳!AZ133=3,"NET",IF(足元帳!AZ133=4,"写真","")))))</f>
        <v/>
      </c>
      <c r="E133" s="128" t="str">
        <f>IF(足元帳!K133="","",足元帳!K133)</f>
        <v/>
      </c>
      <c r="F133" s="128" t="str">
        <f>IF(足元帳!K133="","",IF(足元帳!BB133=1,45,IF(足元帳!BB133=2,60,IF(足元帳!BB133=3,75,IF(足元帳!BB133=4,90,IF(足元帳!BB133=5,120,IF(足元帳!BB133=6,150,IF(足元帳!BB133=7,180,""))))))))</f>
        <v/>
      </c>
      <c r="G133" s="128" t="str">
        <f>IF(足元帳!K133="","",足元帳!A133)</f>
        <v/>
      </c>
      <c r="H133" s="125" t="str">
        <f>IF(足元帳!AP133="","",$H$1)</f>
        <v/>
      </c>
      <c r="I133" s="125" t="str">
        <f>IF(足元帳!AQ133="","",$I$1)</f>
        <v/>
      </c>
      <c r="J133" s="125" t="str">
        <f>IF(足元帳!AR133="","",$J$1)</f>
        <v/>
      </c>
      <c r="K133" s="125" t="str">
        <f>IF(足元帳!AS133="","",$K$1)</f>
        <v/>
      </c>
      <c r="L133" s="291" t="str">
        <f>IF(COUNTIF(足元帳!AT133,"*複合*"),"複合","")</f>
        <v/>
      </c>
      <c r="M133" s="291" t="str">
        <f>IF(COUNTIF(足元帳!AT133,"*店頭本指名*"),"店頭本指名","")</f>
        <v/>
      </c>
      <c r="N133" s="125" t="str">
        <f>IF(足元帳!U133="","",足元帳!U133)</f>
        <v/>
      </c>
      <c r="O133" s="125" t="str">
        <f>IF(足元帳!V133="","",足元帳!V133)</f>
        <v/>
      </c>
      <c r="P133" s="125" t="str">
        <f>IF(足元帳!W133="","",足元帳!W133)</f>
        <v/>
      </c>
      <c r="Q133" s="125" t="str">
        <f>IF(足元帳!X133="","",足元帳!X133)</f>
        <v/>
      </c>
      <c r="R133" s="125" t="str">
        <f>IF(足元帳!Y133="","",足元帳!Y133)</f>
        <v/>
      </c>
      <c r="S133" s="125" t="str">
        <f>IF(足元帳!Z133="","",足元帳!Z133)</f>
        <v/>
      </c>
      <c r="T133" s="125" t="str">
        <f>IF(足元帳!AT133="","",足元帳!AT133)</f>
        <v/>
      </c>
      <c r="U133" s="125" t="str">
        <f>IF(足元帳!AH133="●",足元帳!$AH$1&amp;足元帳!AW133,"")</f>
        <v/>
      </c>
      <c r="V133" s="125" t="str">
        <f>IF(足元帳!AI133="●",足元帳!$AI$1&amp;足元帳!AW133,"")</f>
        <v/>
      </c>
      <c r="W133" s="125" t="str">
        <f>IF(足元帳!AX133="","",足元帳!AX133)</f>
        <v/>
      </c>
      <c r="X133" s="125">
        <f>足元帳!BJ133</f>
        <v>0</v>
      </c>
    </row>
    <row r="134" spans="1:24" ht="13.15" customHeight="1">
      <c r="A134" s="126">
        <v>133</v>
      </c>
      <c r="B134" s="127" t="str">
        <f>IF(足元帳!K134="","",精算表!$W$1)</f>
        <v/>
      </c>
      <c r="C134" s="128" t="str">
        <f>IF(足元帳!K134="","",IF(足元帳!AY134=2,"R","N"))</f>
        <v/>
      </c>
      <c r="D134" s="128" t="str">
        <f>IF(足元帳!K134="","",IF(足元帳!AZ134=1,"姫",IF(足元帳!AZ134=2,"本指名",IF(足元帳!AZ134=3,"NET",IF(足元帳!AZ134=4,"写真","")))))</f>
        <v/>
      </c>
      <c r="E134" s="128" t="str">
        <f>IF(足元帳!K134="","",足元帳!K134)</f>
        <v/>
      </c>
      <c r="F134" s="128" t="str">
        <f>IF(足元帳!K134="","",IF(足元帳!BB134=1,45,IF(足元帳!BB134=2,60,IF(足元帳!BB134=3,75,IF(足元帳!BB134=4,90,IF(足元帳!BB134=5,120,IF(足元帳!BB134=6,150,IF(足元帳!BB134=7,180,""))))))))</f>
        <v/>
      </c>
      <c r="G134" s="128" t="str">
        <f>IF(足元帳!K134="","",足元帳!A134)</f>
        <v/>
      </c>
      <c r="H134" s="125" t="str">
        <f>IF(足元帳!AP134="","",$H$1)</f>
        <v/>
      </c>
      <c r="I134" s="125" t="str">
        <f>IF(足元帳!AQ134="","",$I$1)</f>
        <v/>
      </c>
      <c r="J134" s="125" t="str">
        <f>IF(足元帳!AR134="","",$J$1)</f>
        <v/>
      </c>
      <c r="K134" s="125" t="str">
        <f>IF(足元帳!AS134="","",$K$1)</f>
        <v/>
      </c>
      <c r="L134" s="291" t="str">
        <f>IF(COUNTIF(足元帳!AT134,"*複合*"),"複合","")</f>
        <v/>
      </c>
      <c r="M134" s="291" t="str">
        <f>IF(COUNTIF(足元帳!AT134,"*店頭本指名*"),"店頭本指名","")</f>
        <v/>
      </c>
      <c r="N134" s="125" t="str">
        <f>IF(足元帳!U134="","",足元帳!U134)</f>
        <v/>
      </c>
      <c r="O134" s="125" t="str">
        <f>IF(足元帳!V134="","",足元帳!V134)</f>
        <v/>
      </c>
      <c r="P134" s="125" t="str">
        <f>IF(足元帳!W134="","",足元帳!W134)</f>
        <v/>
      </c>
      <c r="Q134" s="125" t="str">
        <f>IF(足元帳!X134="","",足元帳!X134)</f>
        <v/>
      </c>
      <c r="R134" s="125" t="str">
        <f>IF(足元帳!Y134="","",足元帳!Y134)</f>
        <v/>
      </c>
      <c r="S134" s="125" t="str">
        <f>IF(足元帳!Z134="","",足元帳!Z134)</f>
        <v/>
      </c>
      <c r="T134" s="125" t="str">
        <f>IF(足元帳!AT134="","",足元帳!AT134)</f>
        <v/>
      </c>
      <c r="U134" s="125" t="str">
        <f>IF(足元帳!AH134="●",足元帳!$AH$1&amp;足元帳!AW134,"")</f>
        <v/>
      </c>
      <c r="V134" s="125" t="str">
        <f>IF(足元帳!AI134="●",足元帳!$AI$1&amp;足元帳!AW134,"")</f>
        <v/>
      </c>
      <c r="W134" s="125" t="str">
        <f>IF(足元帳!AX134="","",足元帳!AX134)</f>
        <v/>
      </c>
      <c r="X134" s="125">
        <f>足元帳!BJ134</f>
        <v>0</v>
      </c>
    </row>
    <row r="135" spans="1:24" ht="13.15" customHeight="1">
      <c r="A135" s="126">
        <v>134</v>
      </c>
      <c r="B135" s="127" t="str">
        <f>IF(足元帳!K135="","",精算表!$W$1)</f>
        <v/>
      </c>
      <c r="C135" s="128" t="str">
        <f>IF(足元帳!K135="","",IF(足元帳!AY135=2,"R","N"))</f>
        <v/>
      </c>
      <c r="D135" s="128" t="str">
        <f>IF(足元帳!K135="","",IF(足元帳!AZ135=1,"姫",IF(足元帳!AZ135=2,"本指名",IF(足元帳!AZ135=3,"NET",IF(足元帳!AZ135=4,"写真","")))))</f>
        <v/>
      </c>
      <c r="E135" s="128" t="str">
        <f>IF(足元帳!K135="","",足元帳!K135)</f>
        <v/>
      </c>
      <c r="F135" s="128" t="str">
        <f>IF(足元帳!K135="","",IF(足元帳!BB135=1,45,IF(足元帳!BB135=2,60,IF(足元帳!BB135=3,75,IF(足元帳!BB135=4,90,IF(足元帳!BB135=5,120,IF(足元帳!BB135=6,150,IF(足元帳!BB135=7,180,""))))))))</f>
        <v/>
      </c>
      <c r="G135" s="128" t="str">
        <f>IF(足元帳!K135="","",足元帳!A135)</f>
        <v/>
      </c>
      <c r="H135" s="125" t="str">
        <f>IF(足元帳!AP135="","",$H$1)</f>
        <v/>
      </c>
      <c r="I135" s="125" t="str">
        <f>IF(足元帳!AQ135="","",$I$1)</f>
        <v/>
      </c>
      <c r="J135" s="125" t="str">
        <f>IF(足元帳!AR135="","",$J$1)</f>
        <v/>
      </c>
      <c r="K135" s="125" t="str">
        <f>IF(足元帳!AS135="","",$K$1)</f>
        <v/>
      </c>
      <c r="L135" s="291" t="str">
        <f>IF(COUNTIF(足元帳!AT135,"*複合*"),"複合","")</f>
        <v/>
      </c>
      <c r="M135" s="291" t="str">
        <f>IF(COUNTIF(足元帳!AT135,"*店頭本指名*"),"店頭本指名","")</f>
        <v/>
      </c>
      <c r="N135" s="125" t="str">
        <f>IF(足元帳!U135="","",足元帳!U135)</f>
        <v/>
      </c>
      <c r="O135" s="125" t="str">
        <f>IF(足元帳!V135="","",足元帳!V135)</f>
        <v/>
      </c>
      <c r="P135" s="125" t="str">
        <f>IF(足元帳!W135="","",足元帳!W135)</f>
        <v/>
      </c>
      <c r="Q135" s="125" t="str">
        <f>IF(足元帳!X135="","",足元帳!X135)</f>
        <v/>
      </c>
      <c r="R135" s="125" t="str">
        <f>IF(足元帳!Y135="","",足元帳!Y135)</f>
        <v/>
      </c>
      <c r="S135" s="125" t="str">
        <f>IF(足元帳!Z135="","",足元帳!Z135)</f>
        <v/>
      </c>
      <c r="T135" s="125" t="str">
        <f>IF(足元帳!AT135="","",足元帳!AT135)</f>
        <v/>
      </c>
      <c r="U135" s="125" t="str">
        <f>IF(足元帳!AH135="●",足元帳!$AH$1&amp;足元帳!AW135,"")</f>
        <v/>
      </c>
      <c r="V135" s="125" t="str">
        <f>IF(足元帳!AI135="●",足元帳!$AI$1&amp;足元帳!AW135,"")</f>
        <v/>
      </c>
      <c r="W135" s="125" t="str">
        <f>IF(足元帳!AX135="","",足元帳!AX135)</f>
        <v/>
      </c>
      <c r="X135" s="125">
        <f>足元帳!BJ135</f>
        <v>0</v>
      </c>
    </row>
    <row r="136" spans="1:24" ht="13.15" customHeight="1">
      <c r="A136" s="126">
        <v>135</v>
      </c>
      <c r="B136" s="127" t="str">
        <f>IF(足元帳!K136="","",精算表!$W$1)</f>
        <v/>
      </c>
      <c r="C136" s="128" t="str">
        <f>IF(足元帳!K136="","",IF(足元帳!AY136=2,"R","N"))</f>
        <v/>
      </c>
      <c r="D136" s="128" t="str">
        <f>IF(足元帳!K136="","",IF(足元帳!AZ136=1,"姫",IF(足元帳!AZ136=2,"本指名",IF(足元帳!AZ136=3,"NET",IF(足元帳!AZ136=4,"写真","")))))</f>
        <v/>
      </c>
      <c r="E136" s="128" t="str">
        <f>IF(足元帳!K136="","",足元帳!K136)</f>
        <v/>
      </c>
      <c r="F136" s="128" t="str">
        <f>IF(足元帳!K136="","",IF(足元帳!BB136=1,45,IF(足元帳!BB136=2,60,IF(足元帳!BB136=3,75,IF(足元帳!BB136=4,90,IF(足元帳!BB136=5,120,IF(足元帳!BB136=6,150,IF(足元帳!BB136=7,180,""))))))))</f>
        <v/>
      </c>
      <c r="G136" s="128" t="str">
        <f>IF(足元帳!K136="","",足元帳!A136)</f>
        <v/>
      </c>
      <c r="H136" s="125" t="str">
        <f>IF(足元帳!AP136="","",$H$1)</f>
        <v/>
      </c>
      <c r="I136" s="125" t="str">
        <f>IF(足元帳!AQ136="","",$I$1)</f>
        <v/>
      </c>
      <c r="J136" s="125" t="str">
        <f>IF(足元帳!AR136="","",$J$1)</f>
        <v/>
      </c>
      <c r="K136" s="125" t="str">
        <f>IF(足元帳!AS136="","",$K$1)</f>
        <v/>
      </c>
      <c r="L136" s="291" t="str">
        <f>IF(COUNTIF(足元帳!AT136,"*複合*"),"複合","")</f>
        <v/>
      </c>
      <c r="M136" s="291" t="str">
        <f>IF(COUNTIF(足元帳!AT136,"*店頭本指名*"),"店頭本指名","")</f>
        <v/>
      </c>
      <c r="N136" s="125" t="str">
        <f>IF(足元帳!U136="","",足元帳!U136)</f>
        <v/>
      </c>
      <c r="O136" s="125" t="str">
        <f>IF(足元帳!V136="","",足元帳!V136)</f>
        <v/>
      </c>
      <c r="P136" s="125" t="str">
        <f>IF(足元帳!W136="","",足元帳!W136)</f>
        <v/>
      </c>
      <c r="Q136" s="125" t="str">
        <f>IF(足元帳!X136="","",足元帳!X136)</f>
        <v/>
      </c>
      <c r="R136" s="125" t="str">
        <f>IF(足元帳!Y136="","",足元帳!Y136)</f>
        <v/>
      </c>
      <c r="S136" s="125" t="str">
        <f>IF(足元帳!Z136="","",足元帳!Z136)</f>
        <v/>
      </c>
      <c r="T136" s="125" t="str">
        <f>IF(足元帳!AT136="","",足元帳!AT136)</f>
        <v/>
      </c>
      <c r="U136" s="125" t="str">
        <f>IF(足元帳!AH136="●",足元帳!$AH$1&amp;足元帳!AW136,"")</f>
        <v/>
      </c>
      <c r="V136" s="125" t="str">
        <f>IF(足元帳!AI136="●",足元帳!$AI$1&amp;足元帳!AW136,"")</f>
        <v/>
      </c>
      <c r="W136" s="125" t="str">
        <f>IF(足元帳!AX136="","",足元帳!AX136)</f>
        <v/>
      </c>
      <c r="X136" s="125">
        <f>足元帳!BJ136</f>
        <v>0</v>
      </c>
    </row>
    <row r="137" spans="1:24" ht="13.15" customHeight="1">
      <c r="A137" s="126">
        <v>136</v>
      </c>
      <c r="B137" s="127" t="str">
        <f>IF(足元帳!K137="","",精算表!$W$1)</f>
        <v/>
      </c>
      <c r="C137" s="128" t="str">
        <f>IF(足元帳!K137="","",IF(足元帳!AY137=2,"R","N"))</f>
        <v/>
      </c>
      <c r="D137" s="128" t="str">
        <f>IF(足元帳!K137="","",IF(足元帳!AZ137=1,"姫",IF(足元帳!AZ137=2,"本指名",IF(足元帳!AZ137=3,"NET",IF(足元帳!AZ137=4,"写真","")))))</f>
        <v/>
      </c>
      <c r="E137" s="128" t="str">
        <f>IF(足元帳!K137="","",足元帳!K137)</f>
        <v/>
      </c>
      <c r="F137" s="128" t="str">
        <f>IF(足元帳!K137="","",IF(足元帳!BB137=1,45,IF(足元帳!BB137=2,60,IF(足元帳!BB137=3,75,IF(足元帳!BB137=4,90,IF(足元帳!BB137=5,120,IF(足元帳!BB137=6,150,IF(足元帳!BB137=7,180,""))))))))</f>
        <v/>
      </c>
      <c r="G137" s="128" t="str">
        <f>IF(足元帳!K137="","",足元帳!A137)</f>
        <v/>
      </c>
      <c r="H137" s="125" t="str">
        <f>IF(足元帳!AP137="","",$H$1)</f>
        <v/>
      </c>
      <c r="I137" s="125" t="str">
        <f>IF(足元帳!AQ137="","",$I$1)</f>
        <v/>
      </c>
      <c r="J137" s="125" t="str">
        <f>IF(足元帳!AR137="","",$J$1)</f>
        <v/>
      </c>
      <c r="K137" s="125" t="str">
        <f>IF(足元帳!AS137="","",$K$1)</f>
        <v/>
      </c>
      <c r="L137" s="291" t="str">
        <f>IF(COUNTIF(足元帳!AT137,"*複合*"),"複合","")</f>
        <v/>
      </c>
      <c r="M137" s="291" t="str">
        <f>IF(COUNTIF(足元帳!AT137,"*店頭本指名*"),"店頭本指名","")</f>
        <v/>
      </c>
      <c r="N137" s="125" t="str">
        <f>IF(足元帳!U137="","",足元帳!U137)</f>
        <v/>
      </c>
      <c r="O137" s="125" t="str">
        <f>IF(足元帳!V137="","",足元帳!V137)</f>
        <v/>
      </c>
      <c r="P137" s="125" t="str">
        <f>IF(足元帳!W137="","",足元帳!W137)</f>
        <v/>
      </c>
      <c r="Q137" s="125" t="str">
        <f>IF(足元帳!X137="","",足元帳!X137)</f>
        <v/>
      </c>
      <c r="R137" s="125" t="str">
        <f>IF(足元帳!Y137="","",足元帳!Y137)</f>
        <v/>
      </c>
      <c r="S137" s="125" t="str">
        <f>IF(足元帳!Z137="","",足元帳!Z137)</f>
        <v/>
      </c>
      <c r="T137" s="125" t="str">
        <f>IF(足元帳!AT137="","",足元帳!AT137)</f>
        <v/>
      </c>
      <c r="U137" s="125" t="str">
        <f>IF(足元帳!AH137="●",足元帳!$AH$1&amp;足元帳!AW137,"")</f>
        <v/>
      </c>
      <c r="V137" s="125" t="str">
        <f>IF(足元帳!AI137="●",足元帳!$AI$1&amp;足元帳!AW137,"")</f>
        <v/>
      </c>
      <c r="W137" s="125" t="str">
        <f>IF(足元帳!AX137="","",足元帳!AX137)</f>
        <v/>
      </c>
      <c r="X137" s="125">
        <f>足元帳!BJ137</f>
        <v>0</v>
      </c>
    </row>
    <row r="138" spans="1:24" ht="13.15" customHeight="1">
      <c r="A138" s="126">
        <v>137</v>
      </c>
      <c r="B138" s="127" t="str">
        <f>IF(足元帳!K138="","",精算表!$W$1)</f>
        <v/>
      </c>
      <c r="C138" s="128" t="str">
        <f>IF(足元帳!K138="","",IF(足元帳!AY138=2,"R","N"))</f>
        <v/>
      </c>
      <c r="D138" s="128" t="str">
        <f>IF(足元帳!K138="","",IF(足元帳!AZ138=1,"姫",IF(足元帳!AZ138=2,"本指名",IF(足元帳!AZ138=3,"NET",IF(足元帳!AZ138=4,"写真","")))))</f>
        <v/>
      </c>
      <c r="E138" s="128" t="str">
        <f>IF(足元帳!K138="","",足元帳!K138)</f>
        <v/>
      </c>
      <c r="F138" s="128" t="str">
        <f>IF(足元帳!K138="","",IF(足元帳!BB138=1,45,IF(足元帳!BB138=2,60,IF(足元帳!BB138=3,75,IF(足元帳!BB138=4,90,IF(足元帳!BB138=5,120,IF(足元帳!BB138=6,150,IF(足元帳!BB138=7,180,""))))))))</f>
        <v/>
      </c>
      <c r="G138" s="128" t="str">
        <f>IF(足元帳!K138="","",足元帳!A138)</f>
        <v/>
      </c>
      <c r="H138" s="125" t="str">
        <f>IF(足元帳!AP138="","",$H$1)</f>
        <v/>
      </c>
      <c r="I138" s="125" t="str">
        <f>IF(足元帳!AQ138="","",$I$1)</f>
        <v/>
      </c>
      <c r="J138" s="125" t="str">
        <f>IF(足元帳!AR138="","",$J$1)</f>
        <v/>
      </c>
      <c r="K138" s="125" t="str">
        <f>IF(足元帳!AS138="","",$K$1)</f>
        <v/>
      </c>
      <c r="L138" s="291" t="str">
        <f>IF(COUNTIF(足元帳!AT138,"*複合*"),"複合","")</f>
        <v/>
      </c>
      <c r="M138" s="291" t="str">
        <f>IF(COUNTIF(足元帳!AT138,"*店頭本指名*"),"店頭本指名","")</f>
        <v/>
      </c>
      <c r="N138" s="125" t="str">
        <f>IF(足元帳!U138="","",足元帳!U138)</f>
        <v/>
      </c>
      <c r="O138" s="125" t="str">
        <f>IF(足元帳!V138="","",足元帳!V138)</f>
        <v/>
      </c>
      <c r="P138" s="125" t="str">
        <f>IF(足元帳!W138="","",足元帳!W138)</f>
        <v/>
      </c>
      <c r="Q138" s="125" t="str">
        <f>IF(足元帳!X138="","",足元帳!X138)</f>
        <v/>
      </c>
      <c r="R138" s="125" t="str">
        <f>IF(足元帳!Y138="","",足元帳!Y138)</f>
        <v/>
      </c>
      <c r="S138" s="125" t="str">
        <f>IF(足元帳!Z138="","",足元帳!Z138)</f>
        <v/>
      </c>
      <c r="T138" s="125" t="str">
        <f>IF(足元帳!AT138="","",足元帳!AT138)</f>
        <v/>
      </c>
      <c r="U138" s="125" t="str">
        <f>IF(足元帳!AH138="●",足元帳!$AH$1&amp;足元帳!AW138,"")</f>
        <v/>
      </c>
      <c r="V138" s="125" t="str">
        <f>IF(足元帳!AI138="●",足元帳!$AI$1&amp;足元帳!AW138,"")</f>
        <v/>
      </c>
      <c r="W138" s="125" t="str">
        <f>IF(足元帳!AX138="","",足元帳!AX138)</f>
        <v/>
      </c>
      <c r="X138" s="125">
        <f>足元帳!BJ138</f>
        <v>0</v>
      </c>
    </row>
    <row r="139" spans="1:24" ht="13.15" customHeight="1">
      <c r="A139" s="126">
        <v>138</v>
      </c>
      <c r="B139" s="127" t="str">
        <f>IF(足元帳!K139="","",精算表!$W$1)</f>
        <v/>
      </c>
      <c r="C139" s="128" t="str">
        <f>IF(足元帳!K139="","",IF(足元帳!AY139=2,"R","N"))</f>
        <v/>
      </c>
      <c r="D139" s="128" t="str">
        <f>IF(足元帳!K139="","",IF(足元帳!AZ139=1,"姫",IF(足元帳!AZ139=2,"本指名",IF(足元帳!AZ139=3,"NET",IF(足元帳!AZ139=4,"写真","")))))</f>
        <v/>
      </c>
      <c r="E139" s="128" t="str">
        <f>IF(足元帳!K139="","",足元帳!K139)</f>
        <v/>
      </c>
      <c r="F139" s="128" t="str">
        <f>IF(足元帳!K139="","",IF(足元帳!BB139=1,45,IF(足元帳!BB139=2,60,IF(足元帳!BB139=3,75,IF(足元帳!BB139=4,90,IF(足元帳!BB139=5,120,IF(足元帳!BB139=6,150,IF(足元帳!BB139=7,180,""))))))))</f>
        <v/>
      </c>
      <c r="G139" s="128" t="str">
        <f>IF(足元帳!K139="","",足元帳!A139)</f>
        <v/>
      </c>
      <c r="H139" s="125" t="str">
        <f>IF(足元帳!AP139="","",$H$1)</f>
        <v/>
      </c>
      <c r="I139" s="125" t="str">
        <f>IF(足元帳!AQ139="","",$I$1)</f>
        <v/>
      </c>
      <c r="J139" s="125" t="str">
        <f>IF(足元帳!AR139="","",$J$1)</f>
        <v/>
      </c>
      <c r="K139" s="125" t="str">
        <f>IF(足元帳!AS139="","",$K$1)</f>
        <v/>
      </c>
      <c r="L139" s="291" t="str">
        <f>IF(COUNTIF(足元帳!AT139,"*複合*"),"複合","")</f>
        <v/>
      </c>
      <c r="M139" s="291" t="str">
        <f>IF(COUNTIF(足元帳!AT139,"*店頭本指名*"),"店頭本指名","")</f>
        <v/>
      </c>
      <c r="N139" s="125" t="str">
        <f>IF(足元帳!U139="","",足元帳!U139)</f>
        <v/>
      </c>
      <c r="O139" s="125" t="str">
        <f>IF(足元帳!V139="","",足元帳!V139)</f>
        <v/>
      </c>
      <c r="P139" s="125" t="str">
        <f>IF(足元帳!W139="","",足元帳!W139)</f>
        <v/>
      </c>
      <c r="Q139" s="125" t="str">
        <f>IF(足元帳!X139="","",足元帳!X139)</f>
        <v/>
      </c>
      <c r="R139" s="125" t="str">
        <f>IF(足元帳!Y139="","",足元帳!Y139)</f>
        <v/>
      </c>
      <c r="S139" s="125" t="str">
        <f>IF(足元帳!Z139="","",足元帳!Z139)</f>
        <v/>
      </c>
      <c r="T139" s="125" t="str">
        <f>IF(足元帳!AT139="","",足元帳!AT139)</f>
        <v/>
      </c>
      <c r="U139" s="125" t="str">
        <f>IF(足元帳!AH139="●",足元帳!$AH$1&amp;足元帳!AW139,"")</f>
        <v/>
      </c>
      <c r="V139" s="125" t="str">
        <f>IF(足元帳!AI139="●",足元帳!$AI$1&amp;足元帳!AW139,"")</f>
        <v/>
      </c>
      <c r="W139" s="125" t="str">
        <f>IF(足元帳!AX139="","",足元帳!AX139)</f>
        <v/>
      </c>
      <c r="X139" s="125">
        <f>足元帳!BJ139</f>
        <v>0</v>
      </c>
    </row>
    <row r="140" spans="1:24" ht="13.15" customHeight="1">
      <c r="A140" s="126">
        <v>139</v>
      </c>
      <c r="B140" s="127" t="str">
        <f>IF(足元帳!K140="","",精算表!$W$1)</f>
        <v/>
      </c>
      <c r="C140" s="128" t="str">
        <f>IF(足元帳!K140="","",IF(足元帳!AY140=2,"R","N"))</f>
        <v/>
      </c>
      <c r="D140" s="128" t="str">
        <f>IF(足元帳!K140="","",IF(足元帳!AZ140=1,"姫",IF(足元帳!AZ140=2,"本指名",IF(足元帳!AZ140=3,"NET",IF(足元帳!AZ140=4,"写真","")))))</f>
        <v/>
      </c>
      <c r="E140" s="128" t="str">
        <f>IF(足元帳!K140="","",足元帳!K140)</f>
        <v/>
      </c>
      <c r="F140" s="128" t="str">
        <f>IF(足元帳!K140="","",IF(足元帳!BB140=1,45,IF(足元帳!BB140=2,60,IF(足元帳!BB140=3,75,IF(足元帳!BB140=4,90,IF(足元帳!BB140=5,120,IF(足元帳!BB140=6,150,IF(足元帳!BB140=7,180,""))))))))</f>
        <v/>
      </c>
      <c r="G140" s="128" t="str">
        <f>IF(足元帳!K140="","",足元帳!A140)</f>
        <v/>
      </c>
      <c r="H140" s="125" t="str">
        <f>IF(足元帳!AP140="","",$H$1)</f>
        <v/>
      </c>
      <c r="I140" s="125" t="str">
        <f>IF(足元帳!AQ140="","",$I$1)</f>
        <v/>
      </c>
      <c r="J140" s="125" t="str">
        <f>IF(足元帳!AR140="","",$J$1)</f>
        <v/>
      </c>
      <c r="K140" s="125" t="str">
        <f>IF(足元帳!AS140="","",$K$1)</f>
        <v/>
      </c>
      <c r="L140" s="291" t="str">
        <f>IF(COUNTIF(足元帳!AT140,"*複合*"),"複合","")</f>
        <v/>
      </c>
      <c r="M140" s="291" t="str">
        <f>IF(COUNTIF(足元帳!AT140,"*店頭本指名*"),"店頭本指名","")</f>
        <v/>
      </c>
      <c r="N140" s="125" t="str">
        <f>IF(足元帳!U140="","",足元帳!U140)</f>
        <v/>
      </c>
      <c r="O140" s="125" t="str">
        <f>IF(足元帳!V140="","",足元帳!V140)</f>
        <v/>
      </c>
      <c r="P140" s="125" t="str">
        <f>IF(足元帳!W140="","",足元帳!W140)</f>
        <v/>
      </c>
      <c r="Q140" s="125" t="str">
        <f>IF(足元帳!X140="","",足元帳!X140)</f>
        <v/>
      </c>
      <c r="R140" s="125" t="str">
        <f>IF(足元帳!Y140="","",足元帳!Y140)</f>
        <v/>
      </c>
      <c r="S140" s="125" t="str">
        <f>IF(足元帳!Z140="","",足元帳!Z140)</f>
        <v/>
      </c>
      <c r="T140" s="125" t="str">
        <f>IF(足元帳!AT140="","",足元帳!AT140)</f>
        <v/>
      </c>
      <c r="U140" s="125" t="str">
        <f>IF(足元帳!AH140="●",足元帳!$AH$1&amp;足元帳!AW140,"")</f>
        <v/>
      </c>
      <c r="V140" s="125" t="str">
        <f>IF(足元帳!AI140="●",足元帳!$AI$1&amp;足元帳!AW140,"")</f>
        <v/>
      </c>
      <c r="W140" s="125" t="str">
        <f>IF(足元帳!AX140="","",足元帳!AX140)</f>
        <v/>
      </c>
      <c r="X140" s="125">
        <f>足元帳!BJ140</f>
        <v>0</v>
      </c>
    </row>
    <row r="141" spans="1:24" ht="13.15" customHeight="1">
      <c r="A141" s="126">
        <v>140</v>
      </c>
      <c r="B141" s="127" t="str">
        <f>IF(足元帳!K141="","",精算表!$W$1)</f>
        <v/>
      </c>
      <c r="C141" s="128" t="str">
        <f>IF(足元帳!K141="","",IF(足元帳!AY141=2,"R","N"))</f>
        <v/>
      </c>
      <c r="D141" s="128" t="str">
        <f>IF(足元帳!K141="","",IF(足元帳!AZ141=1,"姫",IF(足元帳!AZ141=2,"本指名",IF(足元帳!AZ141=3,"NET",IF(足元帳!AZ141=4,"写真","")))))</f>
        <v/>
      </c>
      <c r="E141" s="128" t="str">
        <f>IF(足元帳!K141="","",足元帳!K141)</f>
        <v/>
      </c>
      <c r="F141" s="128" t="str">
        <f>IF(足元帳!K141="","",IF(足元帳!BB141=1,45,IF(足元帳!BB141=2,60,IF(足元帳!BB141=3,75,IF(足元帳!BB141=4,90,IF(足元帳!BB141=5,120,IF(足元帳!BB141=6,150,IF(足元帳!BB141=7,180,""))))))))</f>
        <v/>
      </c>
      <c r="G141" s="128" t="str">
        <f>IF(足元帳!K141="","",足元帳!A141)</f>
        <v/>
      </c>
      <c r="H141" s="125" t="str">
        <f>IF(足元帳!AP141="","",$H$1)</f>
        <v/>
      </c>
      <c r="I141" s="125" t="str">
        <f>IF(足元帳!AQ141="","",$I$1)</f>
        <v/>
      </c>
      <c r="J141" s="125" t="str">
        <f>IF(足元帳!AR141="","",$J$1)</f>
        <v/>
      </c>
      <c r="K141" s="125" t="str">
        <f>IF(足元帳!AS141="","",$K$1)</f>
        <v/>
      </c>
      <c r="L141" s="291" t="str">
        <f>IF(COUNTIF(足元帳!AT141,"*複合*"),"複合","")</f>
        <v/>
      </c>
      <c r="M141" s="291" t="str">
        <f>IF(COUNTIF(足元帳!AT141,"*店頭本指名*"),"店頭本指名","")</f>
        <v/>
      </c>
      <c r="N141" s="125" t="str">
        <f>IF(足元帳!U141="","",足元帳!U141)</f>
        <v/>
      </c>
      <c r="O141" s="125" t="str">
        <f>IF(足元帳!V141="","",足元帳!V141)</f>
        <v/>
      </c>
      <c r="P141" s="125" t="str">
        <f>IF(足元帳!W141="","",足元帳!W141)</f>
        <v/>
      </c>
      <c r="Q141" s="125" t="str">
        <f>IF(足元帳!X141="","",足元帳!X141)</f>
        <v/>
      </c>
      <c r="R141" s="125" t="str">
        <f>IF(足元帳!Y141="","",足元帳!Y141)</f>
        <v/>
      </c>
      <c r="S141" s="125" t="str">
        <f>IF(足元帳!Z141="","",足元帳!Z141)</f>
        <v/>
      </c>
      <c r="T141" s="125" t="str">
        <f>IF(足元帳!AT141="","",足元帳!AT141)</f>
        <v/>
      </c>
      <c r="U141" s="125" t="str">
        <f>IF(足元帳!AH141="●",足元帳!$AH$1&amp;足元帳!AW141,"")</f>
        <v/>
      </c>
      <c r="V141" s="125" t="str">
        <f>IF(足元帳!AI141="●",足元帳!$AI$1&amp;足元帳!AW141,"")</f>
        <v/>
      </c>
      <c r="W141" s="125" t="str">
        <f>IF(足元帳!AX141="","",足元帳!AX141)</f>
        <v/>
      </c>
      <c r="X141" s="125">
        <f>足元帳!BJ141</f>
        <v>0</v>
      </c>
    </row>
    <row r="142" spans="1:24" ht="13.15" customHeight="1">
      <c r="A142" s="126">
        <v>141</v>
      </c>
      <c r="B142" s="127" t="str">
        <f>IF(足元帳!K142="","",精算表!$W$1)</f>
        <v/>
      </c>
      <c r="C142" s="128" t="str">
        <f>IF(足元帳!K142="","",IF(足元帳!AY142=2,"R","N"))</f>
        <v/>
      </c>
      <c r="D142" s="128" t="str">
        <f>IF(足元帳!K142="","",IF(足元帳!AZ142=1,"姫",IF(足元帳!AZ142=2,"本指名",IF(足元帳!AZ142=3,"NET",IF(足元帳!AZ142=4,"写真","")))))</f>
        <v/>
      </c>
      <c r="E142" s="128" t="str">
        <f>IF(足元帳!K142="","",足元帳!K142)</f>
        <v/>
      </c>
      <c r="F142" s="128" t="str">
        <f>IF(足元帳!K142="","",IF(足元帳!BB142=1,45,IF(足元帳!BB142=2,60,IF(足元帳!BB142=3,75,IF(足元帳!BB142=4,90,IF(足元帳!BB142=5,120,IF(足元帳!BB142=6,150,IF(足元帳!BB142=7,180,""))))))))</f>
        <v/>
      </c>
      <c r="G142" s="128" t="str">
        <f>IF(足元帳!K142="","",足元帳!A142)</f>
        <v/>
      </c>
      <c r="H142" s="125" t="str">
        <f>IF(足元帳!AP142="","",$H$1)</f>
        <v/>
      </c>
      <c r="I142" s="125" t="str">
        <f>IF(足元帳!AQ142="","",$I$1)</f>
        <v/>
      </c>
      <c r="J142" s="125" t="str">
        <f>IF(足元帳!AR142="","",$J$1)</f>
        <v/>
      </c>
      <c r="K142" s="125" t="str">
        <f>IF(足元帳!AS142="","",$K$1)</f>
        <v/>
      </c>
      <c r="L142" s="291" t="str">
        <f>IF(COUNTIF(足元帳!AT142,"*複合*"),"複合","")</f>
        <v/>
      </c>
      <c r="M142" s="291" t="str">
        <f>IF(COUNTIF(足元帳!AT142,"*店頭本指名*"),"店頭本指名","")</f>
        <v/>
      </c>
      <c r="N142" s="125" t="str">
        <f>IF(足元帳!U142="","",足元帳!U142)</f>
        <v/>
      </c>
      <c r="O142" s="125" t="str">
        <f>IF(足元帳!V142="","",足元帳!V142)</f>
        <v/>
      </c>
      <c r="P142" s="125" t="str">
        <f>IF(足元帳!W142="","",足元帳!W142)</f>
        <v/>
      </c>
      <c r="Q142" s="125" t="str">
        <f>IF(足元帳!X142="","",足元帳!X142)</f>
        <v/>
      </c>
      <c r="R142" s="125" t="str">
        <f>IF(足元帳!Y142="","",足元帳!Y142)</f>
        <v/>
      </c>
      <c r="S142" s="125" t="str">
        <f>IF(足元帳!Z142="","",足元帳!Z142)</f>
        <v/>
      </c>
      <c r="T142" s="125" t="str">
        <f>IF(足元帳!AT142="","",足元帳!AT142)</f>
        <v/>
      </c>
      <c r="U142" s="125" t="str">
        <f>IF(足元帳!AH142="●",足元帳!$AH$1&amp;足元帳!AW142,"")</f>
        <v/>
      </c>
      <c r="V142" s="125" t="str">
        <f>IF(足元帳!AI142="●",足元帳!$AI$1&amp;足元帳!AW142,"")</f>
        <v/>
      </c>
      <c r="W142" s="125" t="str">
        <f>IF(足元帳!AX142="","",足元帳!AX142)</f>
        <v/>
      </c>
      <c r="X142" s="125">
        <f>足元帳!BJ142</f>
        <v>0</v>
      </c>
    </row>
    <row r="143" spans="1:24" ht="13.15" customHeight="1">
      <c r="A143" s="126">
        <v>142</v>
      </c>
      <c r="B143" s="127" t="str">
        <f>IF(足元帳!K143="","",精算表!$W$1)</f>
        <v/>
      </c>
      <c r="C143" s="128" t="str">
        <f>IF(足元帳!K143="","",IF(足元帳!AY143=2,"R","N"))</f>
        <v/>
      </c>
      <c r="D143" s="128" t="str">
        <f>IF(足元帳!K143="","",IF(足元帳!AZ143=1,"姫",IF(足元帳!AZ143=2,"本指名",IF(足元帳!AZ143=3,"NET",IF(足元帳!AZ143=4,"写真","")))))</f>
        <v/>
      </c>
      <c r="E143" s="128" t="str">
        <f>IF(足元帳!K143="","",足元帳!K143)</f>
        <v/>
      </c>
      <c r="F143" s="128" t="str">
        <f>IF(足元帳!K143="","",IF(足元帳!BB143=1,45,IF(足元帳!BB143=2,60,IF(足元帳!BB143=3,75,IF(足元帳!BB143=4,90,IF(足元帳!BB143=5,120,IF(足元帳!BB143=6,150,IF(足元帳!BB143=7,180,""))))))))</f>
        <v/>
      </c>
      <c r="G143" s="128" t="str">
        <f>IF(足元帳!K143="","",足元帳!A143)</f>
        <v/>
      </c>
      <c r="H143" s="125" t="str">
        <f>IF(足元帳!AP143="","",$H$1)</f>
        <v/>
      </c>
      <c r="I143" s="125" t="str">
        <f>IF(足元帳!AQ143="","",$I$1)</f>
        <v/>
      </c>
      <c r="J143" s="125" t="str">
        <f>IF(足元帳!AR143="","",$J$1)</f>
        <v/>
      </c>
      <c r="K143" s="125" t="str">
        <f>IF(足元帳!AS143="","",$K$1)</f>
        <v/>
      </c>
      <c r="L143" s="291" t="str">
        <f>IF(COUNTIF(足元帳!AT143,"*複合*"),"複合","")</f>
        <v/>
      </c>
      <c r="M143" s="291" t="str">
        <f>IF(COUNTIF(足元帳!AT143,"*店頭本指名*"),"店頭本指名","")</f>
        <v/>
      </c>
      <c r="N143" s="125" t="str">
        <f>IF(足元帳!U143="","",足元帳!U143)</f>
        <v/>
      </c>
      <c r="O143" s="125" t="str">
        <f>IF(足元帳!V143="","",足元帳!V143)</f>
        <v/>
      </c>
      <c r="P143" s="125" t="str">
        <f>IF(足元帳!W143="","",足元帳!W143)</f>
        <v/>
      </c>
      <c r="Q143" s="125" t="str">
        <f>IF(足元帳!X143="","",足元帳!X143)</f>
        <v/>
      </c>
      <c r="R143" s="125" t="str">
        <f>IF(足元帳!Y143="","",足元帳!Y143)</f>
        <v/>
      </c>
      <c r="S143" s="125" t="str">
        <f>IF(足元帳!Z143="","",足元帳!Z143)</f>
        <v/>
      </c>
      <c r="T143" s="125" t="str">
        <f>IF(足元帳!AT143="","",足元帳!AT143)</f>
        <v/>
      </c>
      <c r="U143" s="125" t="str">
        <f>IF(足元帳!AH143="●",足元帳!$AH$1&amp;足元帳!AW143,"")</f>
        <v/>
      </c>
      <c r="V143" s="125" t="str">
        <f>IF(足元帳!AI143="●",足元帳!$AI$1&amp;足元帳!AW143,"")</f>
        <v/>
      </c>
      <c r="W143" s="125" t="str">
        <f>IF(足元帳!AX143="","",足元帳!AX143)</f>
        <v/>
      </c>
      <c r="X143" s="125">
        <f>足元帳!BJ143</f>
        <v>0</v>
      </c>
    </row>
    <row r="144" spans="1:24" ht="13.15" customHeight="1">
      <c r="A144" s="126">
        <v>143</v>
      </c>
      <c r="B144" s="127" t="str">
        <f>IF(足元帳!K144="","",精算表!$W$1)</f>
        <v/>
      </c>
      <c r="C144" s="128" t="str">
        <f>IF(足元帳!K144="","",IF(足元帳!AY144=2,"R","N"))</f>
        <v/>
      </c>
      <c r="D144" s="128" t="str">
        <f>IF(足元帳!K144="","",IF(足元帳!AZ144=1,"姫",IF(足元帳!AZ144=2,"本指名",IF(足元帳!AZ144=3,"NET",IF(足元帳!AZ144=4,"写真","")))))</f>
        <v/>
      </c>
      <c r="E144" s="128" t="str">
        <f>IF(足元帳!K144="","",足元帳!K144)</f>
        <v/>
      </c>
      <c r="F144" s="128" t="str">
        <f>IF(足元帳!K144="","",IF(足元帳!BB144=1,45,IF(足元帳!BB144=2,60,IF(足元帳!BB144=3,75,IF(足元帳!BB144=4,90,IF(足元帳!BB144=5,120,IF(足元帳!BB144=6,150,IF(足元帳!BB144=7,180,""))))))))</f>
        <v/>
      </c>
      <c r="G144" s="128" t="str">
        <f>IF(足元帳!K144="","",足元帳!A144)</f>
        <v/>
      </c>
      <c r="H144" s="125" t="str">
        <f>IF(足元帳!AP144="","",$H$1)</f>
        <v/>
      </c>
      <c r="I144" s="125" t="str">
        <f>IF(足元帳!AQ144="","",$I$1)</f>
        <v/>
      </c>
      <c r="J144" s="125" t="str">
        <f>IF(足元帳!AR144="","",$J$1)</f>
        <v/>
      </c>
      <c r="K144" s="125" t="str">
        <f>IF(足元帳!AS144="","",$K$1)</f>
        <v/>
      </c>
      <c r="L144" s="291" t="str">
        <f>IF(COUNTIF(足元帳!AT144,"*複合*"),"複合","")</f>
        <v/>
      </c>
      <c r="M144" s="291" t="str">
        <f>IF(COUNTIF(足元帳!AT144,"*店頭本指名*"),"店頭本指名","")</f>
        <v/>
      </c>
      <c r="N144" s="125" t="str">
        <f>IF(足元帳!U144="","",足元帳!U144)</f>
        <v/>
      </c>
      <c r="O144" s="125" t="str">
        <f>IF(足元帳!V144="","",足元帳!V144)</f>
        <v/>
      </c>
      <c r="P144" s="125" t="str">
        <f>IF(足元帳!W144="","",足元帳!W144)</f>
        <v/>
      </c>
      <c r="Q144" s="125" t="str">
        <f>IF(足元帳!X144="","",足元帳!X144)</f>
        <v/>
      </c>
      <c r="R144" s="125" t="str">
        <f>IF(足元帳!Y144="","",足元帳!Y144)</f>
        <v/>
      </c>
      <c r="S144" s="125" t="str">
        <f>IF(足元帳!Z144="","",足元帳!Z144)</f>
        <v/>
      </c>
      <c r="T144" s="125" t="str">
        <f>IF(足元帳!AT144="","",足元帳!AT144)</f>
        <v/>
      </c>
      <c r="U144" s="125" t="str">
        <f>IF(足元帳!AH144="●",足元帳!$AH$1&amp;足元帳!AW144,"")</f>
        <v/>
      </c>
      <c r="V144" s="125" t="str">
        <f>IF(足元帳!AI144="●",足元帳!$AI$1&amp;足元帳!AW144,"")</f>
        <v/>
      </c>
      <c r="W144" s="125" t="str">
        <f>IF(足元帳!AX144="","",足元帳!AX144)</f>
        <v/>
      </c>
      <c r="X144" s="125">
        <f>足元帳!BJ144</f>
        <v>0</v>
      </c>
    </row>
    <row r="145" spans="1:24" ht="13.15" customHeight="1">
      <c r="A145" s="126">
        <v>144</v>
      </c>
      <c r="B145" s="127" t="str">
        <f>IF(足元帳!K145="","",精算表!$W$1)</f>
        <v/>
      </c>
      <c r="C145" s="128" t="str">
        <f>IF(足元帳!K145="","",IF(足元帳!AY145=2,"R","N"))</f>
        <v/>
      </c>
      <c r="D145" s="128" t="str">
        <f>IF(足元帳!K145="","",IF(足元帳!AZ145=1,"姫",IF(足元帳!AZ145=2,"本指名",IF(足元帳!AZ145=3,"NET",IF(足元帳!AZ145=4,"写真","")))))</f>
        <v/>
      </c>
      <c r="E145" s="128" t="str">
        <f>IF(足元帳!K145="","",足元帳!K145)</f>
        <v/>
      </c>
      <c r="F145" s="128" t="str">
        <f>IF(足元帳!K145="","",IF(足元帳!BB145=1,45,IF(足元帳!BB145=2,60,IF(足元帳!BB145=3,75,IF(足元帳!BB145=4,90,IF(足元帳!BB145=5,120,IF(足元帳!BB145=6,150,IF(足元帳!BB145=7,180,""))))))))</f>
        <v/>
      </c>
      <c r="G145" s="128" t="str">
        <f>IF(足元帳!K145="","",足元帳!A145)</f>
        <v/>
      </c>
      <c r="H145" s="125" t="str">
        <f>IF(足元帳!AP145="","",$H$1)</f>
        <v/>
      </c>
      <c r="I145" s="125" t="str">
        <f>IF(足元帳!AQ145="","",$I$1)</f>
        <v/>
      </c>
      <c r="J145" s="125" t="str">
        <f>IF(足元帳!AR145="","",$J$1)</f>
        <v/>
      </c>
      <c r="K145" s="125" t="str">
        <f>IF(足元帳!AS145="","",$K$1)</f>
        <v/>
      </c>
      <c r="L145" s="291" t="str">
        <f>IF(COUNTIF(足元帳!AT145,"*複合*"),"複合","")</f>
        <v/>
      </c>
      <c r="M145" s="291" t="str">
        <f>IF(COUNTIF(足元帳!AT145,"*店頭本指名*"),"店頭本指名","")</f>
        <v/>
      </c>
      <c r="N145" s="125" t="str">
        <f>IF(足元帳!U145="","",足元帳!U145)</f>
        <v/>
      </c>
      <c r="O145" s="125" t="str">
        <f>IF(足元帳!V145="","",足元帳!V145)</f>
        <v/>
      </c>
      <c r="P145" s="125" t="str">
        <f>IF(足元帳!W145="","",足元帳!W145)</f>
        <v/>
      </c>
      <c r="Q145" s="125" t="str">
        <f>IF(足元帳!X145="","",足元帳!X145)</f>
        <v/>
      </c>
      <c r="R145" s="125" t="str">
        <f>IF(足元帳!Y145="","",足元帳!Y145)</f>
        <v/>
      </c>
      <c r="S145" s="125" t="str">
        <f>IF(足元帳!Z145="","",足元帳!Z145)</f>
        <v/>
      </c>
      <c r="T145" s="125" t="str">
        <f>IF(足元帳!AT145="","",足元帳!AT145)</f>
        <v/>
      </c>
      <c r="U145" s="125" t="str">
        <f>IF(足元帳!AH145="●",足元帳!$AH$1&amp;足元帳!AW145,"")</f>
        <v/>
      </c>
      <c r="V145" s="125" t="str">
        <f>IF(足元帳!AI145="●",足元帳!$AI$1&amp;足元帳!AW145,"")</f>
        <v/>
      </c>
      <c r="W145" s="125" t="str">
        <f>IF(足元帳!AX145="","",足元帳!AX145)</f>
        <v/>
      </c>
      <c r="X145" s="125">
        <f>足元帳!BJ145</f>
        <v>0</v>
      </c>
    </row>
    <row r="146" spans="1:24" ht="13.15" customHeight="1">
      <c r="A146" s="126">
        <v>145</v>
      </c>
      <c r="B146" s="127" t="str">
        <f>IF(足元帳!K146="","",精算表!$W$1)</f>
        <v/>
      </c>
      <c r="C146" s="128" t="str">
        <f>IF(足元帳!K146="","",IF(足元帳!AY146=2,"R","N"))</f>
        <v/>
      </c>
      <c r="D146" s="128" t="str">
        <f>IF(足元帳!K146="","",IF(足元帳!AZ146=1,"姫",IF(足元帳!AZ146=2,"本指名",IF(足元帳!AZ146=3,"NET",IF(足元帳!AZ146=4,"写真","")))))</f>
        <v/>
      </c>
      <c r="E146" s="128" t="str">
        <f>IF(足元帳!K146="","",足元帳!K146)</f>
        <v/>
      </c>
      <c r="F146" s="128" t="str">
        <f>IF(足元帳!K146="","",IF(足元帳!BB146=1,45,IF(足元帳!BB146=2,60,IF(足元帳!BB146=3,75,IF(足元帳!BB146=4,90,IF(足元帳!BB146=5,120,IF(足元帳!BB146=6,150,IF(足元帳!BB146=7,180,""))))))))</f>
        <v/>
      </c>
      <c r="G146" s="128" t="str">
        <f>IF(足元帳!K146="","",足元帳!A146)</f>
        <v/>
      </c>
      <c r="H146" s="125" t="str">
        <f>IF(足元帳!AP146="","",$H$1)</f>
        <v/>
      </c>
      <c r="I146" s="125" t="str">
        <f>IF(足元帳!AQ146="","",$I$1)</f>
        <v/>
      </c>
      <c r="J146" s="125" t="str">
        <f>IF(足元帳!AR146="","",$J$1)</f>
        <v/>
      </c>
      <c r="K146" s="125" t="str">
        <f>IF(足元帳!AS146="","",$K$1)</f>
        <v/>
      </c>
      <c r="L146" s="291" t="str">
        <f>IF(COUNTIF(足元帳!AT146,"*複合*"),"複合","")</f>
        <v/>
      </c>
      <c r="M146" s="291" t="str">
        <f>IF(COUNTIF(足元帳!AT146,"*店頭本指名*"),"店頭本指名","")</f>
        <v/>
      </c>
      <c r="N146" s="125" t="str">
        <f>IF(足元帳!U146="","",足元帳!U146)</f>
        <v/>
      </c>
      <c r="O146" s="125" t="str">
        <f>IF(足元帳!V146="","",足元帳!V146)</f>
        <v/>
      </c>
      <c r="P146" s="125" t="str">
        <f>IF(足元帳!W146="","",足元帳!W146)</f>
        <v/>
      </c>
      <c r="Q146" s="125" t="str">
        <f>IF(足元帳!X146="","",足元帳!X146)</f>
        <v/>
      </c>
      <c r="R146" s="125" t="str">
        <f>IF(足元帳!Y146="","",足元帳!Y146)</f>
        <v/>
      </c>
      <c r="S146" s="125" t="str">
        <f>IF(足元帳!Z146="","",足元帳!Z146)</f>
        <v/>
      </c>
      <c r="T146" s="125" t="str">
        <f>IF(足元帳!AT146="","",足元帳!AT146)</f>
        <v/>
      </c>
      <c r="U146" s="125" t="str">
        <f>IF(足元帳!AH146="●",足元帳!$AH$1&amp;足元帳!AW146,"")</f>
        <v/>
      </c>
      <c r="V146" s="125" t="str">
        <f>IF(足元帳!AI146="●",足元帳!$AI$1&amp;足元帳!AW146,"")</f>
        <v/>
      </c>
      <c r="W146" s="125" t="str">
        <f>IF(足元帳!AX146="","",足元帳!AX146)</f>
        <v/>
      </c>
      <c r="X146" s="125">
        <f>足元帳!BJ146</f>
        <v>0</v>
      </c>
    </row>
    <row r="147" spans="1:24" ht="13.15" customHeight="1">
      <c r="A147" s="126">
        <v>146</v>
      </c>
      <c r="B147" s="127" t="str">
        <f>IF(足元帳!K147="","",精算表!$W$1)</f>
        <v/>
      </c>
      <c r="C147" s="128" t="str">
        <f>IF(足元帳!K147="","",IF(足元帳!AY147=2,"R","N"))</f>
        <v/>
      </c>
      <c r="D147" s="128" t="str">
        <f>IF(足元帳!K147="","",IF(足元帳!AZ147=1,"姫",IF(足元帳!AZ147=2,"本指名",IF(足元帳!AZ147=3,"NET",IF(足元帳!AZ147=4,"写真","")))))</f>
        <v/>
      </c>
      <c r="E147" s="128" t="str">
        <f>IF(足元帳!K147="","",足元帳!K147)</f>
        <v/>
      </c>
      <c r="F147" s="128" t="str">
        <f>IF(足元帳!K147="","",IF(足元帳!BB147=1,45,IF(足元帳!BB147=2,60,IF(足元帳!BB147=3,75,IF(足元帳!BB147=4,90,IF(足元帳!BB147=5,120,IF(足元帳!BB147=6,150,IF(足元帳!BB147=7,180,""))))))))</f>
        <v/>
      </c>
      <c r="G147" s="128" t="str">
        <f>IF(足元帳!K147="","",足元帳!A147)</f>
        <v/>
      </c>
      <c r="H147" s="125" t="str">
        <f>IF(足元帳!AP147="","",$H$1)</f>
        <v/>
      </c>
      <c r="I147" s="125" t="str">
        <f>IF(足元帳!AQ147="","",$I$1)</f>
        <v/>
      </c>
      <c r="J147" s="125" t="str">
        <f>IF(足元帳!AR147="","",$J$1)</f>
        <v/>
      </c>
      <c r="K147" s="125" t="str">
        <f>IF(足元帳!AS147="","",$K$1)</f>
        <v/>
      </c>
      <c r="L147" s="291" t="str">
        <f>IF(COUNTIF(足元帳!AT147,"*複合*"),"複合","")</f>
        <v/>
      </c>
      <c r="M147" s="291" t="str">
        <f>IF(COUNTIF(足元帳!AT147,"*店頭本指名*"),"店頭本指名","")</f>
        <v/>
      </c>
      <c r="N147" s="125" t="str">
        <f>IF(足元帳!U147="","",足元帳!U147)</f>
        <v/>
      </c>
      <c r="O147" s="125" t="str">
        <f>IF(足元帳!V147="","",足元帳!V147)</f>
        <v/>
      </c>
      <c r="P147" s="125" t="str">
        <f>IF(足元帳!W147="","",足元帳!W147)</f>
        <v/>
      </c>
      <c r="Q147" s="125" t="str">
        <f>IF(足元帳!X147="","",足元帳!X147)</f>
        <v/>
      </c>
      <c r="R147" s="125" t="str">
        <f>IF(足元帳!Y147="","",足元帳!Y147)</f>
        <v/>
      </c>
      <c r="S147" s="125" t="str">
        <f>IF(足元帳!Z147="","",足元帳!Z147)</f>
        <v/>
      </c>
      <c r="T147" s="125" t="str">
        <f>IF(足元帳!AT147="","",足元帳!AT147)</f>
        <v/>
      </c>
      <c r="U147" s="125" t="str">
        <f>IF(足元帳!AH147="●",足元帳!$AH$1&amp;足元帳!AW147,"")</f>
        <v/>
      </c>
      <c r="V147" s="125" t="str">
        <f>IF(足元帳!AI147="●",足元帳!$AI$1&amp;足元帳!AW147,"")</f>
        <v/>
      </c>
      <c r="W147" s="125" t="str">
        <f>IF(足元帳!AX147="","",足元帳!AX147)</f>
        <v/>
      </c>
      <c r="X147" s="125">
        <f>足元帳!BJ147</f>
        <v>0</v>
      </c>
    </row>
    <row r="148" spans="1:24" ht="13.15" customHeight="1">
      <c r="A148" s="126">
        <v>147</v>
      </c>
      <c r="B148" s="127" t="str">
        <f>IF(足元帳!K148="","",精算表!$W$1)</f>
        <v/>
      </c>
      <c r="C148" s="128" t="str">
        <f>IF(足元帳!K148="","",IF(足元帳!AY148=2,"R","N"))</f>
        <v/>
      </c>
      <c r="D148" s="128" t="str">
        <f>IF(足元帳!K148="","",IF(足元帳!AZ148=1,"姫",IF(足元帳!AZ148=2,"本指名",IF(足元帳!AZ148=3,"NET",IF(足元帳!AZ148=4,"写真","")))))</f>
        <v/>
      </c>
      <c r="E148" s="128" t="str">
        <f>IF(足元帳!K148="","",足元帳!K148)</f>
        <v/>
      </c>
      <c r="F148" s="128" t="str">
        <f>IF(足元帳!K148="","",IF(足元帳!BB148=1,45,IF(足元帳!BB148=2,60,IF(足元帳!BB148=3,75,IF(足元帳!BB148=4,90,IF(足元帳!BB148=5,120,IF(足元帳!BB148=6,150,IF(足元帳!BB148=7,180,""))))))))</f>
        <v/>
      </c>
      <c r="G148" s="128" t="str">
        <f>IF(足元帳!K148="","",足元帳!A148)</f>
        <v/>
      </c>
      <c r="H148" s="125" t="str">
        <f>IF(足元帳!AP148="","",$H$1)</f>
        <v/>
      </c>
      <c r="I148" s="125" t="str">
        <f>IF(足元帳!AQ148="","",$I$1)</f>
        <v/>
      </c>
      <c r="J148" s="125" t="str">
        <f>IF(足元帳!AR148="","",$J$1)</f>
        <v/>
      </c>
      <c r="K148" s="125" t="str">
        <f>IF(足元帳!AS148="","",$K$1)</f>
        <v/>
      </c>
      <c r="L148" s="291" t="str">
        <f>IF(COUNTIF(足元帳!AT148,"*複合*"),"複合","")</f>
        <v/>
      </c>
      <c r="M148" s="291" t="str">
        <f>IF(COUNTIF(足元帳!AT148,"*店頭本指名*"),"店頭本指名","")</f>
        <v/>
      </c>
      <c r="N148" s="125" t="str">
        <f>IF(足元帳!U148="","",足元帳!U148)</f>
        <v/>
      </c>
      <c r="O148" s="125" t="str">
        <f>IF(足元帳!V148="","",足元帳!V148)</f>
        <v/>
      </c>
      <c r="P148" s="125" t="str">
        <f>IF(足元帳!W148="","",足元帳!W148)</f>
        <v/>
      </c>
      <c r="Q148" s="125" t="str">
        <f>IF(足元帳!X148="","",足元帳!X148)</f>
        <v/>
      </c>
      <c r="R148" s="125" t="str">
        <f>IF(足元帳!Y148="","",足元帳!Y148)</f>
        <v/>
      </c>
      <c r="S148" s="125" t="str">
        <f>IF(足元帳!Z148="","",足元帳!Z148)</f>
        <v/>
      </c>
      <c r="T148" s="125" t="str">
        <f>IF(足元帳!AT148="","",足元帳!AT148)</f>
        <v/>
      </c>
      <c r="U148" s="125" t="str">
        <f>IF(足元帳!AH148="●",足元帳!$AH$1&amp;足元帳!AW148,"")</f>
        <v/>
      </c>
      <c r="V148" s="125" t="str">
        <f>IF(足元帳!AI148="●",足元帳!$AI$1&amp;足元帳!AW148,"")</f>
        <v/>
      </c>
      <c r="W148" s="125" t="str">
        <f>IF(足元帳!AX148="","",足元帳!AX148)</f>
        <v/>
      </c>
      <c r="X148" s="125">
        <f>足元帳!BJ148</f>
        <v>0</v>
      </c>
    </row>
    <row r="149" spans="1:24" ht="13.15" customHeight="1">
      <c r="A149" s="126">
        <v>148</v>
      </c>
      <c r="B149" s="127" t="str">
        <f>IF(足元帳!K149="","",精算表!$W$1)</f>
        <v/>
      </c>
      <c r="C149" s="128" t="str">
        <f>IF(足元帳!K149="","",IF(足元帳!AY149=2,"R","N"))</f>
        <v/>
      </c>
      <c r="D149" s="128" t="str">
        <f>IF(足元帳!K149="","",IF(足元帳!AZ149=1,"姫",IF(足元帳!AZ149=2,"本指名",IF(足元帳!AZ149=3,"NET",IF(足元帳!AZ149=4,"写真","")))))</f>
        <v/>
      </c>
      <c r="E149" s="128" t="str">
        <f>IF(足元帳!K149="","",足元帳!K149)</f>
        <v/>
      </c>
      <c r="F149" s="128" t="str">
        <f>IF(足元帳!K149="","",IF(足元帳!BB149=1,45,IF(足元帳!BB149=2,60,IF(足元帳!BB149=3,75,IF(足元帳!BB149=4,90,IF(足元帳!BB149=5,120,IF(足元帳!BB149=6,150,IF(足元帳!BB149=7,180,""))))))))</f>
        <v/>
      </c>
      <c r="G149" s="128" t="str">
        <f>IF(足元帳!K149="","",足元帳!A149)</f>
        <v/>
      </c>
      <c r="H149" s="125" t="str">
        <f>IF(足元帳!AP149="","",$H$1)</f>
        <v/>
      </c>
      <c r="I149" s="125" t="str">
        <f>IF(足元帳!AQ149="","",$I$1)</f>
        <v/>
      </c>
      <c r="J149" s="125" t="str">
        <f>IF(足元帳!AR149="","",$J$1)</f>
        <v/>
      </c>
      <c r="K149" s="125" t="str">
        <f>IF(足元帳!AS149="","",$K$1)</f>
        <v/>
      </c>
      <c r="L149" s="291" t="str">
        <f>IF(COUNTIF(足元帳!AT149,"*複合*"),"複合","")</f>
        <v/>
      </c>
      <c r="M149" s="291" t="str">
        <f>IF(COUNTIF(足元帳!AT149,"*店頭本指名*"),"店頭本指名","")</f>
        <v/>
      </c>
      <c r="N149" s="125" t="str">
        <f>IF(足元帳!U149="","",足元帳!U149)</f>
        <v/>
      </c>
      <c r="O149" s="125" t="str">
        <f>IF(足元帳!V149="","",足元帳!V149)</f>
        <v/>
      </c>
      <c r="P149" s="125" t="str">
        <f>IF(足元帳!W149="","",足元帳!W149)</f>
        <v/>
      </c>
      <c r="Q149" s="125" t="str">
        <f>IF(足元帳!X149="","",足元帳!X149)</f>
        <v/>
      </c>
      <c r="R149" s="125" t="str">
        <f>IF(足元帳!Y149="","",足元帳!Y149)</f>
        <v/>
      </c>
      <c r="S149" s="125" t="str">
        <f>IF(足元帳!Z149="","",足元帳!Z149)</f>
        <v/>
      </c>
      <c r="T149" s="125" t="str">
        <f>IF(足元帳!AT149="","",足元帳!AT149)</f>
        <v/>
      </c>
      <c r="U149" s="125" t="str">
        <f>IF(足元帳!AH149="●",足元帳!$AH$1&amp;足元帳!AW149,"")</f>
        <v/>
      </c>
      <c r="V149" s="125" t="str">
        <f>IF(足元帳!AI149="●",足元帳!$AI$1&amp;足元帳!AW149,"")</f>
        <v/>
      </c>
      <c r="W149" s="125" t="str">
        <f>IF(足元帳!AX149="","",足元帳!AX149)</f>
        <v/>
      </c>
      <c r="X149" s="125">
        <f>足元帳!BJ149</f>
        <v>0</v>
      </c>
    </row>
    <row r="150" spans="1:24" ht="13.15" customHeight="1">
      <c r="A150" s="126">
        <v>149</v>
      </c>
      <c r="B150" s="127" t="str">
        <f>IF(足元帳!K150="","",精算表!$W$1)</f>
        <v/>
      </c>
      <c r="C150" s="128" t="str">
        <f>IF(足元帳!K150="","",IF(足元帳!AY150=2,"R","N"))</f>
        <v/>
      </c>
      <c r="D150" s="128" t="str">
        <f>IF(足元帳!K150="","",IF(足元帳!AZ150=1,"姫",IF(足元帳!AZ150=2,"本指名",IF(足元帳!AZ150=3,"NET",IF(足元帳!AZ150=4,"写真","")))))</f>
        <v/>
      </c>
      <c r="E150" s="128" t="str">
        <f>IF(足元帳!K150="","",足元帳!K150)</f>
        <v/>
      </c>
      <c r="F150" s="128" t="str">
        <f>IF(足元帳!K150="","",IF(足元帳!BB150=1,45,IF(足元帳!BB150=2,60,IF(足元帳!BB150=3,75,IF(足元帳!BB150=4,90,IF(足元帳!BB150=5,120,IF(足元帳!BB150=6,150,IF(足元帳!BB150=7,180,""))))))))</f>
        <v/>
      </c>
      <c r="G150" s="128" t="str">
        <f>IF(足元帳!K150="","",足元帳!A150)</f>
        <v/>
      </c>
      <c r="H150" s="125" t="str">
        <f>IF(足元帳!AP150="","",$H$1)</f>
        <v/>
      </c>
      <c r="I150" s="125" t="str">
        <f>IF(足元帳!AQ150="","",$I$1)</f>
        <v/>
      </c>
      <c r="J150" s="125" t="str">
        <f>IF(足元帳!AR150="","",$J$1)</f>
        <v/>
      </c>
      <c r="K150" s="125" t="str">
        <f>IF(足元帳!AS150="","",$K$1)</f>
        <v/>
      </c>
      <c r="L150" s="291" t="str">
        <f>IF(COUNTIF(足元帳!AT150,"*複合*"),"複合","")</f>
        <v/>
      </c>
      <c r="M150" s="291" t="str">
        <f>IF(COUNTIF(足元帳!AT150,"*店頭本指名*"),"店頭本指名","")</f>
        <v/>
      </c>
      <c r="N150" s="125" t="str">
        <f>IF(足元帳!U150="","",足元帳!U150)</f>
        <v/>
      </c>
      <c r="O150" s="125" t="str">
        <f>IF(足元帳!V150="","",足元帳!V150)</f>
        <v/>
      </c>
      <c r="P150" s="125" t="str">
        <f>IF(足元帳!W150="","",足元帳!W150)</f>
        <v/>
      </c>
      <c r="Q150" s="125" t="str">
        <f>IF(足元帳!X150="","",足元帳!X150)</f>
        <v/>
      </c>
      <c r="R150" s="125" t="str">
        <f>IF(足元帳!Y150="","",足元帳!Y150)</f>
        <v/>
      </c>
      <c r="S150" s="125" t="str">
        <f>IF(足元帳!Z150="","",足元帳!Z150)</f>
        <v/>
      </c>
      <c r="T150" s="125" t="str">
        <f>IF(足元帳!AT150="","",足元帳!AT150)</f>
        <v/>
      </c>
      <c r="U150" s="125" t="str">
        <f>IF(足元帳!AH150="●",足元帳!$AH$1&amp;足元帳!AW150,"")</f>
        <v/>
      </c>
      <c r="V150" s="125" t="str">
        <f>IF(足元帳!AI150="●",足元帳!$AI$1&amp;足元帳!AW150,"")</f>
        <v/>
      </c>
      <c r="W150" s="125" t="str">
        <f>IF(足元帳!AX150="","",足元帳!AX150)</f>
        <v/>
      </c>
      <c r="X150" s="125">
        <f>足元帳!BJ150</f>
        <v>0</v>
      </c>
    </row>
    <row r="151" spans="1:24" ht="13.15" customHeight="1">
      <c r="A151" s="126">
        <v>150</v>
      </c>
      <c r="B151" s="127" t="str">
        <f>IF(足元帳!K151="","",精算表!$W$1)</f>
        <v/>
      </c>
      <c r="C151" s="128" t="str">
        <f>IF(足元帳!K151="","",IF(足元帳!AY151=2,"R","N"))</f>
        <v/>
      </c>
      <c r="D151" s="128" t="str">
        <f>IF(足元帳!K151="","",IF(足元帳!AZ151=1,"姫",IF(足元帳!AZ151=2,"本指名",IF(足元帳!AZ151=3,"NET",IF(足元帳!AZ151=4,"写真","")))))</f>
        <v/>
      </c>
      <c r="E151" s="128" t="str">
        <f>IF(足元帳!K151="","",足元帳!K151)</f>
        <v/>
      </c>
      <c r="F151" s="128" t="str">
        <f>IF(足元帳!K151="","",IF(足元帳!BB151=1,45,IF(足元帳!BB151=2,60,IF(足元帳!BB151=3,75,IF(足元帳!BB151=4,90,IF(足元帳!BB151=5,120,IF(足元帳!BB151=6,150,IF(足元帳!BB151=7,180,""))))))))</f>
        <v/>
      </c>
      <c r="G151" s="128" t="str">
        <f>IF(足元帳!K151="","",足元帳!A151)</f>
        <v/>
      </c>
      <c r="H151" s="125" t="str">
        <f>IF(足元帳!AP151="","",$H$1)</f>
        <v/>
      </c>
      <c r="I151" s="125" t="str">
        <f>IF(足元帳!AQ151="","",$I$1)</f>
        <v/>
      </c>
      <c r="J151" s="125" t="str">
        <f>IF(足元帳!AR151="","",$J$1)</f>
        <v/>
      </c>
      <c r="K151" s="125" t="str">
        <f>IF(足元帳!AS151="","",$K$1)</f>
        <v/>
      </c>
      <c r="L151" s="291" t="str">
        <f>IF(COUNTIF(足元帳!AT151,"*複合*"),"複合","")</f>
        <v/>
      </c>
      <c r="M151" s="291" t="str">
        <f>IF(COUNTIF(足元帳!AT151,"*店頭本指名*"),"店頭本指名","")</f>
        <v/>
      </c>
      <c r="N151" s="125" t="str">
        <f>IF(足元帳!U151="","",足元帳!U151)</f>
        <v/>
      </c>
      <c r="O151" s="125" t="str">
        <f>IF(足元帳!V151="","",足元帳!V151)</f>
        <v/>
      </c>
      <c r="P151" s="125" t="str">
        <f>IF(足元帳!W151="","",足元帳!W151)</f>
        <v/>
      </c>
      <c r="Q151" s="125" t="str">
        <f>IF(足元帳!X151="","",足元帳!X151)</f>
        <v/>
      </c>
      <c r="R151" s="125" t="str">
        <f>IF(足元帳!Y151="","",足元帳!Y151)</f>
        <v/>
      </c>
      <c r="S151" s="125" t="str">
        <f>IF(足元帳!Z151="","",足元帳!Z151)</f>
        <v/>
      </c>
      <c r="T151" s="125" t="str">
        <f>IF(足元帳!AT151="","",足元帳!AT151)</f>
        <v/>
      </c>
      <c r="U151" s="125" t="str">
        <f>IF(足元帳!AH151="●",足元帳!$AH$1&amp;足元帳!AW151,"")</f>
        <v/>
      </c>
      <c r="V151" s="125" t="str">
        <f>IF(足元帳!AI151="●",足元帳!$AI$1&amp;足元帳!AW151,"")</f>
        <v/>
      </c>
      <c r="W151" s="125" t="str">
        <f>IF(足元帳!AX151="","",足元帳!AX151)</f>
        <v/>
      </c>
      <c r="X151" s="125">
        <f>足元帳!BJ151</f>
        <v>0</v>
      </c>
    </row>
    <row r="152" spans="1:24" ht="13.15" customHeight="1">
      <c r="A152" s="126">
        <v>151</v>
      </c>
      <c r="B152" s="127" t="str">
        <f>IF(足元帳!K152="","",精算表!$W$1)</f>
        <v/>
      </c>
      <c r="C152" s="128" t="str">
        <f>IF(足元帳!K152="","",IF(足元帳!AY152=2,"R","N"))</f>
        <v/>
      </c>
      <c r="D152" s="128" t="str">
        <f>IF(足元帳!K152="","",IF(足元帳!AZ152=1,"姫",IF(足元帳!AZ152=2,"本指名",IF(足元帳!AZ152=3,"NET",IF(足元帳!AZ152=4,"写真","")))))</f>
        <v/>
      </c>
      <c r="E152" s="128" t="str">
        <f>IF(足元帳!K152="","",足元帳!K152)</f>
        <v/>
      </c>
      <c r="F152" s="128" t="str">
        <f>IF(足元帳!K152="","",IF(足元帳!BB152=1,45,IF(足元帳!BB152=2,60,IF(足元帳!BB152=3,75,IF(足元帳!BB152=4,90,IF(足元帳!BB152=5,120,IF(足元帳!BB152=6,150,IF(足元帳!BB152=7,180,""))))))))</f>
        <v/>
      </c>
      <c r="G152" s="128" t="str">
        <f>IF(足元帳!K152="","",足元帳!A152)</f>
        <v/>
      </c>
      <c r="H152" s="125" t="str">
        <f>IF(足元帳!AP152="","",$H$1)</f>
        <v/>
      </c>
      <c r="I152" s="125" t="str">
        <f>IF(足元帳!AQ152="","",$I$1)</f>
        <v/>
      </c>
      <c r="J152" s="125" t="str">
        <f>IF(足元帳!AR152="","",$J$1)</f>
        <v/>
      </c>
      <c r="K152" s="125" t="str">
        <f>IF(足元帳!AS152="","",$K$1)</f>
        <v/>
      </c>
      <c r="L152" s="291" t="str">
        <f>IF(COUNTIF(足元帳!AT152,"*複合*"),"複合","")</f>
        <v/>
      </c>
      <c r="M152" s="291" t="str">
        <f>IF(COUNTIF(足元帳!AT152,"*店頭本指名*"),"店頭本指名","")</f>
        <v/>
      </c>
      <c r="N152" s="125" t="str">
        <f>IF(足元帳!U152="","",足元帳!U152)</f>
        <v/>
      </c>
      <c r="O152" s="125" t="str">
        <f>IF(足元帳!V152="","",足元帳!V152)</f>
        <v/>
      </c>
      <c r="P152" s="125" t="str">
        <f>IF(足元帳!W152="","",足元帳!W152)</f>
        <v/>
      </c>
      <c r="Q152" s="125" t="str">
        <f>IF(足元帳!X152="","",足元帳!X152)</f>
        <v/>
      </c>
      <c r="R152" s="125" t="str">
        <f>IF(足元帳!Y152="","",足元帳!Y152)</f>
        <v/>
      </c>
      <c r="S152" s="125" t="str">
        <f>IF(足元帳!Z152="","",足元帳!Z152)</f>
        <v/>
      </c>
      <c r="T152" s="125" t="str">
        <f>IF(足元帳!AT152="","",足元帳!AT152)</f>
        <v/>
      </c>
      <c r="U152" s="125" t="str">
        <f>IF(足元帳!AH152="●",足元帳!$AH$1&amp;足元帳!AW152,"")</f>
        <v/>
      </c>
      <c r="V152" s="125" t="str">
        <f>IF(足元帳!AI152="●",足元帳!$AI$1&amp;足元帳!AW152,"")</f>
        <v/>
      </c>
      <c r="W152" s="125" t="str">
        <f>IF(足元帳!AX152="","",足元帳!AX152)</f>
        <v/>
      </c>
      <c r="X152" s="125">
        <f>足元帳!BJ152</f>
        <v>0</v>
      </c>
    </row>
    <row r="153" spans="1:24" ht="13.15" customHeight="1">
      <c r="A153" s="126">
        <v>152</v>
      </c>
      <c r="B153" s="127" t="str">
        <f>IF(足元帳!K153="","",精算表!$W$1)</f>
        <v/>
      </c>
      <c r="C153" s="128" t="str">
        <f>IF(足元帳!K153="","",IF(足元帳!AY153=2,"R","N"))</f>
        <v/>
      </c>
      <c r="D153" s="128" t="str">
        <f>IF(足元帳!K153="","",IF(足元帳!AZ153=1,"姫",IF(足元帳!AZ153=2,"本指名",IF(足元帳!AZ153=3,"NET",IF(足元帳!AZ153=4,"写真","")))))</f>
        <v/>
      </c>
      <c r="E153" s="128" t="str">
        <f>IF(足元帳!K153="","",足元帳!K153)</f>
        <v/>
      </c>
      <c r="F153" s="128" t="str">
        <f>IF(足元帳!K153="","",IF(足元帳!BB153=1,45,IF(足元帳!BB153=2,60,IF(足元帳!BB153=3,75,IF(足元帳!BB153=4,90,IF(足元帳!BB153=5,120,IF(足元帳!BB153=6,150,IF(足元帳!BB153=7,180,""))))))))</f>
        <v/>
      </c>
      <c r="G153" s="128" t="str">
        <f>IF(足元帳!K153="","",足元帳!A153)</f>
        <v/>
      </c>
      <c r="H153" s="125" t="str">
        <f>IF(足元帳!AP153="","",$H$1)</f>
        <v/>
      </c>
      <c r="I153" s="125" t="str">
        <f>IF(足元帳!AQ153="","",$I$1)</f>
        <v/>
      </c>
      <c r="J153" s="125" t="str">
        <f>IF(足元帳!AR153="","",$J$1)</f>
        <v/>
      </c>
      <c r="K153" s="125" t="str">
        <f>IF(足元帳!AS153="","",$K$1)</f>
        <v/>
      </c>
      <c r="L153" s="291" t="str">
        <f>IF(COUNTIF(足元帳!AT153,"*複合*"),"複合","")</f>
        <v/>
      </c>
      <c r="M153" s="291" t="str">
        <f>IF(COUNTIF(足元帳!AT153,"*店頭本指名*"),"店頭本指名","")</f>
        <v/>
      </c>
      <c r="N153" s="125" t="str">
        <f>IF(足元帳!U153="","",足元帳!U153)</f>
        <v/>
      </c>
      <c r="O153" s="125" t="str">
        <f>IF(足元帳!V153="","",足元帳!V153)</f>
        <v/>
      </c>
      <c r="P153" s="125" t="str">
        <f>IF(足元帳!W153="","",足元帳!W153)</f>
        <v/>
      </c>
      <c r="Q153" s="125" t="str">
        <f>IF(足元帳!X153="","",足元帳!X153)</f>
        <v/>
      </c>
      <c r="R153" s="125" t="str">
        <f>IF(足元帳!Y153="","",足元帳!Y153)</f>
        <v/>
      </c>
      <c r="S153" s="125" t="str">
        <f>IF(足元帳!Z153="","",足元帳!Z153)</f>
        <v/>
      </c>
      <c r="T153" s="125" t="str">
        <f>IF(足元帳!AT153="","",足元帳!AT153)</f>
        <v/>
      </c>
      <c r="U153" s="125" t="str">
        <f>IF(足元帳!AH153="●",足元帳!$AH$1&amp;足元帳!AW153,"")</f>
        <v/>
      </c>
      <c r="V153" s="125" t="str">
        <f>IF(足元帳!AI153="●",足元帳!$AI$1&amp;足元帳!AW153,"")</f>
        <v/>
      </c>
      <c r="W153" s="125" t="str">
        <f>IF(足元帳!AX153="","",足元帳!AX153)</f>
        <v/>
      </c>
      <c r="X153" s="125">
        <f>足元帳!BJ153</f>
        <v>0</v>
      </c>
    </row>
    <row r="154" spans="1:24" ht="13.15" customHeight="1">
      <c r="A154" s="126">
        <v>153</v>
      </c>
      <c r="B154" s="127" t="str">
        <f>IF(足元帳!K154="","",精算表!$W$1)</f>
        <v/>
      </c>
      <c r="C154" s="128" t="str">
        <f>IF(足元帳!K154="","",IF(足元帳!AY154=2,"R","N"))</f>
        <v/>
      </c>
      <c r="D154" s="128" t="str">
        <f>IF(足元帳!K154="","",IF(足元帳!AZ154=1,"姫",IF(足元帳!AZ154=2,"本指名",IF(足元帳!AZ154=3,"NET",IF(足元帳!AZ154=4,"写真","")))))</f>
        <v/>
      </c>
      <c r="E154" s="128" t="str">
        <f>IF(足元帳!K154="","",足元帳!K154)</f>
        <v/>
      </c>
      <c r="F154" s="128" t="str">
        <f>IF(足元帳!K154="","",IF(足元帳!BB154=1,45,IF(足元帳!BB154=2,60,IF(足元帳!BB154=3,75,IF(足元帳!BB154=4,90,IF(足元帳!BB154=5,120,IF(足元帳!BB154=6,150,IF(足元帳!BB154=7,180,""))))))))</f>
        <v/>
      </c>
      <c r="G154" s="128" t="str">
        <f>IF(足元帳!K154="","",足元帳!A154)</f>
        <v/>
      </c>
      <c r="H154" s="125" t="str">
        <f>IF(足元帳!AP154="","",$H$1)</f>
        <v/>
      </c>
      <c r="I154" s="125" t="str">
        <f>IF(足元帳!AQ154="","",$I$1)</f>
        <v/>
      </c>
      <c r="J154" s="125" t="str">
        <f>IF(足元帳!AR154="","",$J$1)</f>
        <v/>
      </c>
      <c r="K154" s="125" t="str">
        <f>IF(足元帳!AS154="","",$K$1)</f>
        <v/>
      </c>
      <c r="L154" s="291" t="str">
        <f>IF(COUNTIF(足元帳!AT154,"*複合*"),"複合","")</f>
        <v/>
      </c>
      <c r="M154" s="291" t="str">
        <f>IF(COUNTIF(足元帳!AT154,"*店頭本指名*"),"店頭本指名","")</f>
        <v/>
      </c>
      <c r="N154" s="125" t="str">
        <f>IF(足元帳!U154="","",足元帳!U154)</f>
        <v/>
      </c>
      <c r="O154" s="125" t="str">
        <f>IF(足元帳!V154="","",足元帳!V154)</f>
        <v/>
      </c>
      <c r="P154" s="125" t="str">
        <f>IF(足元帳!W154="","",足元帳!W154)</f>
        <v/>
      </c>
      <c r="Q154" s="125" t="str">
        <f>IF(足元帳!X154="","",足元帳!X154)</f>
        <v/>
      </c>
      <c r="R154" s="125" t="str">
        <f>IF(足元帳!Y154="","",足元帳!Y154)</f>
        <v/>
      </c>
      <c r="S154" s="125" t="str">
        <f>IF(足元帳!Z154="","",足元帳!Z154)</f>
        <v/>
      </c>
      <c r="T154" s="125" t="str">
        <f>IF(足元帳!AT154="","",足元帳!AT154)</f>
        <v/>
      </c>
      <c r="U154" s="125" t="str">
        <f>IF(足元帳!AH154="●",足元帳!$AH$1&amp;足元帳!AW154,"")</f>
        <v/>
      </c>
      <c r="V154" s="125" t="str">
        <f>IF(足元帳!AI154="●",足元帳!$AI$1&amp;足元帳!AW154,"")</f>
        <v/>
      </c>
      <c r="W154" s="125" t="str">
        <f>IF(足元帳!AX154="","",足元帳!AX154)</f>
        <v/>
      </c>
      <c r="X154" s="125">
        <f>足元帳!BJ154</f>
        <v>0</v>
      </c>
    </row>
    <row r="155" spans="1:24" ht="13.15" customHeight="1">
      <c r="A155" s="126">
        <v>154</v>
      </c>
      <c r="B155" s="127" t="str">
        <f>IF(足元帳!K155="","",精算表!$W$1)</f>
        <v/>
      </c>
      <c r="C155" s="128" t="str">
        <f>IF(足元帳!K155="","",IF(足元帳!AY155=2,"R","N"))</f>
        <v/>
      </c>
      <c r="D155" s="128" t="str">
        <f>IF(足元帳!K155="","",IF(足元帳!AZ155=1,"姫",IF(足元帳!AZ155=2,"本指名",IF(足元帳!AZ155=3,"NET",IF(足元帳!AZ155=4,"写真","")))))</f>
        <v/>
      </c>
      <c r="E155" s="128" t="str">
        <f>IF(足元帳!K155="","",足元帳!K155)</f>
        <v/>
      </c>
      <c r="F155" s="128" t="str">
        <f>IF(足元帳!K155="","",IF(足元帳!BB155=1,45,IF(足元帳!BB155=2,60,IF(足元帳!BB155=3,75,IF(足元帳!BB155=4,90,IF(足元帳!BB155=5,120,IF(足元帳!BB155=6,150,IF(足元帳!BB155=7,180,""))))))))</f>
        <v/>
      </c>
      <c r="G155" s="128" t="str">
        <f>IF(足元帳!K155="","",足元帳!A155)</f>
        <v/>
      </c>
      <c r="H155" s="125" t="str">
        <f>IF(足元帳!AP155="","",$H$1)</f>
        <v/>
      </c>
      <c r="I155" s="125" t="str">
        <f>IF(足元帳!AQ155="","",$I$1)</f>
        <v/>
      </c>
      <c r="J155" s="125" t="str">
        <f>IF(足元帳!AR155="","",$J$1)</f>
        <v/>
      </c>
      <c r="K155" s="125" t="str">
        <f>IF(足元帳!AS155="","",$K$1)</f>
        <v/>
      </c>
      <c r="L155" s="291" t="str">
        <f>IF(COUNTIF(足元帳!AT155,"*複合*"),"複合","")</f>
        <v/>
      </c>
      <c r="M155" s="291" t="str">
        <f>IF(COUNTIF(足元帳!AT155,"*店頭本指名*"),"店頭本指名","")</f>
        <v/>
      </c>
      <c r="N155" s="125" t="str">
        <f>IF(足元帳!U155="","",足元帳!U155)</f>
        <v/>
      </c>
      <c r="O155" s="125" t="str">
        <f>IF(足元帳!V155="","",足元帳!V155)</f>
        <v/>
      </c>
      <c r="P155" s="125" t="str">
        <f>IF(足元帳!W155="","",足元帳!W155)</f>
        <v/>
      </c>
      <c r="Q155" s="125" t="str">
        <f>IF(足元帳!X155="","",足元帳!X155)</f>
        <v/>
      </c>
      <c r="R155" s="125" t="str">
        <f>IF(足元帳!Y155="","",足元帳!Y155)</f>
        <v/>
      </c>
      <c r="S155" s="125" t="str">
        <f>IF(足元帳!Z155="","",足元帳!Z155)</f>
        <v/>
      </c>
      <c r="T155" s="125" t="str">
        <f>IF(足元帳!AT155="","",足元帳!AT155)</f>
        <v/>
      </c>
      <c r="U155" s="125" t="str">
        <f>IF(足元帳!AH155="●",足元帳!$AH$1&amp;足元帳!AW155,"")</f>
        <v/>
      </c>
      <c r="V155" s="125" t="str">
        <f>IF(足元帳!AI155="●",足元帳!$AI$1&amp;足元帳!AW155,"")</f>
        <v/>
      </c>
      <c r="W155" s="125" t="str">
        <f>IF(足元帳!AX155="","",足元帳!AX155)</f>
        <v/>
      </c>
      <c r="X155" s="125">
        <f>足元帳!BJ155</f>
        <v>0</v>
      </c>
    </row>
    <row r="156" spans="1:24" ht="13.15" customHeight="1">
      <c r="A156" s="126">
        <v>155</v>
      </c>
      <c r="B156" s="127" t="str">
        <f>IF(足元帳!K156="","",精算表!$W$1)</f>
        <v/>
      </c>
      <c r="C156" s="128" t="str">
        <f>IF(足元帳!K156="","",IF(足元帳!AY156=2,"R","N"))</f>
        <v/>
      </c>
      <c r="D156" s="128" t="str">
        <f>IF(足元帳!K156="","",IF(足元帳!AZ156=1,"姫",IF(足元帳!AZ156=2,"本指名",IF(足元帳!AZ156=3,"NET",IF(足元帳!AZ156=4,"写真","")))))</f>
        <v/>
      </c>
      <c r="E156" s="128" t="str">
        <f>IF(足元帳!K156="","",足元帳!K156)</f>
        <v/>
      </c>
      <c r="F156" s="128" t="str">
        <f>IF(足元帳!K156="","",IF(足元帳!BB156=1,45,IF(足元帳!BB156=2,60,IF(足元帳!BB156=3,75,IF(足元帳!BB156=4,90,IF(足元帳!BB156=5,120,IF(足元帳!BB156=6,150,IF(足元帳!BB156=7,180,""))))))))</f>
        <v/>
      </c>
      <c r="G156" s="128" t="str">
        <f>IF(足元帳!K156="","",足元帳!A156)</f>
        <v/>
      </c>
      <c r="H156" s="125" t="str">
        <f>IF(足元帳!AP156="","",$H$1)</f>
        <v/>
      </c>
      <c r="I156" s="125" t="str">
        <f>IF(足元帳!AQ156="","",$I$1)</f>
        <v/>
      </c>
      <c r="J156" s="125" t="str">
        <f>IF(足元帳!AR156="","",$J$1)</f>
        <v/>
      </c>
      <c r="K156" s="125" t="str">
        <f>IF(足元帳!AS156="","",$K$1)</f>
        <v/>
      </c>
      <c r="L156" s="291" t="str">
        <f>IF(COUNTIF(足元帳!AT156,"*複合*"),"複合","")</f>
        <v/>
      </c>
      <c r="M156" s="291" t="str">
        <f>IF(COUNTIF(足元帳!AT156,"*店頭本指名*"),"店頭本指名","")</f>
        <v/>
      </c>
      <c r="N156" s="125" t="str">
        <f>IF(足元帳!U156="","",足元帳!U156)</f>
        <v/>
      </c>
      <c r="O156" s="125" t="str">
        <f>IF(足元帳!V156="","",足元帳!V156)</f>
        <v/>
      </c>
      <c r="P156" s="125" t="str">
        <f>IF(足元帳!W156="","",足元帳!W156)</f>
        <v/>
      </c>
      <c r="Q156" s="125" t="str">
        <f>IF(足元帳!X156="","",足元帳!X156)</f>
        <v/>
      </c>
      <c r="R156" s="125" t="str">
        <f>IF(足元帳!Y156="","",足元帳!Y156)</f>
        <v/>
      </c>
      <c r="S156" s="125" t="str">
        <f>IF(足元帳!Z156="","",足元帳!Z156)</f>
        <v/>
      </c>
      <c r="T156" s="125" t="str">
        <f>IF(足元帳!AT156="","",足元帳!AT156)</f>
        <v/>
      </c>
      <c r="U156" s="125" t="str">
        <f>IF(足元帳!AH156="●",足元帳!$AH$1&amp;足元帳!AW156,"")</f>
        <v/>
      </c>
      <c r="V156" s="125" t="str">
        <f>IF(足元帳!AI156="●",足元帳!$AI$1&amp;足元帳!AW156,"")</f>
        <v/>
      </c>
      <c r="W156" s="125" t="str">
        <f>IF(足元帳!AX156="","",足元帳!AX156)</f>
        <v/>
      </c>
      <c r="X156" s="125">
        <f>足元帳!BJ156</f>
        <v>0</v>
      </c>
    </row>
    <row r="157" spans="1:24" ht="13.15" customHeight="1">
      <c r="A157" s="126">
        <v>156</v>
      </c>
      <c r="B157" s="127" t="str">
        <f>IF(足元帳!K157="","",精算表!$W$1)</f>
        <v/>
      </c>
      <c r="C157" s="128" t="str">
        <f>IF(足元帳!K157="","",IF(足元帳!AY157=2,"R","N"))</f>
        <v/>
      </c>
      <c r="D157" s="128" t="str">
        <f>IF(足元帳!K157="","",IF(足元帳!AZ157=1,"姫",IF(足元帳!AZ157=2,"本指名",IF(足元帳!AZ157=3,"NET",IF(足元帳!AZ157=4,"写真","")))))</f>
        <v/>
      </c>
      <c r="E157" s="128" t="str">
        <f>IF(足元帳!K157="","",足元帳!K157)</f>
        <v/>
      </c>
      <c r="F157" s="128" t="str">
        <f>IF(足元帳!K157="","",IF(足元帳!BB157=1,45,IF(足元帳!BB157=2,60,IF(足元帳!BB157=3,75,IF(足元帳!BB157=4,90,IF(足元帳!BB157=5,120,IF(足元帳!BB157=6,150,IF(足元帳!BB157=7,180,""))))))))</f>
        <v/>
      </c>
      <c r="G157" s="128" t="str">
        <f>IF(足元帳!K157="","",足元帳!A157)</f>
        <v/>
      </c>
      <c r="H157" s="125" t="str">
        <f>IF(足元帳!AP157="","",$H$1)</f>
        <v/>
      </c>
      <c r="I157" s="125" t="str">
        <f>IF(足元帳!AQ157="","",$I$1)</f>
        <v/>
      </c>
      <c r="J157" s="125" t="str">
        <f>IF(足元帳!AR157="","",$J$1)</f>
        <v/>
      </c>
      <c r="K157" s="125" t="str">
        <f>IF(足元帳!AS157="","",$K$1)</f>
        <v/>
      </c>
      <c r="L157" s="291" t="str">
        <f>IF(COUNTIF(足元帳!AT157,"*複合*"),"複合","")</f>
        <v/>
      </c>
      <c r="M157" s="291" t="str">
        <f>IF(COUNTIF(足元帳!AT157,"*店頭本指名*"),"店頭本指名","")</f>
        <v/>
      </c>
      <c r="N157" s="125" t="str">
        <f>IF(足元帳!U157="","",足元帳!U157)</f>
        <v/>
      </c>
      <c r="O157" s="125" t="str">
        <f>IF(足元帳!V157="","",足元帳!V157)</f>
        <v/>
      </c>
      <c r="P157" s="125" t="str">
        <f>IF(足元帳!W157="","",足元帳!W157)</f>
        <v/>
      </c>
      <c r="Q157" s="125" t="str">
        <f>IF(足元帳!X157="","",足元帳!X157)</f>
        <v/>
      </c>
      <c r="R157" s="125" t="str">
        <f>IF(足元帳!Y157="","",足元帳!Y157)</f>
        <v/>
      </c>
      <c r="S157" s="125" t="str">
        <f>IF(足元帳!Z157="","",足元帳!Z157)</f>
        <v/>
      </c>
      <c r="T157" s="125" t="str">
        <f>IF(足元帳!AT157="","",足元帳!AT157)</f>
        <v/>
      </c>
      <c r="U157" s="125" t="str">
        <f>IF(足元帳!AH157="●",足元帳!$AH$1&amp;足元帳!AW157,"")</f>
        <v/>
      </c>
      <c r="V157" s="125" t="str">
        <f>IF(足元帳!AI157="●",足元帳!$AI$1&amp;足元帳!AW157,"")</f>
        <v/>
      </c>
      <c r="W157" s="125" t="str">
        <f>IF(足元帳!AX157="","",足元帳!AX157)</f>
        <v/>
      </c>
      <c r="X157" s="125">
        <f>足元帳!BJ157</f>
        <v>0</v>
      </c>
    </row>
    <row r="158" spans="1:24" ht="13.15" customHeight="1">
      <c r="A158" s="126">
        <v>157</v>
      </c>
      <c r="B158" s="127" t="str">
        <f>IF(足元帳!K158="","",精算表!$W$1)</f>
        <v/>
      </c>
      <c r="C158" s="128" t="str">
        <f>IF(足元帳!K158="","",IF(足元帳!AY158=2,"R","N"))</f>
        <v/>
      </c>
      <c r="D158" s="128" t="str">
        <f>IF(足元帳!K158="","",IF(足元帳!AZ158=1,"姫",IF(足元帳!AZ158=2,"本指名",IF(足元帳!AZ158=3,"NET",IF(足元帳!AZ158=4,"写真","")))))</f>
        <v/>
      </c>
      <c r="E158" s="128" t="str">
        <f>IF(足元帳!K158="","",足元帳!K158)</f>
        <v/>
      </c>
      <c r="F158" s="128" t="str">
        <f>IF(足元帳!K158="","",IF(足元帳!BB158=1,45,IF(足元帳!BB158=2,60,IF(足元帳!BB158=3,75,IF(足元帳!BB158=4,90,IF(足元帳!BB158=5,120,IF(足元帳!BB158=6,150,IF(足元帳!BB158=7,180,""))))))))</f>
        <v/>
      </c>
      <c r="G158" s="128" t="str">
        <f>IF(足元帳!K158="","",足元帳!A158)</f>
        <v/>
      </c>
      <c r="H158" s="125" t="str">
        <f>IF(足元帳!AP158="","",$H$1)</f>
        <v/>
      </c>
      <c r="I158" s="125" t="str">
        <f>IF(足元帳!AQ158="","",$I$1)</f>
        <v/>
      </c>
      <c r="J158" s="125" t="str">
        <f>IF(足元帳!AR158="","",$J$1)</f>
        <v/>
      </c>
      <c r="K158" s="125" t="str">
        <f>IF(足元帳!AS158="","",$K$1)</f>
        <v/>
      </c>
      <c r="L158" s="291" t="str">
        <f>IF(COUNTIF(足元帳!AT158,"*複合*"),"複合","")</f>
        <v/>
      </c>
      <c r="M158" s="291" t="str">
        <f>IF(COUNTIF(足元帳!AT158,"*店頭本指名*"),"店頭本指名","")</f>
        <v/>
      </c>
      <c r="N158" s="125" t="str">
        <f>IF(足元帳!U158="","",足元帳!U158)</f>
        <v/>
      </c>
      <c r="O158" s="125" t="str">
        <f>IF(足元帳!V158="","",足元帳!V158)</f>
        <v/>
      </c>
      <c r="P158" s="125" t="str">
        <f>IF(足元帳!W158="","",足元帳!W158)</f>
        <v/>
      </c>
      <c r="Q158" s="125" t="str">
        <f>IF(足元帳!X158="","",足元帳!X158)</f>
        <v/>
      </c>
      <c r="R158" s="125" t="str">
        <f>IF(足元帳!Y158="","",足元帳!Y158)</f>
        <v/>
      </c>
      <c r="S158" s="125" t="str">
        <f>IF(足元帳!Z158="","",足元帳!Z158)</f>
        <v/>
      </c>
      <c r="T158" s="125" t="str">
        <f>IF(足元帳!AT158="","",足元帳!AT158)</f>
        <v/>
      </c>
      <c r="U158" s="125" t="str">
        <f>IF(足元帳!AH158="●",足元帳!$AH$1&amp;足元帳!AW158,"")</f>
        <v/>
      </c>
      <c r="V158" s="125" t="str">
        <f>IF(足元帳!AI158="●",足元帳!$AI$1&amp;足元帳!AW158,"")</f>
        <v/>
      </c>
      <c r="W158" s="125" t="str">
        <f>IF(足元帳!AX158="","",足元帳!AX158)</f>
        <v/>
      </c>
      <c r="X158" s="125">
        <f>足元帳!BJ158</f>
        <v>0</v>
      </c>
    </row>
    <row r="159" spans="1:24" ht="13.15" customHeight="1">
      <c r="A159" s="126">
        <v>158</v>
      </c>
      <c r="B159" s="127" t="str">
        <f>IF(足元帳!K159="","",精算表!$W$1)</f>
        <v/>
      </c>
      <c r="C159" s="128" t="str">
        <f>IF(足元帳!K159="","",IF(足元帳!AY159=2,"R","N"))</f>
        <v/>
      </c>
      <c r="D159" s="128" t="str">
        <f>IF(足元帳!K159="","",IF(足元帳!AZ159=1,"姫",IF(足元帳!AZ159=2,"本指名",IF(足元帳!AZ159=3,"NET",IF(足元帳!AZ159=4,"写真","")))))</f>
        <v/>
      </c>
      <c r="E159" s="128" t="str">
        <f>IF(足元帳!K159="","",足元帳!K159)</f>
        <v/>
      </c>
      <c r="F159" s="128" t="str">
        <f>IF(足元帳!K159="","",IF(足元帳!BB159=1,45,IF(足元帳!BB159=2,60,IF(足元帳!BB159=3,75,IF(足元帳!BB159=4,90,IF(足元帳!BB159=5,120,IF(足元帳!BB159=6,150,IF(足元帳!BB159=7,180,""))))))))</f>
        <v/>
      </c>
      <c r="G159" s="128" t="str">
        <f>IF(足元帳!K159="","",足元帳!A159)</f>
        <v/>
      </c>
      <c r="H159" s="125" t="str">
        <f>IF(足元帳!AP159="","",$H$1)</f>
        <v/>
      </c>
      <c r="I159" s="125" t="str">
        <f>IF(足元帳!AQ159="","",$I$1)</f>
        <v/>
      </c>
      <c r="J159" s="125" t="str">
        <f>IF(足元帳!AR159="","",$J$1)</f>
        <v/>
      </c>
      <c r="K159" s="125" t="str">
        <f>IF(足元帳!AS159="","",$K$1)</f>
        <v/>
      </c>
      <c r="L159" s="291" t="str">
        <f>IF(COUNTIF(足元帳!AT159,"*複合*"),"複合","")</f>
        <v/>
      </c>
      <c r="M159" s="291" t="str">
        <f>IF(COUNTIF(足元帳!AT159,"*店頭本指名*"),"店頭本指名","")</f>
        <v/>
      </c>
      <c r="N159" s="125" t="str">
        <f>IF(足元帳!U159="","",足元帳!U159)</f>
        <v/>
      </c>
      <c r="O159" s="125" t="str">
        <f>IF(足元帳!V159="","",足元帳!V159)</f>
        <v/>
      </c>
      <c r="P159" s="125" t="str">
        <f>IF(足元帳!W159="","",足元帳!W159)</f>
        <v/>
      </c>
      <c r="Q159" s="125" t="str">
        <f>IF(足元帳!X159="","",足元帳!X159)</f>
        <v/>
      </c>
      <c r="R159" s="125" t="str">
        <f>IF(足元帳!Y159="","",足元帳!Y159)</f>
        <v/>
      </c>
      <c r="S159" s="125" t="str">
        <f>IF(足元帳!Z159="","",足元帳!Z159)</f>
        <v/>
      </c>
      <c r="T159" s="125" t="str">
        <f>IF(足元帳!AT159="","",足元帳!AT159)</f>
        <v/>
      </c>
      <c r="U159" s="125" t="str">
        <f>IF(足元帳!AH159="●",足元帳!$AH$1&amp;足元帳!AW159,"")</f>
        <v/>
      </c>
      <c r="V159" s="125" t="str">
        <f>IF(足元帳!AI159="●",足元帳!$AI$1&amp;足元帳!AW159,"")</f>
        <v/>
      </c>
      <c r="W159" s="125" t="str">
        <f>IF(足元帳!AX159="","",足元帳!AX159)</f>
        <v/>
      </c>
      <c r="X159" s="125">
        <f>足元帳!BJ159</f>
        <v>0</v>
      </c>
    </row>
    <row r="160" spans="1:24" ht="13.15" customHeight="1">
      <c r="A160" s="126">
        <v>159</v>
      </c>
      <c r="B160" s="127" t="str">
        <f>IF(足元帳!K160="","",精算表!$W$1)</f>
        <v/>
      </c>
      <c r="C160" s="128" t="str">
        <f>IF(足元帳!K160="","",IF(足元帳!AY160=2,"R","N"))</f>
        <v/>
      </c>
      <c r="D160" s="128" t="str">
        <f>IF(足元帳!K160="","",IF(足元帳!AZ160=1,"姫",IF(足元帳!AZ160=2,"本指名",IF(足元帳!AZ160=3,"NET",IF(足元帳!AZ160=4,"写真","")))))</f>
        <v/>
      </c>
      <c r="E160" s="128" t="str">
        <f>IF(足元帳!K160="","",足元帳!K160)</f>
        <v/>
      </c>
      <c r="F160" s="128" t="str">
        <f>IF(足元帳!K160="","",IF(足元帳!BB160=1,45,IF(足元帳!BB160=2,60,IF(足元帳!BB160=3,75,IF(足元帳!BB160=4,90,IF(足元帳!BB160=5,120,IF(足元帳!BB160=6,150,IF(足元帳!BB160=7,180,""))))))))</f>
        <v/>
      </c>
      <c r="G160" s="128" t="str">
        <f>IF(足元帳!K160="","",足元帳!A160)</f>
        <v/>
      </c>
      <c r="H160" s="125" t="str">
        <f>IF(足元帳!AP160="","",$H$1)</f>
        <v/>
      </c>
      <c r="I160" s="125" t="str">
        <f>IF(足元帳!AQ160="","",$I$1)</f>
        <v/>
      </c>
      <c r="J160" s="125" t="str">
        <f>IF(足元帳!AR160="","",$J$1)</f>
        <v/>
      </c>
      <c r="K160" s="125" t="str">
        <f>IF(足元帳!AS160="","",$K$1)</f>
        <v/>
      </c>
      <c r="L160" s="291" t="str">
        <f>IF(COUNTIF(足元帳!AT160,"*複合*"),"複合","")</f>
        <v/>
      </c>
      <c r="M160" s="291" t="str">
        <f>IF(COUNTIF(足元帳!AT160,"*店頭本指名*"),"店頭本指名","")</f>
        <v/>
      </c>
      <c r="N160" s="125" t="str">
        <f>IF(足元帳!U160="","",足元帳!U160)</f>
        <v/>
      </c>
      <c r="O160" s="125" t="str">
        <f>IF(足元帳!V160="","",足元帳!V160)</f>
        <v/>
      </c>
      <c r="P160" s="125" t="str">
        <f>IF(足元帳!W160="","",足元帳!W160)</f>
        <v/>
      </c>
      <c r="Q160" s="125" t="str">
        <f>IF(足元帳!X160="","",足元帳!X160)</f>
        <v/>
      </c>
      <c r="R160" s="125" t="str">
        <f>IF(足元帳!Y160="","",足元帳!Y160)</f>
        <v/>
      </c>
      <c r="S160" s="125" t="str">
        <f>IF(足元帳!Z160="","",足元帳!Z160)</f>
        <v/>
      </c>
      <c r="T160" s="125" t="str">
        <f>IF(足元帳!AT160="","",足元帳!AT160)</f>
        <v/>
      </c>
      <c r="U160" s="125" t="str">
        <f>IF(足元帳!AH160="●",足元帳!$AH$1&amp;足元帳!AW160,"")</f>
        <v/>
      </c>
      <c r="V160" s="125" t="str">
        <f>IF(足元帳!AI160="●",足元帳!$AI$1&amp;足元帳!AW160,"")</f>
        <v/>
      </c>
      <c r="W160" s="125" t="str">
        <f>IF(足元帳!AX160="","",足元帳!AX160)</f>
        <v/>
      </c>
      <c r="X160" s="125">
        <f>足元帳!BJ160</f>
        <v>0</v>
      </c>
    </row>
    <row r="161" spans="1:24" ht="13.15" customHeight="1">
      <c r="A161" s="126">
        <v>160</v>
      </c>
      <c r="B161" s="127" t="str">
        <f>IF(足元帳!K161="","",精算表!$W$1)</f>
        <v/>
      </c>
      <c r="C161" s="128" t="str">
        <f>IF(足元帳!K161="","",IF(足元帳!AY161=2,"R","N"))</f>
        <v/>
      </c>
      <c r="D161" s="128" t="str">
        <f>IF(足元帳!K161="","",IF(足元帳!AZ161=1,"姫",IF(足元帳!AZ161=2,"本指名",IF(足元帳!AZ161=3,"NET",IF(足元帳!AZ161=4,"写真","")))))</f>
        <v/>
      </c>
      <c r="E161" s="128" t="str">
        <f>IF(足元帳!K161="","",足元帳!K161)</f>
        <v/>
      </c>
      <c r="F161" s="128" t="str">
        <f>IF(足元帳!K161="","",IF(足元帳!BB161=1,45,IF(足元帳!BB161=2,60,IF(足元帳!BB161=3,75,IF(足元帳!BB161=4,90,IF(足元帳!BB161=5,120,IF(足元帳!BB161=6,150,IF(足元帳!BB161=7,180,""))))))))</f>
        <v/>
      </c>
      <c r="G161" s="128" t="str">
        <f>IF(足元帳!K161="","",足元帳!A161)</f>
        <v/>
      </c>
      <c r="H161" s="125" t="str">
        <f>IF(足元帳!AP161="","",$H$1)</f>
        <v/>
      </c>
      <c r="I161" s="125" t="str">
        <f>IF(足元帳!AQ161="","",$I$1)</f>
        <v/>
      </c>
      <c r="J161" s="125" t="str">
        <f>IF(足元帳!AR161="","",$J$1)</f>
        <v/>
      </c>
      <c r="K161" s="125" t="str">
        <f>IF(足元帳!AS161="","",$K$1)</f>
        <v/>
      </c>
      <c r="L161" s="291" t="str">
        <f>IF(COUNTIF(足元帳!AT161,"*複合*"),"複合","")</f>
        <v/>
      </c>
      <c r="M161" s="291" t="str">
        <f>IF(COUNTIF(足元帳!AT161,"*店頭本指名*"),"店頭本指名","")</f>
        <v/>
      </c>
      <c r="N161" s="125" t="str">
        <f>IF(足元帳!U161="","",足元帳!U161)</f>
        <v/>
      </c>
      <c r="O161" s="125" t="str">
        <f>IF(足元帳!V161="","",足元帳!V161)</f>
        <v/>
      </c>
      <c r="P161" s="125" t="str">
        <f>IF(足元帳!W161="","",足元帳!W161)</f>
        <v/>
      </c>
      <c r="Q161" s="125" t="str">
        <f>IF(足元帳!X161="","",足元帳!X161)</f>
        <v/>
      </c>
      <c r="R161" s="125" t="str">
        <f>IF(足元帳!Y161="","",足元帳!Y161)</f>
        <v/>
      </c>
      <c r="S161" s="125" t="str">
        <f>IF(足元帳!Z161="","",足元帳!Z161)</f>
        <v/>
      </c>
      <c r="T161" s="125" t="str">
        <f>IF(足元帳!AT161="","",足元帳!AT161)</f>
        <v/>
      </c>
      <c r="U161" s="125" t="str">
        <f>IF(足元帳!AH161="●",足元帳!$AH$1&amp;足元帳!AW161,"")</f>
        <v/>
      </c>
      <c r="V161" s="125" t="str">
        <f>IF(足元帳!AI161="●",足元帳!$AI$1&amp;足元帳!AW161,"")</f>
        <v/>
      </c>
      <c r="W161" s="125" t="str">
        <f>IF(足元帳!AX161="","",足元帳!AX161)</f>
        <v/>
      </c>
      <c r="X161" s="125">
        <f>足元帳!BJ161</f>
        <v>0</v>
      </c>
    </row>
    <row r="162" spans="1:24" ht="13.15" customHeight="1">
      <c r="A162" s="126">
        <v>161</v>
      </c>
      <c r="B162" s="127" t="str">
        <f>IF(足元帳!K162="","",精算表!$W$1)</f>
        <v/>
      </c>
      <c r="C162" s="128" t="str">
        <f>IF(足元帳!K162="","",IF(足元帳!AY162=2,"R","N"))</f>
        <v/>
      </c>
      <c r="D162" s="128" t="str">
        <f>IF(足元帳!K162="","",IF(足元帳!AZ162=1,"姫",IF(足元帳!AZ162=2,"本指名",IF(足元帳!AZ162=3,"NET",IF(足元帳!AZ162=4,"写真","")))))</f>
        <v/>
      </c>
      <c r="E162" s="128" t="str">
        <f>IF(足元帳!K162="","",足元帳!K162)</f>
        <v/>
      </c>
      <c r="F162" s="128" t="str">
        <f>IF(足元帳!K162="","",IF(足元帳!BB162=1,45,IF(足元帳!BB162=2,60,IF(足元帳!BB162=3,75,IF(足元帳!BB162=4,90,IF(足元帳!BB162=5,120,IF(足元帳!BB162=6,150,IF(足元帳!BB162=7,180,""))))))))</f>
        <v/>
      </c>
      <c r="G162" s="128" t="str">
        <f>IF(足元帳!K162="","",足元帳!A162)</f>
        <v/>
      </c>
      <c r="H162" s="125" t="str">
        <f>IF(足元帳!AP162="","",$H$1)</f>
        <v/>
      </c>
      <c r="I162" s="125" t="str">
        <f>IF(足元帳!AQ162="","",$I$1)</f>
        <v/>
      </c>
      <c r="J162" s="125" t="str">
        <f>IF(足元帳!AR162="","",$J$1)</f>
        <v/>
      </c>
      <c r="K162" s="125" t="str">
        <f>IF(足元帳!AS162="","",$K$1)</f>
        <v/>
      </c>
      <c r="L162" s="291" t="str">
        <f>IF(COUNTIF(足元帳!AT162,"*複合*"),"複合","")</f>
        <v/>
      </c>
      <c r="M162" s="291" t="str">
        <f>IF(COUNTIF(足元帳!AT162,"*店頭本指名*"),"店頭本指名","")</f>
        <v/>
      </c>
      <c r="N162" s="125" t="str">
        <f>IF(足元帳!U162="","",足元帳!U162)</f>
        <v/>
      </c>
      <c r="O162" s="125" t="str">
        <f>IF(足元帳!V162="","",足元帳!V162)</f>
        <v/>
      </c>
      <c r="P162" s="125" t="str">
        <f>IF(足元帳!W162="","",足元帳!W162)</f>
        <v/>
      </c>
      <c r="Q162" s="125" t="str">
        <f>IF(足元帳!X162="","",足元帳!X162)</f>
        <v/>
      </c>
      <c r="R162" s="125" t="str">
        <f>IF(足元帳!Y162="","",足元帳!Y162)</f>
        <v/>
      </c>
      <c r="S162" s="125" t="str">
        <f>IF(足元帳!Z162="","",足元帳!Z162)</f>
        <v/>
      </c>
      <c r="T162" s="125" t="str">
        <f>IF(足元帳!AT162="","",足元帳!AT162)</f>
        <v/>
      </c>
      <c r="U162" s="125" t="str">
        <f>IF(足元帳!AH162="●",足元帳!$AH$1&amp;足元帳!AW162,"")</f>
        <v/>
      </c>
      <c r="V162" s="125" t="str">
        <f>IF(足元帳!AI162="●",足元帳!$AI$1&amp;足元帳!AW162,"")</f>
        <v/>
      </c>
      <c r="W162" s="125" t="str">
        <f>IF(足元帳!AX162="","",足元帳!AX162)</f>
        <v/>
      </c>
      <c r="X162" s="125">
        <f>足元帳!BJ162</f>
        <v>0</v>
      </c>
    </row>
    <row r="163" spans="1:24" ht="13.15" customHeight="1">
      <c r="A163" s="126">
        <v>162</v>
      </c>
      <c r="B163" s="127" t="str">
        <f>IF(足元帳!K163="","",精算表!$W$1)</f>
        <v/>
      </c>
      <c r="C163" s="128" t="str">
        <f>IF(足元帳!K163="","",IF(足元帳!AY163=2,"R","N"))</f>
        <v/>
      </c>
      <c r="D163" s="128" t="str">
        <f>IF(足元帳!K163="","",IF(足元帳!AZ163=1,"姫",IF(足元帳!AZ163=2,"本指名",IF(足元帳!AZ163=3,"NET",IF(足元帳!AZ163=4,"写真","")))))</f>
        <v/>
      </c>
      <c r="E163" s="128" t="str">
        <f>IF(足元帳!K163="","",足元帳!K163)</f>
        <v/>
      </c>
      <c r="F163" s="128" t="str">
        <f>IF(足元帳!K163="","",IF(足元帳!BB163=1,45,IF(足元帳!BB163=2,60,IF(足元帳!BB163=3,75,IF(足元帳!BB163=4,90,IF(足元帳!BB163=5,120,IF(足元帳!BB163=6,150,IF(足元帳!BB163=7,180,""))))))))</f>
        <v/>
      </c>
      <c r="G163" s="128" t="str">
        <f>IF(足元帳!K163="","",足元帳!A163)</f>
        <v/>
      </c>
      <c r="H163" s="125" t="str">
        <f>IF(足元帳!AP163="","",$H$1)</f>
        <v/>
      </c>
      <c r="I163" s="125" t="str">
        <f>IF(足元帳!AQ163="","",$I$1)</f>
        <v/>
      </c>
      <c r="J163" s="125" t="str">
        <f>IF(足元帳!AR163="","",$J$1)</f>
        <v/>
      </c>
      <c r="K163" s="125" t="str">
        <f>IF(足元帳!AS163="","",$K$1)</f>
        <v/>
      </c>
      <c r="L163" s="291" t="str">
        <f>IF(COUNTIF(足元帳!AT163,"*複合*"),"複合","")</f>
        <v/>
      </c>
      <c r="M163" s="291" t="str">
        <f>IF(COUNTIF(足元帳!AT163,"*店頭本指名*"),"店頭本指名","")</f>
        <v/>
      </c>
      <c r="N163" s="125" t="str">
        <f>IF(足元帳!U163="","",足元帳!U163)</f>
        <v/>
      </c>
      <c r="O163" s="125" t="str">
        <f>IF(足元帳!V163="","",足元帳!V163)</f>
        <v/>
      </c>
      <c r="P163" s="125" t="str">
        <f>IF(足元帳!W163="","",足元帳!W163)</f>
        <v/>
      </c>
      <c r="Q163" s="125" t="str">
        <f>IF(足元帳!X163="","",足元帳!X163)</f>
        <v/>
      </c>
      <c r="R163" s="125" t="str">
        <f>IF(足元帳!Y163="","",足元帳!Y163)</f>
        <v/>
      </c>
      <c r="S163" s="125" t="str">
        <f>IF(足元帳!Z163="","",足元帳!Z163)</f>
        <v/>
      </c>
      <c r="T163" s="125" t="str">
        <f>IF(足元帳!AT163="","",足元帳!AT163)</f>
        <v/>
      </c>
      <c r="U163" s="125" t="str">
        <f>IF(足元帳!AH163="●",足元帳!$AH$1&amp;足元帳!AW163,"")</f>
        <v/>
      </c>
      <c r="V163" s="125" t="str">
        <f>IF(足元帳!AI163="●",足元帳!$AI$1&amp;足元帳!AW163,"")</f>
        <v/>
      </c>
      <c r="W163" s="125" t="str">
        <f>IF(足元帳!AX163="","",足元帳!AX163)</f>
        <v/>
      </c>
      <c r="X163" s="125">
        <f>足元帳!BJ163</f>
        <v>0</v>
      </c>
    </row>
    <row r="164" spans="1:24" ht="13.15" customHeight="1">
      <c r="A164" s="126">
        <v>163</v>
      </c>
      <c r="B164" s="127" t="str">
        <f>IF(足元帳!K164="","",精算表!$W$1)</f>
        <v/>
      </c>
      <c r="C164" s="128" t="str">
        <f>IF(足元帳!K164="","",IF(足元帳!AY164=2,"R","N"))</f>
        <v/>
      </c>
      <c r="D164" s="128" t="str">
        <f>IF(足元帳!K164="","",IF(足元帳!AZ164=1,"姫",IF(足元帳!AZ164=2,"本指名",IF(足元帳!AZ164=3,"NET",IF(足元帳!AZ164=4,"写真","")))))</f>
        <v/>
      </c>
      <c r="E164" s="128" t="str">
        <f>IF(足元帳!K164="","",足元帳!K164)</f>
        <v/>
      </c>
      <c r="F164" s="128" t="str">
        <f>IF(足元帳!K164="","",IF(足元帳!BB164=1,45,IF(足元帳!BB164=2,60,IF(足元帳!BB164=3,75,IF(足元帳!BB164=4,90,IF(足元帳!BB164=5,120,IF(足元帳!BB164=6,150,IF(足元帳!BB164=7,180,""))))))))</f>
        <v/>
      </c>
      <c r="G164" s="128" t="str">
        <f>IF(足元帳!K164="","",足元帳!A164)</f>
        <v/>
      </c>
      <c r="H164" s="125" t="str">
        <f>IF(足元帳!AP164="","",$H$1)</f>
        <v/>
      </c>
      <c r="I164" s="125" t="str">
        <f>IF(足元帳!AQ164="","",$I$1)</f>
        <v/>
      </c>
      <c r="J164" s="125" t="str">
        <f>IF(足元帳!AR164="","",$J$1)</f>
        <v/>
      </c>
      <c r="K164" s="125" t="str">
        <f>IF(足元帳!AS164="","",$K$1)</f>
        <v/>
      </c>
      <c r="L164" s="291" t="str">
        <f>IF(COUNTIF(足元帳!AT164,"*複合*"),"複合","")</f>
        <v/>
      </c>
      <c r="M164" s="291" t="str">
        <f>IF(COUNTIF(足元帳!AT164,"*店頭本指名*"),"店頭本指名","")</f>
        <v/>
      </c>
      <c r="N164" s="125" t="str">
        <f>IF(足元帳!U164="","",足元帳!U164)</f>
        <v/>
      </c>
      <c r="O164" s="125" t="str">
        <f>IF(足元帳!V164="","",足元帳!V164)</f>
        <v/>
      </c>
      <c r="P164" s="125" t="str">
        <f>IF(足元帳!W164="","",足元帳!W164)</f>
        <v/>
      </c>
      <c r="Q164" s="125" t="str">
        <f>IF(足元帳!X164="","",足元帳!X164)</f>
        <v/>
      </c>
      <c r="R164" s="125" t="str">
        <f>IF(足元帳!Y164="","",足元帳!Y164)</f>
        <v/>
      </c>
      <c r="S164" s="125" t="str">
        <f>IF(足元帳!Z164="","",足元帳!Z164)</f>
        <v/>
      </c>
      <c r="T164" s="125" t="str">
        <f>IF(足元帳!AT164="","",足元帳!AT164)</f>
        <v/>
      </c>
      <c r="U164" s="125" t="str">
        <f>IF(足元帳!AH164="●",足元帳!$AH$1&amp;足元帳!AW164,"")</f>
        <v/>
      </c>
      <c r="V164" s="125" t="str">
        <f>IF(足元帳!AI164="●",足元帳!$AI$1&amp;足元帳!AW164,"")</f>
        <v/>
      </c>
      <c r="W164" s="125" t="str">
        <f>IF(足元帳!AX164="","",足元帳!AX164)</f>
        <v/>
      </c>
      <c r="X164" s="125">
        <f>足元帳!BJ164</f>
        <v>0</v>
      </c>
    </row>
    <row r="165" spans="1:24" ht="13.15" customHeight="1">
      <c r="A165" s="126">
        <v>164</v>
      </c>
      <c r="B165" s="127" t="str">
        <f>IF(足元帳!K165="","",精算表!$W$1)</f>
        <v/>
      </c>
      <c r="C165" s="128" t="str">
        <f>IF(足元帳!K165="","",IF(足元帳!AY165=2,"R","N"))</f>
        <v/>
      </c>
      <c r="D165" s="128" t="str">
        <f>IF(足元帳!K165="","",IF(足元帳!AZ165=1,"姫",IF(足元帳!AZ165=2,"本指名",IF(足元帳!AZ165=3,"NET",IF(足元帳!AZ165=4,"写真","")))))</f>
        <v/>
      </c>
      <c r="E165" s="128" t="str">
        <f>IF(足元帳!K165="","",足元帳!K165)</f>
        <v/>
      </c>
      <c r="F165" s="128" t="str">
        <f>IF(足元帳!K165="","",IF(足元帳!BB165=1,45,IF(足元帳!BB165=2,60,IF(足元帳!BB165=3,75,IF(足元帳!BB165=4,90,IF(足元帳!BB165=5,120,IF(足元帳!BB165=6,150,IF(足元帳!BB165=7,180,""))))))))</f>
        <v/>
      </c>
      <c r="G165" s="128" t="str">
        <f>IF(足元帳!K165="","",足元帳!A165)</f>
        <v/>
      </c>
      <c r="H165" s="125" t="str">
        <f>IF(足元帳!AP165="","",$H$1)</f>
        <v/>
      </c>
      <c r="I165" s="125" t="str">
        <f>IF(足元帳!AQ165="","",$I$1)</f>
        <v/>
      </c>
      <c r="J165" s="125" t="str">
        <f>IF(足元帳!AR165="","",$J$1)</f>
        <v/>
      </c>
      <c r="K165" s="125" t="str">
        <f>IF(足元帳!AS165="","",$K$1)</f>
        <v/>
      </c>
      <c r="L165" s="291" t="str">
        <f>IF(COUNTIF(足元帳!AT165,"*複合*"),"複合","")</f>
        <v/>
      </c>
      <c r="M165" s="291" t="str">
        <f>IF(COUNTIF(足元帳!AT165,"*店頭本指名*"),"店頭本指名","")</f>
        <v/>
      </c>
      <c r="N165" s="125" t="str">
        <f>IF(足元帳!U165="","",足元帳!U165)</f>
        <v/>
      </c>
      <c r="O165" s="125" t="str">
        <f>IF(足元帳!V165="","",足元帳!V165)</f>
        <v/>
      </c>
      <c r="P165" s="125" t="str">
        <f>IF(足元帳!W165="","",足元帳!W165)</f>
        <v/>
      </c>
      <c r="Q165" s="125" t="str">
        <f>IF(足元帳!X165="","",足元帳!X165)</f>
        <v/>
      </c>
      <c r="R165" s="125" t="str">
        <f>IF(足元帳!Y165="","",足元帳!Y165)</f>
        <v/>
      </c>
      <c r="S165" s="125" t="str">
        <f>IF(足元帳!Z165="","",足元帳!Z165)</f>
        <v/>
      </c>
      <c r="T165" s="125" t="str">
        <f>IF(足元帳!AT165="","",足元帳!AT165)</f>
        <v/>
      </c>
      <c r="U165" s="125" t="str">
        <f>IF(足元帳!AH165="●",足元帳!$AH$1&amp;足元帳!AW165,"")</f>
        <v/>
      </c>
      <c r="V165" s="125" t="str">
        <f>IF(足元帳!AI165="●",足元帳!$AI$1&amp;足元帳!AW165,"")</f>
        <v/>
      </c>
      <c r="W165" s="125" t="str">
        <f>IF(足元帳!AX165="","",足元帳!AX165)</f>
        <v/>
      </c>
      <c r="X165" s="125">
        <f>足元帳!BJ165</f>
        <v>0</v>
      </c>
    </row>
    <row r="166" spans="1:24" ht="13.15" customHeight="1">
      <c r="A166" s="126">
        <v>165</v>
      </c>
      <c r="B166" s="127" t="str">
        <f>IF(足元帳!K166="","",精算表!$W$1)</f>
        <v/>
      </c>
      <c r="C166" s="128" t="str">
        <f>IF(足元帳!K166="","",IF(足元帳!AY166=2,"R","N"))</f>
        <v/>
      </c>
      <c r="D166" s="128" t="str">
        <f>IF(足元帳!K166="","",IF(足元帳!AZ166=1,"姫",IF(足元帳!AZ166=2,"本指名",IF(足元帳!AZ166=3,"NET",IF(足元帳!AZ166=4,"写真","")))))</f>
        <v/>
      </c>
      <c r="E166" s="128" t="str">
        <f>IF(足元帳!K166="","",足元帳!K166)</f>
        <v/>
      </c>
      <c r="F166" s="128" t="str">
        <f>IF(足元帳!K166="","",IF(足元帳!BB166=1,45,IF(足元帳!BB166=2,60,IF(足元帳!BB166=3,75,IF(足元帳!BB166=4,90,IF(足元帳!BB166=5,120,IF(足元帳!BB166=6,150,IF(足元帳!BB166=7,180,""))))))))</f>
        <v/>
      </c>
      <c r="G166" s="128" t="str">
        <f>IF(足元帳!K166="","",足元帳!A166)</f>
        <v/>
      </c>
      <c r="H166" s="125" t="str">
        <f>IF(足元帳!AP166="","",$H$1)</f>
        <v/>
      </c>
      <c r="I166" s="125" t="str">
        <f>IF(足元帳!AQ166="","",$I$1)</f>
        <v/>
      </c>
      <c r="J166" s="125" t="str">
        <f>IF(足元帳!AR166="","",$J$1)</f>
        <v/>
      </c>
      <c r="K166" s="125" t="str">
        <f>IF(足元帳!AS166="","",$K$1)</f>
        <v/>
      </c>
      <c r="L166" s="291" t="str">
        <f>IF(COUNTIF(足元帳!AT166,"*複合*"),"複合","")</f>
        <v/>
      </c>
      <c r="M166" s="291" t="str">
        <f>IF(COUNTIF(足元帳!AT166,"*店頭本指名*"),"店頭本指名","")</f>
        <v/>
      </c>
      <c r="N166" s="125" t="str">
        <f>IF(足元帳!U166="","",足元帳!U166)</f>
        <v/>
      </c>
      <c r="O166" s="125" t="str">
        <f>IF(足元帳!V166="","",足元帳!V166)</f>
        <v/>
      </c>
      <c r="P166" s="125" t="str">
        <f>IF(足元帳!W166="","",足元帳!W166)</f>
        <v/>
      </c>
      <c r="Q166" s="125" t="str">
        <f>IF(足元帳!X166="","",足元帳!X166)</f>
        <v/>
      </c>
      <c r="R166" s="125" t="str">
        <f>IF(足元帳!Y166="","",足元帳!Y166)</f>
        <v/>
      </c>
      <c r="S166" s="125" t="str">
        <f>IF(足元帳!Z166="","",足元帳!Z166)</f>
        <v/>
      </c>
      <c r="T166" s="125" t="str">
        <f>IF(足元帳!AT166="","",足元帳!AT166)</f>
        <v/>
      </c>
      <c r="U166" s="125" t="str">
        <f>IF(足元帳!AH166="●",足元帳!$AH$1&amp;足元帳!AW166,"")</f>
        <v/>
      </c>
      <c r="V166" s="125" t="str">
        <f>IF(足元帳!AI166="●",足元帳!$AI$1&amp;足元帳!AW166,"")</f>
        <v/>
      </c>
      <c r="W166" s="125" t="str">
        <f>IF(足元帳!AX166="","",足元帳!AX166)</f>
        <v/>
      </c>
      <c r="X166" s="125">
        <f>足元帳!BJ166</f>
        <v>0</v>
      </c>
    </row>
    <row r="167" spans="1:24" ht="13.15" customHeight="1">
      <c r="A167" s="126">
        <v>166</v>
      </c>
      <c r="B167" s="127" t="str">
        <f>IF(足元帳!K167="","",精算表!$W$1)</f>
        <v/>
      </c>
      <c r="C167" s="128" t="str">
        <f>IF(足元帳!K167="","",IF(足元帳!AY167=2,"R","N"))</f>
        <v/>
      </c>
      <c r="D167" s="128" t="str">
        <f>IF(足元帳!K167="","",IF(足元帳!AZ167=1,"姫",IF(足元帳!AZ167=2,"本指名",IF(足元帳!AZ167=3,"NET",IF(足元帳!AZ167=4,"写真","")))))</f>
        <v/>
      </c>
      <c r="E167" s="128" t="str">
        <f>IF(足元帳!K167="","",足元帳!K167)</f>
        <v/>
      </c>
      <c r="F167" s="128" t="str">
        <f>IF(足元帳!K167="","",IF(足元帳!BB167=1,45,IF(足元帳!BB167=2,60,IF(足元帳!BB167=3,75,IF(足元帳!BB167=4,90,IF(足元帳!BB167=5,120,IF(足元帳!BB167=6,150,IF(足元帳!BB167=7,180,""))))))))</f>
        <v/>
      </c>
      <c r="G167" s="128" t="str">
        <f>IF(足元帳!K167="","",足元帳!A167)</f>
        <v/>
      </c>
      <c r="H167" s="125" t="str">
        <f>IF(足元帳!AP167="","",$H$1)</f>
        <v/>
      </c>
      <c r="I167" s="125" t="str">
        <f>IF(足元帳!AQ167="","",$I$1)</f>
        <v/>
      </c>
      <c r="J167" s="125" t="str">
        <f>IF(足元帳!AR167="","",$J$1)</f>
        <v/>
      </c>
      <c r="K167" s="125" t="str">
        <f>IF(足元帳!AS167="","",$K$1)</f>
        <v/>
      </c>
      <c r="L167" s="291" t="str">
        <f>IF(COUNTIF(足元帳!AT167,"*複合*"),"複合","")</f>
        <v/>
      </c>
      <c r="M167" s="291" t="str">
        <f>IF(COUNTIF(足元帳!AT167,"*店頭本指名*"),"店頭本指名","")</f>
        <v/>
      </c>
      <c r="N167" s="125" t="str">
        <f>IF(足元帳!U167="","",足元帳!U167)</f>
        <v/>
      </c>
      <c r="O167" s="125" t="str">
        <f>IF(足元帳!V167="","",足元帳!V167)</f>
        <v/>
      </c>
      <c r="P167" s="125" t="str">
        <f>IF(足元帳!W167="","",足元帳!W167)</f>
        <v/>
      </c>
      <c r="Q167" s="125" t="str">
        <f>IF(足元帳!X167="","",足元帳!X167)</f>
        <v/>
      </c>
      <c r="R167" s="125" t="str">
        <f>IF(足元帳!Y167="","",足元帳!Y167)</f>
        <v/>
      </c>
      <c r="S167" s="125" t="str">
        <f>IF(足元帳!Z167="","",足元帳!Z167)</f>
        <v/>
      </c>
      <c r="T167" s="125" t="str">
        <f>IF(足元帳!AT167="","",足元帳!AT167)</f>
        <v/>
      </c>
      <c r="U167" s="125" t="str">
        <f>IF(足元帳!AH167="●",足元帳!$AH$1&amp;足元帳!AW167,"")</f>
        <v/>
      </c>
      <c r="V167" s="125" t="str">
        <f>IF(足元帳!AI167="●",足元帳!$AI$1&amp;足元帳!AW167,"")</f>
        <v/>
      </c>
      <c r="W167" s="125" t="str">
        <f>IF(足元帳!AX167="","",足元帳!AX167)</f>
        <v/>
      </c>
      <c r="X167" s="125">
        <f>足元帳!BJ167</f>
        <v>0</v>
      </c>
    </row>
    <row r="168" spans="1:24" ht="13.15" customHeight="1">
      <c r="A168" s="126">
        <v>167</v>
      </c>
      <c r="B168" s="127" t="str">
        <f>IF(足元帳!K168="","",精算表!$W$1)</f>
        <v/>
      </c>
      <c r="C168" s="128" t="str">
        <f>IF(足元帳!K168="","",IF(足元帳!AY168=2,"R","N"))</f>
        <v/>
      </c>
      <c r="D168" s="128" t="str">
        <f>IF(足元帳!K168="","",IF(足元帳!AZ168=1,"姫",IF(足元帳!AZ168=2,"本指名",IF(足元帳!AZ168=3,"NET",IF(足元帳!AZ168=4,"写真","")))))</f>
        <v/>
      </c>
      <c r="E168" s="128" t="str">
        <f>IF(足元帳!K168="","",足元帳!K168)</f>
        <v/>
      </c>
      <c r="F168" s="128" t="str">
        <f>IF(足元帳!K168="","",IF(足元帳!BB168=1,45,IF(足元帳!BB168=2,60,IF(足元帳!BB168=3,75,IF(足元帳!BB168=4,90,IF(足元帳!BB168=5,120,IF(足元帳!BB168=6,150,IF(足元帳!BB168=7,180,""))))))))</f>
        <v/>
      </c>
      <c r="G168" s="128" t="str">
        <f>IF(足元帳!K168="","",足元帳!A168)</f>
        <v/>
      </c>
      <c r="H168" s="125" t="str">
        <f>IF(足元帳!AP168="","",$H$1)</f>
        <v/>
      </c>
      <c r="I168" s="125" t="str">
        <f>IF(足元帳!AQ168="","",$I$1)</f>
        <v/>
      </c>
      <c r="J168" s="125" t="str">
        <f>IF(足元帳!AR168="","",$J$1)</f>
        <v/>
      </c>
      <c r="K168" s="125" t="str">
        <f>IF(足元帳!AS168="","",$K$1)</f>
        <v/>
      </c>
      <c r="L168" s="291" t="str">
        <f>IF(COUNTIF(足元帳!AT168,"*複合*"),"複合","")</f>
        <v/>
      </c>
      <c r="M168" s="291" t="str">
        <f>IF(COUNTIF(足元帳!AT168,"*店頭本指名*"),"店頭本指名","")</f>
        <v/>
      </c>
      <c r="N168" s="125" t="str">
        <f>IF(足元帳!U168="","",足元帳!U168)</f>
        <v/>
      </c>
      <c r="O168" s="125" t="str">
        <f>IF(足元帳!V168="","",足元帳!V168)</f>
        <v/>
      </c>
      <c r="P168" s="125" t="str">
        <f>IF(足元帳!W168="","",足元帳!W168)</f>
        <v/>
      </c>
      <c r="Q168" s="125" t="str">
        <f>IF(足元帳!X168="","",足元帳!X168)</f>
        <v/>
      </c>
      <c r="R168" s="125" t="str">
        <f>IF(足元帳!Y168="","",足元帳!Y168)</f>
        <v/>
      </c>
      <c r="S168" s="125" t="str">
        <f>IF(足元帳!Z168="","",足元帳!Z168)</f>
        <v/>
      </c>
      <c r="T168" s="125" t="str">
        <f>IF(足元帳!AT168="","",足元帳!AT168)</f>
        <v/>
      </c>
      <c r="U168" s="125" t="str">
        <f>IF(足元帳!AH168="●",足元帳!$AH$1&amp;足元帳!AW168,"")</f>
        <v/>
      </c>
      <c r="V168" s="125" t="str">
        <f>IF(足元帳!AI168="●",足元帳!$AI$1&amp;足元帳!AW168,"")</f>
        <v/>
      </c>
      <c r="W168" s="125" t="str">
        <f>IF(足元帳!AX168="","",足元帳!AX168)</f>
        <v/>
      </c>
      <c r="X168" s="125">
        <f>足元帳!BJ168</f>
        <v>0</v>
      </c>
    </row>
    <row r="169" spans="1:24" ht="13.15" customHeight="1">
      <c r="A169" s="126">
        <v>168</v>
      </c>
      <c r="B169" s="127" t="str">
        <f>IF(足元帳!K169="","",精算表!$W$1)</f>
        <v/>
      </c>
      <c r="C169" s="128" t="str">
        <f>IF(足元帳!K169="","",IF(足元帳!AY169=2,"R","N"))</f>
        <v/>
      </c>
      <c r="D169" s="128" t="str">
        <f>IF(足元帳!K169="","",IF(足元帳!AZ169=1,"姫",IF(足元帳!AZ169=2,"本指名",IF(足元帳!AZ169=3,"NET",IF(足元帳!AZ169=4,"写真","")))))</f>
        <v/>
      </c>
      <c r="E169" s="128" t="str">
        <f>IF(足元帳!K169="","",足元帳!K169)</f>
        <v/>
      </c>
      <c r="F169" s="128" t="str">
        <f>IF(足元帳!K169="","",IF(足元帳!BB169=1,45,IF(足元帳!BB169=2,60,IF(足元帳!BB169=3,75,IF(足元帳!BB169=4,90,IF(足元帳!BB169=5,120,IF(足元帳!BB169=6,150,IF(足元帳!BB169=7,180,""))))))))</f>
        <v/>
      </c>
      <c r="G169" s="128" t="str">
        <f>IF(足元帳!K169="","",足元帳!A169)</f>
        <v/>
      </c>
      <c r="H169" s="125" t="str">
        <f>IF(足元帳!AP169="","",$H$1)</f>
        <v/>
      </c>
      <c r="I169" s="125" t="str">
        <f>IF(足元帳!AQ169="","",$I$1)</f>
        <v/>
      </c>
      <c r="J169" s="125" t="str">
        <f>IF(足元帳!AR169="","",$J$1)</f>
        <v/>
      </c>
      <c r="K169" s="125" t="str">
        <f>IF(足元帳!AS169="","",$K$1)</f>
        <v/>
      </c>
      <c r="L169" s="291" t="str">
        <f>IF(COUNTIF(足元帳!AT169,"*複合*"),"複合","")</f>
        <v/>
      </c>
      <c r="M169" s="291" t="str">
        <f>IF(COUNTIF(足元帳!AT169,"*店頭本指名*"),"店頭本指名","")</f>
        <v/>
      </c>
      <c r="N169" s="125" t="str">
        <f>IF(足元帳!U169="","",足元帳!U169)</f>
        <v/>
      </c>
      <c r="O169" s="125" t="str">
        <f>IF(足元帳!V169="","",足元帳!V169)</f>
        <v/>
      </c>
      <c r="P169" s="125" t="str">
        <f>IF(足元帳!W169="","",足元帳!W169)</f>
        <v/>
      </c>
      <c r="Q169" s="125" t="str">
        <f>IF(足元帳!X169="","",足元帳!X169)</f>
        <v/>
      </c>
      <c r="R169" s="125" t="str">
        <f>IF(足元帳!Y169="","",足元帳!Y169)</f>
        <v/>
      </c>
      <c r="S169" s="125" t="str">
        <f>IF(足元帳!Z169="","",足元帳!Z169)</f>
        <v/>
      </c>
      <c r="T169" s="125" t="str">
        <f>IF(足元帳!AT169="","",足元帳!AT169)</f>
        <v/>
      </c>
      <c r="U169" s="125" t="str">
        <f>IF(足元帳!AH169="●",足元帳!$AH$1&amp;足元帳!AW169,"")</f>
        <v/>
      </c>
      <c r="V169" s="125" t="str">
        <f>IF(足元帳!AI169="●",足元帳!$AI$1&amp;足元帳!AW169,"")</f>
        <v/>
      </c>
      <c r="W169" s="125" t="str">
        <f>IF(足元帳!AX169="","",足元帳!AX169)</f>
        <v/>
      </c>
      <c r="X169" s="125">
        <f>足元帳!BJ169</f>
        <v>0</v>
      </c>
    </row>
    <row r="170" spans="1:24" ht="13.15" customHeight="1">
      <c r="A170" s="126">
        <v>169</v>
      </c>
      <c r="B170" s="127" t="str">
        <f>IF(足元帳!K170="","",精算表!$W$1)</f>
        <v/>
      </c>
      <c r="C170" s="128" t="str">
        <f>IF(足元帳!K170="","",IF(足元帳!AY170=2,"R","N"))</f>
        <v/>
      </c>
      <c r="D170" s="128" t="str">
        <f>IF(足元帳!K170="","",IF(足元帳!AZ170=1,"姫",IF(足元帳!AZ170=2,"本指名",IF(足元帳!AZ170=3,"NET",IF(足元帳!AZ170=4,"写真","")))))</f>
        <v/>
      </c>
      <c r="E170" s="128" t="str">
        <f>IF(足元帳!K170="","",足元帳!K170)</f>
        <v/>
      </c>
      <c r="F170" s="128" t="str">
        <f>IF(足元帳!K170="","",IF(足元帳!BB170=1,45,IF(足元帳!BB170=2,60,IF(足元帳!BB170=3,75,IF(足元帳!BB170=4,90,IF(足元帳!BB170=5,120,IF(足元帳!BB170=6,150,IF(足元帳!BB170=7,180,""))))))))</f>
        <v/>
      </c>
      <c r="G170" s="128" t="str">
        <f>IF(足元帳!K170="","",足元帳!A170)</f>
        <v/>
      </c>
      <c r="H170" s="125" t="str">
        <f>IF(足元帳!AP170="","",$H$1)</f>
        <v/>
      </c>
      <c r="I170" s="125" t="str">
        <f>IF(足元帳!AQ170="","",$I$1)</f>
        <v/>
      </c>
      <c r="J170" s="125" t="str">
        <f>IF(足元帳!AR170="","",$J$1)</f>
        <v/>
      </c>
      <c r="K170" s="125" t="str">
        <f>IF(足元帳!AS170="","",$K$1)</f>
        <v/>
      </c>
      <c r="L170" s="291" t="str">
        <f>IF(COUNTIF(足元帳!AT170,"*複合*"),"複合","")</f>
        <v/>
      </c>
      <c r="M170" s="291" t="str">
        <f>IF(COUNTIF(足元帳!AT170,"*店頭本指名*"),"店頭本指名","")</f>
        <v/>
      </c>
      <c r="N170" s="125" t="str">
        <f>IF(足元帳!U170="","",足元帳!U170)</f>
        <v/>
      </c>
      <c r="O170" s="125" t="str">
        <f>IF(足元帳!V170="","",足元帳!V170)</f>
        <v/>
      </c>
      <c r="P170" s="125" t="str">
        <f>IF(足元帳!W170="","",足元帳!W170)</f>
        <v/>
      </c>
      <c r="Q170" s="125" t="str">
        <f>IF(足元帳!X170="","",足元帳!X170)</f>
        <v/>
      </c>
      <c r="R170" s="125" t="str">
        <f>IF(足元帳!Y170="","",足元帳!Y170)</f>
        <v/>
      </c>
      <c r="S170" s="125" t="str">
        <f>IF(足元帳!Z170="","",足元帳!Z170)</f>
        <v/>
      </c>
      <c r="T170" s="125" t="str">
        <f>IF(足元帳!AT170="","",足元帳!AT170)</f>
        <v/>
      </c>
      <c r="U170" s="125" t="str">
        <f>IF(足元帳!AH170="●",足元帳!$AH$1&amp;足元帳!AW170,"")</f>
        <v/>
      </c>
      <c r="V170" s="125" t="str">
        <f>IF(足元帳!AI170="●",足元帳!$AI$1&amp;足元帳!AW170,"")</f>
        <v/>
      </c>
      <c r="W170" s="125" t="str">
        <f>IF(足元帳!AX170="","",足元帳!AX170)</f>
        <v/>
      </c>
      <c r="X170" s="125">
        <f>足元帳!BJ170</f>
        <v>0</v>
      </c>
    </row>
    <row r="171" spans="1:24" ht="13.15" customHeight="1">
      <c r="A171" s="126">
        <v>170</v>
      </c>
      <c r="B171" s="127" t="str">
        <f>IF(足元帳!K171="","",精算表!$W$1)</f>
        <v/>
      </c>
      <c r="C171" s="128" t="str">
        <f>IF(足元帳!K171="","",IF(足元帳!AY171=2,"R","N"))</f>
        <v/>
      </c>
      <c r="D171" s="128" t="str">
        <f>IF(足元帳!K171="","",IF(足元帳!AZ171=1,"姫",IF(足元帳!AZ171=2,"本指名",IF(足元帳!AZ171=3,"NET",IF(足元帳!AZ171=4,"写真","")))))</f>
        <v/>
      </c>
      <c r="E171" s="128" t="str">
        <f>IF(足元帳!K171="","",足元帳!K171)</f>
        <v/>
      </c>
      <c r="F171" s="128" t="str">
        <f>IF(足元帳!K171="","",IF(足元帳!BB171=1,45,IF(足元帳!BB171=2,60,IF(足元帳!BB171=3,75,IF(足元帳!BB171=4,90,IF(足元帳!BB171=5,120,IF(足元帳!BB171=6,150,IF(足元帳!BB171=7,180,""))))))))</f>
        <v/>
      </c>
      <c r="G171" s="128" t="str">
        <f>IF(足元帳!K171="","",足元帳!A171)</f>
        <v/>
      </c>
      <c r="H171" s="125" t="str">
        <f>IF(足元帳!AP171="","",$H$1)</f>
        <v/>
      </c>
      <c r="I171" s="125" t="str">
        <f>IF(足元帳!AQ171="","",$I$1)</f>
        <v/>
      </c>
      <c r="J171" s="125" t="str">
        <f>IF(足元帳!AR171="","",$J$1)</f>
        <v/>
      </c>
      <c r="K171" s="125" t="str">
        <f>IF(足元帳!AS171="","",$K$1)</f>
        <v/>
      </c>
      <c r="L171" s="291" t="str">
        <f>IF(COUNTIF(足元帳!AT171,"*複合*"),"複合","")</f>
        <v/>
      </c>
      <c r="M171" s="291" t="str">
        <f>IF(COUNTIF(足元帳!AT171,"*店頭本指名*"),"店頭本指名","")</f>
        <v/>
      </c>
      <c r="N171" s="125" t="str">
        <f>IF(足元帳!U171="","",足元帳!U171)</f>
        <v/>
      </c>
      <c r="O171" s="125" t="str">
        <f>IF(足元帳!V171="","",足元帳!V171)</f>
        <v/>
      </c>
      <c r="P171" s="125" t="str">
        <f>IF(足元帳!W171="","",足元帳!W171)</f>
        <v/>
      </c>
      <c r="Q171" s="125" t="str">
        <f>IF(足元帳!X171="","",足元帳!X171)</f>
        <v/>
      </c>
      <c r="R171" s="125" t="str">
        <f>IF(足元帳!Y171="","",足元帳!Y171)</f>
        <v/>
      </c>
      <c r="S171" s="125" t="str">
        <f>IF(足元帳!Z171="","",足元帳!Z171)</f>
        <v/>
      </c>
      <c r="T171" s="125" t="str">
        <f>IF(足元帳!AT171="","",足元帳!AT171)</f>
        <v/>
      </c>
      <c r="U171" s="125" t="str">
        <f>IF(足元帳!AH171="●",足元帳!$AH$1&amp;足元帳!AW171,"")</f>
        <v/>
      </c>
      <c r="V171" s="125" t="str">
        <f>IF(足元帳!AI171="●",足元帳!$AI$1&amp;足元帳!AW171,"")</f>
        <v/>
      </c>
      <c r="W171" s="125" t="str">
        <f>IF(足元帳!AX171="","",足元帳!AX171)</f>
        <v/>
      </c>
      <c r="X171" s="125">
        <f>足元帳!BJ171</f>
        <v>0</v>
      </c>
    </row>
    <row r="172" spans="1:24" ht="13.15" customHeight="1">
      <c r="A172" s="126">
        <v>171</v>
      </c>
      <c r="B172" s="127" t="str">
        <f>IF(足元帳!K172="","",精算表!$W$1)</f>
        <v/>
      </c>
      <c r="C172" s="128" t="str">
        <f>IF(足元帳!K172="","",IF(足元帳!AY172=2,"R","N"))</f>
        <v/>
      </c>
      <c r="D172" s="128" t="str">
        <f>IF(足元帳!K172="","",IF(足元帳!AZ172=1,"姫",IF(足元帳!AZ172=2,"本指名",IF(足元帳!AZ172=3,"NET",IF(足元帳!AZ172=4,"写真","")))))</f>
        <v/>
      </c>
      <c r="E172" s="128" t="str">
        <f>IF(足元帳!K172="","",足元帳!K172)</f>
        <v/>
      </c>
      <c r="F172" s="128" t="str">
        <f>IF(足元帳!K172="","",IF(足元帳!BB172=1,45,IF(足元帳!BB172=2,60,IF(足元帳!BB172=3,75,IF(足元帳!BB172=4,90,IF(足元帳!BB172=5,120,IF(足元帳!BB172=6,150,IF(足元帳!BB172=7,180,""))))))))</f>
        <v/>
      </c>
      <c r="G172" s="128" t="str">
        <f>IF(足元帳!K172="","",足元帳!A172)</f>
        <v/>
      </c>
      <c r="H172" s="125" t="str">
        <f>IF(足元帳!AP172="","",$H$1)</f>
        <v/>
      </c>
      <c r="I172" s="125" t="str">
        <f>IF(足元帳!AQ172="","",$I$1)</f>
        <v/>
      </c>
      <c r="J172" s="125" t="str">
        <f>IF(足元帳!AR172="","",$J$1)</f>
        <v/>
      </c>
      <c r="K172" s="125" t="str">
        <f>IF(足元帳!AS172="","",$K$1)</f>
        <v/>
      </c>
      <c r="L172" s="291" t="str">
        <f>IF(COUNTIF(足元帳!AT172,"*複合*"),"複合","")</f>
        <v/>
      </c>
      <c r="M172" s="291" t="str">
        <f>IF(COUNTIF(足元帳!AT172,"*店頭本指名*"),"店頭本指名","")</f>
        <v/>
      </c>
      <c r="N172" s="125" t="str">
        <f>IF(足元帳!U172="","",足元帳!U172)</f>
        <v/>
      </c>
      <c r="O172" s="125" t="str">
        <f>IF(足元帳!V172="","",足元帳!V172)</f>
        <v/>
      </c>
      <c r="P172" s="125" t="str">
        <f>IF(足元帳!W172="","",足元帳!W172)</f>
        <v/>
      </c>
      <c r="Q172" s="125" t="str">
        <f>IF(足元帳!X172="","",足元帳!X172)</f>
        <v/>
      </c>
      <c r="R172" s="125" t="str">
        <f>IF(足元帳!Y172="","",足元帳!Y172)</f>
        <v/>
      </c>
      <c r="S172" s="125" t="str">
        <f>IF(足元帳!Z172="","",足元帳!Z172)</f>
        <v/>
      </c>
      <c r="T172" s="125" t="str">
        <f>IF(足元帳!AT172="","",足元帳!AT172)</f>
        <v/>
      </c>
      <c r="U172" s="125" t="str">
        <f>IF(足元帳!AH172="●",足元帳!$AH$1&amp;足元帳!AW172,"")</f>
        <v/>
      </c>
      <c r="V172" s="125" t="str">
        <f>IF(足元帳!AI172="●",足元帳!$AI$1&amp;足元帳!AW172,"")</f>
        <v/>
      </c>
      <c r="W172" s="125" t="str">
        <f>IF(足元帳!AX172="","",足元帳!AX172)</f>
        <v/>
      </c>
      <c r="X172" s="125">
        <f>足元帳!BJ172</f>
        <v>0</v>
      </c>
    </row>
    <row r="173" spans="1:24" ht="13.15" customHeight="1">
      <c r="A173" s="126">
        <v>172</v>
      </c>
      <c r="B173" s="127" t="str">
        <f>IF(足元帳!K173="","",精算表!$W$1)</f>
        <v/>
      </c>
      <c r="C173" s="128" t="str">
        <f>IF(足元帳!K173="","",IF(足元帳!AY173=2,"R","N"))</f>
        <v/>
      </c>
      <c r="D173" s="128" t="str">
        <f>IF(足元帳!K173="","",IF(足元帳!AZ173=1,"姫",IF(足元帳!AZ173=2,"本指名",IF(足元帳!AZ173=3,"NET",IF(足元帳!AZ173=4,"写真","")))))</f>
        <v/>
      </c>
      <c r="E173" s="128" t="str">
        <f>IF(足元帳!K173="","",足元帳!K173)</f>
        <v/>
      </c>
      <c r="F173" s="128" t="str">
        <f>IF(足元帳!K173="","",IF(足元帳!BB173=1,45,IF(足元帳!BB173=2,60,IF(足元帳!BB173=3,75,IF(足元帳!BB173=4,90,IF(足元帳!BB173=5,120,IF(足元帳!BB173=6,150,IF(足元帳!BB173=7,180,""))))))))</f>
        <v/>
      </c>
      <c r="G173" s="128" t="str">
        <f>IF(足元帳!K173="","",足元帳!A173)</f>
        <v/>
      </c>
      <c r="H173" s="125" t="str">
        <f>IF(足元帳!AP173="","",$H$1)</f>
        <v/>
      </c>
      <c r="I173" s="125" t="str">
        <f>IF(足元帳!AQ173="","",$I$1)</f>
        <v/>
      </c>
      <c r="J173" s="125" t="str">
        <f>IF(足元帳!AR173="","",$J$1)</f>
        <v/>
      </c>
      <c r="K173" s="125" t="str">
        <f>IF(足元帳!AS173="","",$K$1)</f>
        <v/>
      </c>
      <c r="L173" s="291" t="str">
        <f>IF(COUNTIF(足元帳!AT173,"*複合*"),"複合","")</f>
        <v/>
      </c>
      <c r="M173" s="291" t="str">
        <f>IF(COUNTIF(足元帳!AT173,"*店頭本指名*"),"店頭本指名","")</f>
        <v/>
      </c>
      <c r="N173" s="125" t="str">
        <f>IF(足元帳!U173="","",足元帳!U173)</f>
        <v/>
      </c>
      <c r="O173" s="125" t="str">
        <f>IF(足元帳!V173="","",足元帳!V173)</f>
        <v/>
      </c>
      <c r="P173" s="125" t="str">
        <f>IF(足元帳!W173="","",足元帳!W173)</f>
        <v/>
      </c>
      <c r="Q173" s="125" t="str">
        <f>IF(足元帳!X173="","",足元帳!X173)</f>
        <v/>
      </c>
      <c r="R173" s="125" t="str">
        <f>IF(足元帳!Y173="","",足元帳!Y173)</f>
        <v/>
      </c>
      <c r="S173" s="125" t="str">
        <f>IF(足元帳!Z173="","",足元帳!Z173)</f>
        <v/>
      </c>
      <c r="T173" s="125" t="str">
        <f>IF(足元帳!AT173="","",足元帳!AT173)</f>
        <v/>
      </c>
      <c r="U173" s="125" t="str">
        <f>IF(足元帳!AH173="●",足元帳!$AH$1&amp;足元帳!AW173,"")</f>
        <v/>
      </c>
      <c r="V173" s="125" t="str">
        <f>IF(足元帳!AI173="●",足元帳!$AI$1&amp;足元帳!AW173,"")</f>
        <v/>
      </c>
      <c r="W173" s="125" t="str">
        <f>IF(足元帳!AX173="","",足元帳!AX173)</f>
        <v/>
      </c>
      <c r="X173" s="125">
        <f>足元帳!BJ173</f>
        <v>0</v>
      </c>
    </row>
    <row r="174" spans="1:24" ht="13.15" customHeight="1">
      <c r="A174" s="126">
        <v>173</v>
      </c>
      <c r="B174" s="127" t="str">
        <f>IF(足元帳!K174="","",精算表!$W$1)</f>
        <v/>
      </c>
      <c r="C174" s="128" t="str">
        <f>IF(足元帳!K174="","",IF(足元帳!AY174=2,"R","N"))</f>
        <v/>
      </c>
      <c r="D174" s="128" t="str">
        <f>IF(足元帳!K174="","",IF(足元帳!AZ174=1,"姫",IF(足元帳!AZ174=2,"本指名",IF(足元帳!AZ174=3,"NET",IF(足元帳!AZ174=4,"写真","")))))</f>
        <v/>
      </c>
      <c r="E174" s="128" t="str">
        <f>IF(足元帳!K174="","",足元帳!K174)</f>
        <v/>
      </c>
      <c r="F174" s="128" t="str">
        <f>IF(足元帳!K174="","",IF(足元帳!BB174=1,45,IF(足元帳!BB174=2,60,IF(足元帳!BB174=3,75,IF(足元帳!BB174=4,90,IF(足元帳!BB174=5,120,IF(足元帳!BB174=6,150,IF(足元帳!BB174=7,180,""))))))))</f>
        <v/>
      </c>
      <c r="G174" s="128" t="str">
        <f>IF(足元帳!K174="","",足元帳!A174)</f>
        <v/>
      </c>
      <c r="H174" s="125" t="str">
        <f>IF(足元帳!AP174="","",$H$1)</f>
        <v/>
      </c>
      <c r="I174" s="125" t="str">
        <f>IF(足元帳!AQ174="","",$I$1)</f>
        <v/>
      </c>
      <c r="J174" s="125" t="str">
        <f>IF(足元帳!AR174="","",$J$1)</f>
        <v/>
      </c>
      <c r="K174" s="125" t="str">
        <f>IF(足元帳!AS174="","",$K$1)</f>
        <v/>
      </c>
      <c r="L174" s="291" t="str">
        <f>IF(COUNTIF(足元帳!AT174,"*複合*"),"複合","")</f>
        <v/>
      </c>
      <c r="M174" s="291" t="str">
        <f>IF(COUNTIF(足元帳!AT174,"*店頭本指名*"),"店頭本指名","")</f>
        <v/>
      </c>
      <c r="N174" s="125" t="str">
        <f>IF(足元帳!U174="","",足元帳!U174)</f>
        <v/>
      </c>
      <c r="O174" s="125" t="str">
        <f>IF(足元帳!V174="","",足元帳!V174)</f>
        <v/>
      </c>
      <c r="P174" s="125" t="str">
        <f>IF(足元帳!W174="","",足元帳!W174)</f>
        <v/>
      </c>
      <c r="Q174" s="125" t="str">
        <f>IF(足元帳!X174="","",足元帳!X174)</f>
        <v/>
      </c>
      <c r="R174" s="125" t="str">
        <f>IF(足元帳!Y174="","",足元帳!Y174)</f>
        <v/>
      </c>
      <c r="S174" s="125" t="str">
        <f>IF(足元帳!Z174="","",足元帳!Z174)</f>
        <v/>
      </c>
      <c r="T174" s="125" t="str">
        <f>IF(足元帳!AT174="","",足元帳!AT174)</f>
        <v/>
      </c>
      <c r="U174" s="125" t="str">
        <f>IF(足元帳!AH174="●",足元帳!$AH$1&amp;足元帳!AW174,"")</f>
        <v/>
      </c>
      <c r="V174" s="125" t="str">
        <f>IF(足元帳!AI174="●",足元帳!$AI$1&amp;足元帳!AW174,"")</f>
        <v/>
      </c>
      <c r="W174" s="125" t="str">
        <f>IF(足元帳!AX174="","",足元帳!AX174)</f>
        <v/>
      </c>
      <c r="X174" s="125">
        <f>足元帳!BJ174</f>
        <v>0</v>
      </c>
    </row>
    <row r="175" spans="1:24" ht="13.15" customHeight="1">
      <c r="A175" s="126">
        <v>174</v>
      </c>
      <c r="B175" s="127" t="str">
        <f>IF(足元帳!K175="","",精算表!$W$1)</f>
        <v/>
      </c>
      <c r="C175" s="128" t="str">
        <f>IF(足元帳!K175="","",IF(足元帳!AY175=2,"R","N"))</f>
        <v/>
      </c>
      <c r="D175" s="128" t="str">
        <f>IF(足元帳!K175="","",IF(足元帳!AZ175=1,"姫",IF(足元帳!AZ175=2,"本指名",IF(足元帳!AZ175=3,"NET",IF(足元帳!AZ175=4,"写真","")))))</f>
        <v/>
      </c>
      <c r="E175" s="128" t="str">
        <f>IF(足元帳!K175="","",足元帳!K175)</f>
        <v/>
      </c>
      <c r="F175" s="128" t="str">
        <f>IF(足元帳!K175="","",IF(足元帳!BB175=1,45,IF(足元帳!BB175=2,60,IF(足元帳!BB175=3,75,IF(足元帳!BB175=4,90,IF(足元帳!BB175=5,120,IF(足元帳!BB175=6,150,IF(足元帳!BB175=7,180,""))))))))</f>
        <v/>
      </c>
      <c r="G175" s="128" t="str">
        <f>IF(足元帳!K175="","",足元帳!A175)</f>
        <v/>
      </c>
      <c r="H175" s="125" t="str">
        <f>IF(足元帳!AP175="","",$H$1)</f>
        <v/>
      </c>
      <c r="I175" s="125" t="str">
        <f>IF(足元帳!AQ175="","",$I$1)</f>
        <v/>
      </c>
      <c r="J175" s="125" t="str">
        <f>IF(足元帳!AR175="","",$J$1)</f>
        <v/>
      </c>
      <c r="K175" s="125" t="str">
        <f>IF(足元帳!AS175="","",$K$1)</f>
        <v/>
      </c>
      <c r="L175" s="291" t="str">
        <f>IF(COUNTIF(足元帳!AT175,"*複合*"),"複合","")</f>
        <v/>
      </c>
      <c r="M175" s="291" t="str">
        <f>IF(COUNTIF(足元帳!AT175,"*店頭本指名*"),"店頭本指名","")</f>
        <v/>
      </c>
      <c r="N175" s="125" t="str">
        <f>IF(足元帳!U175="","",足元帳!U175)</f>
        <v/>
      </c>
      <c r="O175" s="125" t="str">
        <f>IF(足元帳!V175="","",足元帳!V175)</f>
        <v/>
      </c>
      <c r="P175" s="125" t="str">
        <f>IF(足元帳!W175="","",足元帳!W175)</f>
        <v/>
      </c>
      <c r="Q175" s="125" t="str">
        <f>IF(足元帳!X175="","",足元帳!X175)</f>
        <v/>
      </c>
      <c r="R175" s="125" t="str">
        <f>IF(足元帳!Y175="","",足元帳!Y175)</f>
        <v/>
      </c>
      <c r="S175" s="125" t="str">
        <f>IF(足元帳!Z175="","",足元帳!Z175)</f>
        <v/>
      </c>
      <c r="T175" s="125" t="str">
        <f>IF(足元帳!AT175="","",足元帳!AT175)</f>
        <v/>
      </c>
      <c r="U175" s="125" t="str">
        <f>IF(足元帳!AH175="●",足元帳!$AH$1&amp;足元帳!AW175,"")</f>
        <v/>
      </c>
      <c r="V175" s="125" t="str">
        <f>IF(足元帳!AI175="●",足元帳!$AI$1&amp;足元帳!AW175,"")</f>
        <v/>
      </c>
      <c r="W175" s="125" t="str">
        <f>IF(足元帳!AX175="","",足元帳!AX175)</f>
        <v/>
      </c>
      <c r="X175" s="125">
        <f>足元帳!BJ175</f>
        <v>0</v>
      </c>
    </row>
    <row r="176" spans="1:24" ht="13.15" customHeight="1">
      <c r="A176" s="126">
        <v>175</v>
      </c>
      <c r="B176" s="127" t="str">
        <f>IF(足元帳!K176="","",精算表!$W$1)</f>
        <v/>
      </c>
      <c r="C176" s="128" t="str">
        <f>IF(足元帳!K176="","",IF(足元帳!AY176=2,"R","N"))</f>
        <v/>
      </c>
      <c r="D176" s="128" t="str">
        <f>IF(足元帳!K176="","",IF(足元帳!AZ176=1,"姫",IF(足元帳!AZ176=2,"本指名",IF(足元帳!AZ176=3,"NET",IF(足元帳!AZ176=4,"写真","")))))</f>
        <v/>
      </c>
      <c r="E176" s="128" t="str">
        <f>IF(足元帳!K176="","",足元帳!K176)</f>
        <v/>
      </c>
      <c r="F176" s="128" t="str">
        <f>IF(足元帳!K176="","",IF(足元帳!BB176=1,45,IF(足元帳!BB176=2,60,IF(足元帳!BB176=3,75,IF(足元帳!BB176=4,90,IF(足元帳!BB176=5,120,IF(足元帳!BB176=6,150,IF(足元帳!BB176=7,180,""))))))))</f>
        <v/>
      </c>
      <c r="G176" s="128" t="str">
        <f>IF(足元帳!K176="","",足元帳!A176)</f>
        <v/>
      </c>
      <c r="H176" s="125" t="str">
        <f>IF(足元帳!AP176="","",$H$1)</f>
        <v/>
      </c>
      <c r="I176" s="125" t="str">
        <f>IF(足元帳!AQ176="","",$I$1)</f>
        <v/>
      </c>
      <c r="J176" s="125" t="str">
        <f>IF(足元帳!AR176="","",$J$1)</f>
        <v/>
      </c>
      <c r="K176" s="125" t="str">
        <f>IF(足元帳!AS176="","",$K$1)</f>
        <v/>
      </c>
      <c r="L176" s="291" t="str">
        <f>IF(COUNTIF(足元帳!AT176,"*複合*"),"複合","")</f>
        <v/>
      </c>
      <c r="M176" s="291" t="str">
        <f>IF(COUNTIF(足元帳!AT176,"*店頭本指名*"),"店頭本指名","")</f>
        <v/>
      </c>
      <c r="N176" s="125" t="str">
        <f>IF(足元帳!U176="","",足元帳!U176)</f>
        <v/>
      </c>
      <c r="O176" s="125" t="str">
        <f>IF(足元帳!V176="","",足元帳!V176)</f>
        <v/>
      </c>
      <c r="P176" s="125" t="str">
        <f>IF(足元帳!W176="","",足元帳!W176)</f>
        <v/>
      </c>
      <c r="Q176" s="125" t="str">
        <f>IF(足元帳!X176="","",足元帳!X176)</f>
        <v/>
      </c>
      <c r="R176" s="125" t="str">
        <f>IF(足元帳!Y176="","",足元帳!Y176)</f>
        <v/>
      </c>
      <c r="S176" s="125" t="str">
        <f>IF(足元帳!Z176="","",足元帳!Z176)</f>
        <v/>
      </c>
      <c r="T176" s="125" t="str">
        <f>IF(足元帳!AT176="","",足元帳!AT176)</f>
        <v/>
      </c>
      <c r="U176" s="125" t="str">
        <f>IF(足元帳!AH176="●",足元帳!$AH$1&amp;足元帳!AW176,"")</f>
        <v/>
      </c>
      <c r="V176" s="125" t="str">
        <f>IF(足元帳!AI176="●",足元帳!$AI$1&amp;足元帳!AW176,"")</f>
        <v/>
      </c>
      <c r="W176" s="125" t="str">
        <f>IF(足元帳!AX176="","",足元帳!AX176)</f>
        <v/>
      </c>
      <c r="X176" s="125">
        <f>足元帳!BJ176</f>
        <v>0</v>
      </c>
    </row>
    <row r="177" spans="1:24" ht="13.15" customHeight="1">
      <c r="A177" s="126">
        <v>176</v>
      </c>
      <c r="B177" s="127" t="str">
        <f>IF(足元帳!K177="","",精算表!$W$1)</f>
        <v/>
      </c>
      <c r="C177" s="128" t="str">
        <f>IF(足元帳!K177="","",IF(足元帳!AY177=2,"R","N"))</f>
        <v/>
      </c>
      <c r="D177" s="128" t="str">
        <f>IF(足元帳!K177="","",IF(足元帳!AZ177=1,"姫",IF(足元帳!AZ177=2,"本指名",IF(足元帳!AZ177=3,"NET",IF(足元帳!AZ177=4,"写真","")))))</f>
        <v/>
      </c>
      <c r="E177" s="128" t="str">
        <f>IF(足元帳!K177="","",足元帳!K177)</f>
        <v/>
      </c>
      <c r="F177" s="128" t="str">
        <f>IF(足元帳!K177="","",IF(足元帳!BB177=1,45,IF(足元帳!BB177=2,60,IF(足元帳!BB177=3,75,IF(足元帳!BB177=4,90,IF(足元帳!BB177=5,120,IF(足元帳!BB177=6,150,IF(足元帳!BB177=7,180,""))))))))</f>
        <v/>
      </c>
      <c r="G177" s="128" t="str">
        <f>IF(足元帳!K177="","",足元帳!A177)</f>
        <v/>
      </c>
      <c r="H177" s="125" t="str">
        <f>IF(足元帳!AP177="","",$H$1)</f>
        <v/>
      </c>
      <c r="I177" s="125" t="str">
        <f>IF(足元帳!AQ177="","",$I$1)</f>
        <v/>
      </c>
      <c r="J177" s="125" t="str">
        <f>IF(足元帳!AR177="","",$J$1)</f>
        <v/>
      </c>
      <c r="K177" s="125" t="str">
        <f>IF(足元帳!AS177="","",$K$1)</f>
        <v/>
      </c>
      <c r="L177" s="291" t="str">
        <f>IF(COUNTIF(足元帳!AT177,"*複合*"),"複合","")</f>
        <v/>
      </c>
      <c r="M177" s="291" t="str">
        <f>IF(COUNTIF(足元帳!AT177,"*店頭本指名*"),"店頭本指名","")</f>
        <v/>
      </c>
      <c r="N177" s="125" t="str">
        <f>IF(足元帳!U177="","",足元帳!U177)</f>
        <v/>
      </c>
      <c r="O177" s="125" t="str">
        <f>IF(足元帳!V177="","",足元帳!V177)</f>
        <v/>
      </c>
      <c r="P177" s="125" t="str">
        <f>IF(足元帳!W177="","",足元帳!W177)</f>
        <v/>
      </c>
      <c r="Q177" s="125" t="str">
        <f>IF(足元帳!X177="","",足元帳!X177)</f>
        <v/>
      </c>
      <c r="R177" s="125" t="str">
        <f>IF(足元帳!Y177="","",足元帳!Y177)</f>
        <v/>
      </c>
      <c r="S177" s="125" t="str">
        <f>IF(足元帳!Z177="","",足元帳!Z177)</f>
        <v/>
      </c>
      <c r="T177" s="125" t="str">
        <f>IF(足元帳!AT177="","",足元帳!AT177)</f>
        <v/>
      </c>
      <c r="U177" s="125" t="str">
        <f>IF(足元帳!AH177="●",足元帳!$AH$1&amp;足元帳!AW177,"")</f>
        <v/>
      </c>
      <c r="V177" s="125" t="str">
        <f>IF(足元帳!AI177="●",足元帳!$AI$1&amp;足元帳!AW177,"")</f>
        <v/>
      </c>
      <c r="W177" s="125" t="str">
        <f>IF(足元帳!AX177="","",足元帳!AX177)</f>
        <v/>
      </c>
      <c r="X177" s="125">
        <f>足元帳!BJ177</f>
        <v>0</v>
      </c>
    </row>
    <row r="178" spans="1:24" ht="13.15" customHeight="1">
      <c r="A178" s="126">
        <v>177</v>
      </c>
      <c r="B178" s="127" t="str">
        <f>IF(足元帳!K178="","",精算表!$W$1)</f>
        <v/>
      </c>
      <c r="C178" s="128" t="str">
        <f>IF(足元帳!K178="","",IF(足元帳!AY178=2,"R","N"))</f>
        <v/>
      </c>
      <c r="D178" s="128" t="str">
        <f>IF(足元帳!K178="","",IF(足元帳!AZ178=1,"姫",IF(足元帳!AZ178=2,"本指名",IF(足元帳!AZ178=3,"NET",IF(足元帳!AZ178=4,"写真","")))))</f>
        <v/>
      </c>
      <c r="E178" s="128" t="str">
        <f>IF(足元帳!K178="","",足元帳!K178)</f>
        <v/>
      </c>
      <c r="F178" s="128" t="str">
        <f>IF(足元帳!K178="","",IF(足元帳!BB178=1,45,IF(足元帳!BB178=2,60,IF(足元帳!BB178=3,75,IF(足元帳!BB178=4,90,IF(足元帳!BB178=5,120,IF(足元帳!BB178=6,150,IF(足元帳!BB178=7,180,""))))))))</f>
        <v/>
      </c>
      <c r="G178" s="128" t="str">
        <f>IF(足元帳!K178="","",足元帳!A178)</f>
        <v/>
      </c>
      <c r="H178" s="125" t="str">
        <f>IF(足元帳!AP178="","",$H$1)</f>
        <v/>
      </c>
      <c r="I178" s="125" t="str">
        <f>IF(足元帳!AQ178="","",$I$1)</f>
        <v/>
      </c>
      <c r="J178" s="125" t="str">
        <f>IF(足元帳!AR178="","",$J$1)</f>
        <v/>
      </c>
      <c r="K178" s="125" t="str">
        <f>IF(足元帳!AS178="","",$K$1)</f>
        <v/>
      </c>
      <c r="L178" s="291" t="str">
        <f>IF(COUNTIF(足元帳!AT178,"*複合*"),"複合","")</f>
        <v/>
      </c>
      <c r="M178" s="291" t="str">
        <f>IF(COUNTIF(足元帳!AT178,"*店頭本指名*"),"店頭本指名","")</f>
        <v/>
      </c>
      <c r="N178" s="125" t="str">
        <f>IF(足元帳!U178="","",足元帳!U178)</f>
        <v/>
      </c>
      <c r="O178" s="125" t="str">
        <f>IF(足元帳!V178="","",足元帳!V178)</f>
        <v/>
      </c>
      <c r="P178" s="125" t="str">
        <f>IF(足元帳!W178="","",足元帳!W178)</f>
        <v/>
      </c>
      <c r="Q178" s="125" t="str">
        <f>IF(足元帳!X178="","",足元帳!X178)</f>
        <v/>
      </c>
      <c r="R178" s="125" t="str">
        <f>IF(足元帳!Y178="","",足元帳!Y178)</f>
        <v/>
      </c>
      <c r="S178" s="125" t="str">
        <f>IF(足元帳!Z178="","",足元帳!Z178)</f>
        <v/>
      </c>
      <c r="T178" s="125" t="str">
        <f>IF(足元帳!AT178="","",足元帳!AT178)</f>
        <v/>
      </c>
      <c r="U178" s="125" t="str">
        <f>IF(足元帳!AH178="●",足元帳!$AH$1&amp;足元帳!AW178,"")</f>
        <v/>
      </c>
      <c r="V178" s="125" t="str">
        <f>IF(足元帳!AI178="●",足元帳!$AI$1&amp;足元帳!AW178,"")</f>
        <v/>
      </c>
      <c r="W178" s="125" t="str">
        <f>IF(足元帳!AX178="","",足元帳!AX178)</f>
        <v/>
      </c>
      <c r="X178" s="125">
        <f>足元帳!BJ178</f>
        <v>0</v>
      </c>
    </row>
    <row r="179" spans="1:24" ht="13.15" customHeight="1">
      <c r="A179" s="126">
        <v>178</v>
      </c>
      <c r="B179" s="127" t="str">
        <f>IF(足元帳!K179="","",精算表!$W$1)</f>
        <v/>
      </c>
      <c r="C179" s="128" t="str">
        <f>IF(足元帳!K179="","",IF(足元帳!AY179=2,"R","N"))</f>
        <v/>
      </c>
      <c r="D179" s="128" t="str">
        <f>IF(足元帳!K179="","",IF(足元帳!AZ179=1,"姫",IF(足元帳!AZ179=2,"本指名",IF(足元帳!AZ179=3,"NET",IF(足元帳!AZ179=4,"写真","")))))</f>
        <v/>
      </c>
      <c r="E179" s="128" t="str">
        <f>IF(足元帳!K179="","",足元帳!K179)</f>
        <v/>
      </c>
      <c r="F179" s="128" t="str">
        <f>IF(足元帳!K179="","",IF(足元帳!BB179=1,45,IF(足元帳!BB179=2,60,IF(足元帳!BB179=3,75,IF(足元帳!BB179=4,90,IF(足元帳!BB179=5,120,IF(足元帳!BB179=6,150,IF(足元帳!BB179=7,180,""))))))))</f>
        <v/>
      </c>
      <c r="G179" s="128" t="str">
        <f>IF(足元帳!K179="","",足元帳!A179)</f>
        <v/>
      </c>
      <c r="H179" s="125" t="str">
        <f>IF(足元帳!AP179="","",$H$1)</f>
        <v/>
      </c>
      <c r="I179" s="125" t="str">
        <f>IF(足元帳!AQ179="","",$I$1)</f>
        <v/>
      </c>
      <c r="J179" s="125" t="str">
        <f>IF(足元帳!AR179="","",$J$1)</f>
        <v/>
      </c>
      <c r="K179" s="125" t="str">
        <f>IF(足元帳!AS179="","",$K$1)</f>
        <v/>
      </c>
      <c r="L179" s="291" t="str">
        <f>IF(COUNTIF(足元帳!AT179,"*複合*"),"複合","")</f>
        <v/>
      </c>
      <c r="M179" s="291" t="str">
        <f>IF(COUNTIF(足元帳!AT179,"*店頭本指名*"),"店頭本指名","")</f>
        <v/>
      </c>
      <c r="N179" s="125" t="str">
        <f>IF(足元帳!U179="","",足元帳!U179)</f>
        <v/>
      </c>
      <c r="O179" s="125" t="str">
        <f>IF(足元帳!V179="","",足元帳!V179)</f>
        <v/>
      </c>
      <c r="P179" s="125" t="str">
        <f>IF(足元帳!W179="","",足元帳!W179)</f>
        <v/>
      </c>
      <c r="Q179" s="125" t="str">
        <f>IF(足元帳!X179="","",足元帳!X179)</f>
        <v/>
      </c>
      <c r="R179" s="125" t="str">
        <f>IF(足元帳!Y179="","",足元帳!Y179)</f>
        <v/>
      </c>
      <c r="S179" s="125" t="str">
        <f>IF(足元帳!Z179="","",足元帳!Z179)</f>
        <v/>
      </c>
      <c r="T179" s="125" t="str">
        <f>IF(足元帳!AT179="","",足元帳!AT179)</f>
        <v/>
      </c>
      <c r="U179" s="125" t="str">
        <f>IF(足元帳!AH179="●",足元帳!$AH$1&amp;足元帳!AW179,"")</f>
        <v/>
      </c>
      <c r="V179" s="125" t="str">
        <f>IF(足元帳!AI179="●",足元帳!$AI$1&amp;足元帳!AW179,"")</f>
        <v/>
      </c>
      <c r="W179" s="125" t="str">
        <f>IF(足元帳!AX179="","",足元帳!AX179)</f>
        <v/>
      </c>
      <c r="X179" s="125">
        <f>足元帳!BJ179</f>
        <v>0</v>
      </c>
    </row>
    <row r="180" spans="1:24" ht="13.15" customHeight="1">
      <c r="A180" s="126">
        <v>179</v>
      </c>
      <c r="B180" s="127" t="str">
        <f>IF(足元帳!K180="","",精算表!$W$1)</f>
        <v/>
      </c>
      <c r="C180" s="128" t="str">
        <f>IF(足元帳!K180="","",IF(足元帳!AY180=2,"R","N"))</f>
        <v/>
      </c>
      <c r="D180" s="128" t="str">
        <f>IF(足元帳!K180="","",IF(足元帳!AZ180=1,"姫",IF(足元帳!AZ180=2,"本指名",IF(足元帳!AZ180=3,"NET",IF(足元帳!AZ180=4,"写真","")))))</f>
        <v/>
      </c>
      <c r="E180" s="128" t="str">
        <f>IF(足元帳!K180="","",足元帳!K180)</f>
        <v/>
      </c>
      <c r="F180" s="128" t="str">
        <f>IF(足元帳!K180="","",IF(足元帳!BB180=1,45,IF(足元帳!BB180=2,60,IF(足元帳!BB180=3,75,IF(足元帳!BB180=4,90,IF(足元帳!BB180=5,120,IF(足元帳!BB180=6,150,IF(足元帳!BB180=7,180,""))))))))</f>
        <v/>
      </c>
      <c r="G180" s="128" t="str">
        <f>IF(足元帳!K180="","",足元帳!A180)</f>
        <v/>
      </c>
      <c r="H180" s="125" t="str">
        <f>IF(足元帳!AP180="","",$H$1)</f>
        <v/>
      </c>
      <c r="I180" s="125" t="str">
        <f>IF(足元帳!AQ180="","",$I$1)</f>
        <v/>
      </c>
      <c r="J180" s="125" t="str">
        <f>IF(足元帳!AR180="","",$J$1)</f>
        <v/>
      </c>
      <c r="K180" s="125" t="str">
        <f>IF(足元帳!AS180="","",$K$1)</f>
        <v/>
      </c>
      <c r="L180" s="291" t="str">
        <f>IF(COUNTIF(足元帳!AT180,"*複合*"),"複合","")</f>
        <v/>
      </c>
      <c r="M180" s="291" t="str">
        <f>IF(COUNTIF(足元帳!AT180,"*店頭本指名*"),"店頭本指名","")</f>
        <v/>
      </c>
      <c r="N180" s="125" t="str">
        <f>IF(足元帳!U180="","",足元帳!U180)</f>
        <v/>
      </c>
      <c r="O180" s="125" t="str">
        <f>IF(足元帳!V180="","",足元帳!V180)</f>
        <v/>
      </c>
      <c r="P180" s="125" t="str">
        <f>IF(足元帳!W180="","",足元帳!W180)</f>
        <v/>
      </c>
      <c r="Q180" s="125" t="str">
        <f>IF(足元帳!X180="","",足元帳!X180)</f>
        <v/>
      </c>
      <c r="R180" s="125" t="str">
        <f>IF(足元帳!Y180="","",足元帳!Y180)</f>
        <v/>
      </c>
      <c r="S180" s="125" t="str">
        <f>IF(足元帳!Z180="","",足元帳!Z180)</f>
        <v/>
      </c>
      <c r="T180" s="125" t="str">
        <f>IF(足元帳!AT180="","",足元帳!AT180)</f>
        <v/>
      </c>
      <c r="U180" s="125" t="str">
        <f>IF(足元帳!AH180="●",足元帳!$AH$1&amp;足元帳!AW180,"")</f>
        <v/>
      </c>
      <c r="V180" s="125" t="str">
        <f>IF(足元帳!AI180="●",足元帳!$AI$1&amp;足元帳!AW180,"")</f>
        <v/>
      </c>
      <c r="W180" s="125" t="str">
        <f>IF(足元帳!AX180="","",足元帳!AX180)</f>
        <v/>
      </c>
      <c r="X180" s="125">
        <f>足元帳!BJ180</f>
        <v>0</v>
      </c>
    </row>
    <row r="181" spans="1:24" ht="13.15" customHeight="1">
      <c r="A181" s="126">
        <v>180</v>
      </c>
      <c r="B181" s="127" t="str">
        <f>IF(足元帳!K181="","",精算表!$W$1)</f>
        <v/>
      </c>
      <c r="C181" s="128" t="str">
        <f>IF(足元帳!K181="","",IF(足元帳!AY181=2,"R","N"))</f>
        <v/>
      </c>
      <c r="D181" s="128" t="str">
        <f>IF(足元帳!K181="","",IF(足元帳!AZ181=1,"姫",IF(足元帳!AZ181=2,"本指名",IF(足元帳!AZ181=3,"NET",IF(足元帳!AZ181=4,"写真","")))))</f>
        <v/>
      </c>
      <c r="E181" s="128" t="str">
        <f>IF(足元帳!K181="","",足元帳!K181)</f>
        <v/>
      </c>
      <c r="F181" s="128" t="str">
        <f>IF(足元帳!K181="","",IF(足元帳!BB181=1,45,IF(足元帳!BB181=2,60,IF(足元帳!BB181=3,75,IF(足元帳!BB181=4,90,IF(足元帳!BB181=5,120,IF(足元帳!BB181=6,150,IF(足元帳!BB181=7,180,""))))))))</f>
        <v/>
      </c>
      <c r="G181" s="128" t="str">
        <f>IF(足元帳!K181="","",足元帳!A181)</f>
        <v/>
      </c>
      <c r="H181" s="125" t="str">
        <f>IF(足元帳!AP181="","",$H$1)</f>
        <v/>
      </c>
      <c r="I181" s="125" t="str">
        <f>IF(足元帳!AQ181="","",$I$1)</f>
        <v/>
      </c>
      <c r="J181" s="125" t="str">
        <f>IF(足元帳!AR181="","",$J$1)</f>
        <v/>
      </c>
      <c r="K181" s="125" t="str">
        <f>IF(足元帳!AS181="","",$K$1)</f>
        <v/>
      </c>
      <c r="L181" s="291" t="str">
        <f>IF(COUNTIF(足元帳!AT181,"*複合*"),"複合","")</f>
        <v/>
      </c>
      <c r="M181" s="291" t="str">
        <f>IF(COUNTIF(足元帳!AT181,"*店頭本指名*"),"店頭本指名","")</f>
        <v/>
      </c>
      <c r="N181" s="125" t="str">
        <f>IF(足元帳!U181="","",足元帳!U181)</f>
        <v/>
      </c>
      <c r="O181" s="125" t="str">
        <f>IF(足元帳!V181="","",足元帳!V181)</f>
        <v/>
      </c>
      <c r="P181" s="125" t="str">
        <f>IF(足元帳!W181="","",足元帳!W181)</f>
        <v/>
      </c>
      <c r="Q181" s="125" t="str">
        <f>IF(足元帳!X181="","",足元帳!X181)</f>
        <v/>
      </c>
      <c r="R181" s="125" t="str">
        <f>IF(足元帳!Y181="","",足元帳!Y181)</f>
        <v/>
      </c>
      <c r="S181" s="125" t="str">
        <f>IF(足元帳!Z181="","",足元帳!Z181)</f>
        <v/>
      </c>
      <c r="T181" s="125" t="str">
        <f>IF(足元帳!AT181="","",足元帳!AT181)</f>
        <v/>
      </c>
      <c r="U181" s="125" t="str">
        <f>IF(足元帳!AH181="●",足元帳!$AH$1&amp;足元帳!AW181,"")</f>
        <v/>
      </c>
      <c r="V181" s="125" t="str">
        <f>IF(足元帳!AI181="●",足元帳!$AI$1&amp;足元帳!AW181,"")</f>
        <v/>
      </c>
      <c r="W181" s="125" t="str">
        <f>IF(足元帳!AX181="","",足元帳!AX181)</f>
        <v/>
      </c>
      <c r="X181" s="125">
        <f>足元帳!BJ181</f>
        <v>0</v>
      </c>
    </row>
    <row r="182" spans="1:24" ht="13.15" customHeight="1">
      <c r="A182" s="126">
        <v>181</v>
      </c>
      <c r="B182" s="127" t="str">
        <f>IF(足元帳!K182="","",精算表!$W$1)</f>
        <v/>
      </c>
      <c r="C182" s="128" t="str">
        <f>IF(足元帳!K182="","",IF(足元帳!AY182=2,"R","N"))</f>
        <v/>
      </c>
      <c r="D182" s="128" t="str">
        <f>IF(足元帳!K182="","",IF(足元帳!AZ182=1,"姫",IF(足元帳!AZ182=2,"本指名",IF(足元帳!AZ182=3,"NET",IF(足元帳!AZ182=4,"写真","")))))</f>
        <v/>
      </c>
      <c r="E182" s="128" t="str">
        <f>IF(足元帳!K182="","",足元帳!K182)</f>
        <v/>
      </c>
      <c r="F182" s="128" t="str">
        <f>IF(足元帳!K182="","",IF(足元帳!BB182=1,45,IF(足元帳!BB182=2,60,IF(足元帳!BB182=3,75,IF(足元帳!BB182=4,90,IF(足元帳!BB182=5,120,IF(足元帳!BB182=6,150,IF(足元帳!BB182=7,180,""))))))))</f>
        <v/>
      </c>
      <c r="G182" s="128" t="str">
        <f>IF(足元帳!K182="","",足元帳!A182)</f>
        <v/>
      </c>
      <c r="H182" s="125" t="str">
        <f>IF(足元帳!AP182="","",$H$1)</f>
        <v/>
      </c>
      <c r="I182" s="125" t="str">
        <f>IF(足元帳!AQ182="","",$I$1)</f>
        <v/>
      </c>
      <c r="J182" s="125" t="str">
        <f>IF(足元帳!AR182="","",$J$1)</f>
        <v/>
      </c>
      <c r="K182" s="125" t="str">
        <f>IF(足元帳!AS182="","",$K$1)</f>
        <v/>
      </c>
      <c r="L182" s="291" t="str">
        <f>IF(COUNTIF(足元帳!AT182,"*複合*"),"複合","")</f>
        <v/>
      </c>
      <c r="M182" s="291" t="str">
        <f>IF(COUNTIF(足元帳!AT182,"*店頭本指名*"),"店頭本指名","")</f>
        <v/>
      </c>
      <c r="N182" s="125" t="str">
        <f>IF(足元帳!U182="","",足元帳!U182)</f>
        <v/>
      </c>
      <c r="O182" s="125" t="str">
        <f>IF(足元帳!V182="","",足元帳!V182)</f>
        <v/>
      </c>
      <c r="P182" s="125" t="str">
        <f>IF(足元帳!W182="","",足元帳!W182)</f>
        <v/>
      </c>
      <c r="Q182" s="125" t="str">
        <f>IF(足元帳!X182="","",足元帳!X182)</f>
        <v/>
      </c>
      <c r="R182" s="125" t="str">
        <f>IF(足元帳!Y182="","",足元帳!Y182)</f>
        <v/>
      </c>
      <c r="S182" s="125" t="str">
        <f>IF(足元帳!Z182="","",足元帳!Z182)</f>
        <v/>
      </c>
      <c r="T182" s="125" t="str">
        <f>IF(足元帳!AT182="","",足元帳!AT182)</f>
        <v/>
      </c>
      <c r="U182" s="125" t="str">
        <f>IF(足元帳!AH182="●",足元帳!$AH$1&amp;足元帳!AW182,"")</f>
        <v/>
      </c>
      <c r="V182" s="125" t="str">
        <f>IF(足元帳!AI182="●",足元帳!$AI$1&amp;足元帳!AW182,"")</f>
        <v/>
      </c>
      <c r="W182" s="125" t="str">
        <f>IF(足元帳!AX182="","",足元帳!AX182)</f>
        <v/>
      </c>
      <c r="X182" s="125">
        <f>足元帳!BJ182</f>
        <v>0</v>
      </c>
    </row>
    <row r="183" spans="1:24" ht="13.15" customHeight="1">
      <c r="A183" s="126">
        <v>182</v>
      </c>
      <c r="B183" s="127" t="str">
        <f>IF(足元帳!K183="","",精算表!$W$1)</f>
        <v/>
      </c>
      <c r="C183" s="128" t="str">
        <f>IF(足元帳!K183="","",IF(足元帳!AY183=2,"R","N"))</f>
        <v/>
      </c>
      <c r="D183" s="128" t="str">
        <f>IF(足元帳!K183="","",IF(足元帳!AZ183=1,"姫",IF(足元帳!AZ183=2,"本指名",IF(足元帳!AZ183=3,"NET",IF(足元帳!AZ183=4,"写真","")))))</f>
        <v/>
      </c>
      <c r="E183" s="128" t="str">
        <f>IF(足元帳!K183="","",足元帳!K183)</f>
        <v/>
      </c>
      <c r="F183" s="128" t="str">
        <f>IF(足元帳!K183="","",IF(足元帳!BB183=1,45,IF(足元帳!BB183=2,60,IF(足元帳!BB183=3,75,IF(足元帳!BB183=4,90,IF(足元帳!BB183=5,120,IF(足元帳!BB183=6,150,IF(足元帳!BB183=7,180,""))))))))</f>
        <v/>
      </c>
      <c r="G183" s="128" t="str">
        <f>IF(足元帳!K183="","",足元帳!A183)</f>
        <v/>
      </c>
      <c r="H183" s="125" t="str">
        <f>IF(足元帳!AP183="","",$H$1)</f>
        <v/>
      </c>
      <c r="I183" s="125" t="str">
        <f>IF(足元帳!AQ183="","",$I$1)</f>
        <v/>
      </c>
      <c r="J183" s="125" t="str">
        <f>IF(足元帳!AR183="","",$J$1)</f>
        <v/>
      </c>
      <c r="K183" s="125" t="str">
        <f>IF(足元帳!AS183="","",$K$1)</f>
        <v/>
      </c>
      <c r="L183" s="291" t="str">
        <f>IF(COUNTIF(足元帳!AT183,"*複合*"),"複合","")</f>
        <v/>
      </c>
      <c r="M183" s="291" t="str">
        <f>IF(COUNTIF(足元帳!AT183,"*店頭本指名*"),"店頭本指名","")</f>
        <v/>
      </c>
      <c r="N183" s="125" t="str">
        <f>IF(足元帳!U183="","",足元帳!U183)</f>
        <v/>
      </c>
      <c r="O183" s="125" t="str">
        <f>IF(足元帳!V183="","",足元帳!V183)</f>
        <v/>
      </c>
      <c r="P183" s="125" t="str">
        <f>IF(足元帳!W183="","",足元帳!W183)</f>
        <v/>
      </c>
      <c r="Q183" s="125" t="str">
        <f>IF(足元帳!X183="","",足元帳!X183)</f>
        <v/>
      </c>
      <c r="R183" s="125" t="str">
        <f>IF(足元帳!Y183="","",足元帳!Y183)</f>
        <v/>
      </c>
      <c r="S183" s="125" t="str">
        <f>IF(足元帳!Z183="","",足元帳!Z183)</f>
        <v/>
      </c>
      <c r="T183" s="125" t="str">
        <f>IF(足元帳!AT183="","",足元帳!AT183)</f>
        <v/>
      </c>
      <c r="U183" s="125" t="str">
        <f>IF(足元帳!AH183="●",足元帳!$AH$1&amp;足元帳!AW183,"")</f>
        <v/>
      </c>
      <c r="V183" s="125" t="str">
        <f>IF(足元帳!AI183="●",足元帳!$AI$1&amp;足元帳!AW183,"")</f>
        <v/>
      </c>
      <c r="W183" s="125" t="str">
        <f>IF(足元帳!AX183="","",足元帳!AX183)</f>
        <v/>
      </c>
      <c r="X183" s="125">
        <f>足元帳!BJ183</f>
        <v>0</v>
      </c>
    </row>
    <row r="184" spans="1:24" ht="13.15" customHeight="1">
      <c r="A184" s="126">
        <v>183</v>
      </c>
      <c r="B184" s="127" t="str">
        <f>IF(足元帳!K184="","",精算表!$W$1)</f>
        <v/>
      </c>
      <c r="C184" s="128" t="str">
        <f>IF(足元帳!K184="","",IF(足元帳!AY184=2,"R","N"))</f>
        <v/>
      </c>
      <c r="D184" s="128" t="str">
        <f>IF(足元帳!K184="","",IF(足元帳!AZ184=1,"姫",IF(足元帳!AZ184=2,"本指名",IF(足元帳!AZ184=3,"NET",IF(足元帳!AZ184=4,"写真","")))))</f>
        <v/>
      </c>
      <c r="E184" s="128" t="str">
        <f>IF(足元帳!K184="","",足元帳!K184)</f>
        <v/>
      </c>
      <c r="F184" s="128" t="str">
        <f>IF(足元帳!K184="","",IF(足元帳!BB184=1,45,IF(足元帳!BB184=2,60,IF(足元帳!BB184=3,75,IF(足元帳!BB184=4,90,IF(足元帳!BB184=5,120,IF(足元帳!BB184=6,150,IF(足元帳!BB184=7,180,""))))))))</f>
        <v/>
      </c>
      <c r="G184" s="128" t="str">
        <f>IF(足元帳!K184="","",足元帳!A184)</f>
        <v/>
      </c>
      <c r="H184" s="125" t="str">
        <f>IF(足元帳!AP184="","",$H$1)</f>
        <v/>
      </c>
      <c r="I184" s="125" t="str">
        <f>IF(足元帳!AQ184="","",$I$1)</f>
        <v/>
      </c>
      <c r="J184" s="125" t="str">
        <f>IF(足元帳!AR184="","",$J$1)</f>
        <v/>
      </c>
      <c r="K184" s="125" t="str">
        <f>IF(足元帳!AS184="","",$K$1)</f>
        <v/>
      </c>
      <c r="L184" s="291" t="str">
        <f>IF(COUNTIF(足元帳!AT184,"*複合*"),"複合","")</f>
        <v/>
      </c>
      <c r="M184" s="291" t="str">
        <f>IF(COUNTIF(足元帳!AT184,"*店頭本指名*"),"店頭本指名","")</f>
        <v/>
      </c>
      <c r="N184" s="125" t="str">
        <f>IF(足元帳!U184="","",足元帳!U184)</f>
        <v/>
      </c>
      <c r="O184" s="125" t="str">
        <f>IF(足元帳!V184="","",足元帳!V184)</f>
        <v/>
      </c>
      <c r="P184" s="125" t="str">
        <f>IF(足元帳!W184="","",足元帳!W184)</f>
        <v/>
      </c>
      <c r="Q184" s="125" t="str">
        <f>IF(足元帳!X184="","",足元帳!X184)</f>
        <v/>
      </c>
      <c r="R184" s="125" t="str">
        <f>IF(足元帳!Y184="","",足元帳!Y184)</f>
        <v/>
      </c>
      <c r="S184" s="125" t="str">
        <f>IF(足元帳!Z184="","",足元帳!Z184)</f>
        <v/>
      </c>
      <c r="T184" s="125" t="str">
        <f>IF(足元帳!AT184="","",足元帳!AT184)</f>
        <v/>
      </c>
      <c r="U184" s="125" t="str">
        <f>IF(足元帳!AH184="●",足元帳!$AH$1&amp;足元帳!AW184,"")</f>
        <v/>
      </c>
      <c r="V184" s="125" t="str">
        <f>IF(足元帳!AI184="●",足元帳!$AI$1&amp;足元帳!AW184,"")</f>
        <v/>
      </c>
      <c r="W184" s="125" t="str">
        <f>IF(足元帳!AX184="","",足元帳!AX184)</f>
        <v/>
      </c>
      <c r="X184" s="125">
        <f>足元帳!BJ184</f>
        <v>0</v>
      </c>
    </row>
    <row r="185" spans="1:24" ht="13.15" customHeight="1">
      <c r="A185" s="126">
        <v>184</v>
      </c>
      <c r="B185" s="127" t="str">
        <f>IF(足元帳!K185="","",精算表!$W$1)</f>
        <v/>
      </c>
      <c r="C185" s="128" t="str">
        <f>IF(足元帳!K185="","",IF(足元帳!AY185=2,"R","N"))</f>
        <v/>
      </c>
      <c r="D185" s="128" t="str">
        <f>IF(足元帳!K185="","",IF(足元帳!AZ185=1,"姫",IF(足元帳!AZ185=2,"本指名",IF(足元帳!AZ185=3,"NET",IF(足元帳!AZ185=4,"写真","")))))</f>
        <v/>
      </c>
      <c r="E185" s="128" t="str">
        <f>IF(足元帳!K185="","",足元帳!K185)</f>
        <v/>
      </c>
      <c r="F185" s="128" t="str">
        <f>IF(足元帳!K185="","",IF(足元帳!BB185=1,45,IF(足元帳!BB185=2,60,IF(足元帳!BB185=3,75,IF(足元帳!BB185=4,90,IF(足元帳!BB185=5,120,IF(足元帳!BB185=6,150,IF(足元帳!BB185=7,180,""))))))))</f>
        <v/>
      </c>
      <c r="G185" s="128" t="str">
        <f>IF(足元帳!K185="","",足元帳!A185)</f>
        <v/>
      </c>
      <c r="H185" s="125" t="str">
        <f>IF(足元帳!AP185="","",$H$1)</f>
        <v/>
      </c>
      <c r="I185" s="125" t="str">
        <f>IF(足元帳!AQ185="","",$I$1)</f>
        <v/>
      </c>
      <c r="J185" s="125" t="str">
        <f>IF(足元帳!AR185="","",$J$1)</f>
        <v/>
      </c>
      <c r="K185" s="125" t="str">
        <f>IF(足元帳!AS185="","",$K$1)</f>
        <v/>
      </c>
      <c r="L185" s="291" t="str">
        <f>IF(COUNTIF(足元帳!AT185,"*複合*"),"複合","")</f>
        <v/>
      </c>
      <c r="M185" s="291" t="str">
        <f>IF(COUNTIF(足元帳!AT185,"*店頭本指名*"),"店頭本指名","")</f>
        <v/>
      </c>
      <c r="N185" s="125" t="str">
        <f>IF(足元帳!U185="","",足元帳!U185)</f>
        <v/>
      </c>
      <c r="O185" s="125" t="str">
        <f>IF(足元帳!V185="","",足元帳!V185)</f>
        <v/>
      </c>
      <c r="P185" s="125" t="str">
        <f>IF(足元帳!W185="","",足元帳!W185)</f>
        <v/>
      </c>
      <c r="Q185" s="125" t="str">
        <f>IF(足元帳!X185="","",足元帳!X185)</f>
        <v/>
      </c>
      <c r="R185" s="125" t="str">
        <f>IF(足元帳!Y185="","",足元帳!Y185)</f>
        <v/>
      </c>
      <c r="S185" s="125" t="str">
        <f>IF(足元帳!Z185="","",足元帳!Z185)</f>
        <v/>
      </c>
      <c r="T185" s="125" t="str">
        <f>IF(足元帳!AT185="","",足元帳!AT185)</f>
        <v/>
      </c>
      <c r="U185" s="125" t="str">
        <f>IF(足元帳!AH185="●",足元帳!$AH$1&amp;足元帳!AW185,"")</f>
        <v/>
      </c>
      <c r="V185" s="125" t="str">
        <f>IF(足元帳!AI185="●",足元帳!$AI$1&amp;足元帳!AW185,"")</f>
        <v/>
      </c>
      <c r="W185" s="125" t="str">
        <f>IF(足元帳!AX185="","",足元帳!AX185)</f>
        <v/>
      </c>
      <c r="X185" s="125">
        <f>足元帳!BJ185</f>
        <v>0</v>
      </c>
    </row>
    <row r="186" spans="1:24" ht="13.15" customHeight="1">
      <c r="A186" s="126">
        <v>185</v>
      </c>
      <c r="B186" s="127" t="str">
        <f>IF(足元帳!K186="","",精算表!$W$1)</f>
        <v/>
      </c>
      <c r="C186" s="128" t="str">
        <f>IF(足元帳!K186="","",IF(足元帳!AY186=2,"R","N"))</f>
        <v/>
      </c>
      <c r="D186" s="128" t="str">
        <f>IF(足元帳!K186="","",IF(足元帳!AZ186=1,"姫",IF(足元帳!AZ186=2,"本指名",IF(足元帳!AZ186=3,"NET",IF(足元帳!AZ186=4,"写真","")))))</f>
        <v/>
      </c>
      <c r="E186" s="128" t="str">
        <f>IF(足元帳!K186="","",足元帳!K186)</f>
        <v/>
      </c>
      <c r="F186" s="128" t="str">
        <f>IF(足元帳!K186="","",IF(足元帳!BB186=1,45,IF(足元帳!BB186=2,60,IF(足元帳!BB186=3,75,IF(足元帳!BB186=4,90,IF(足元帳!BB186=5,120,IF(足元帳!BB186=6,150,IF(足元帳!BB186=7,180,""))))))))</f>
        <v/>
      </c>
      <c r="G186" s="128" t="str">
        <f>IF(足元帳!K186="","",足元帳!A186)</f>
        <v/>
      </c>
      <c r="H186" s="125" t="str">
        <f>IF(足元帳!AP186="","",$H$1)</f>
        <v/>
      </c>
      <c r="I186" s="125" t="str">
        <f>IF(足元帳!AQ186="","",$I$1)</f>
        <v/>
      </c>
      <c r="J186" s="125" t="str">
        <f>IF(足元帳!AR186="","",$J$1)</f>
        <v/>
      </c>
      <c r="K186" s="125" t="str">
        <f>IF(足元帳!AS186="","",$K$1)</f>
        <v/>
      </c>
      <c r="L186" s="291" t="str">
        <f>IF(COUNTIF(足元帳!AT186,"*複合*"),"複合","")</f>
        <v/>
      </c>
      <c r="M186" s="291" t="str">
        <f>IF(COUNTIF(足元帳!AT186,"*店頭本指名*"),"店頭本指名","")</f>
        <v/>
      </c>
      <c r="N186" s="125" t="str">
        <f>IF(足元帳!U186="","",足元帳!U186)</f>
        <v/>
      </c>
      <c r="O186" s="125" t="str">
        <f>IF(足元帳!V186="","",足元帳!V186)</f>
        <v/>
      </c>
      <c r="P186" s="125" t="str">
        <f>IF(足元帳!W186="","",足元帳!W186)</f>
        <v/>
      </c>
      <c r="Q186" s="125" t="str">
        <f>IF(足元帳!X186="","",足元帳!X186)</f>
        <v/>
      </c>
      <c r="R186" s="125" t="str">
        <f>IF(足元帳!Y186="","",足元帳!Y186)</f>
        <v/>
      </c>
      <c r="S186" s="125" t="str">
        <f>IF(足元帳!Z186="","",足元帳!Z186)</f>
        <v/>
      </c>
      <c r="T186" s="125" t="str">
        <f>IF(足元帳!AT186="","",足元帳!AT186)</f>
        <v/>
      </c>
      <c r="U186" s="125" t="str">
        <f>IF(足元帳!AH186="●",足元帳!$AH$1&amp;足元帳!AW186,"")</f>
        <v/>
      </c>
      <c r="V186" s="125" t="str">
        <f>IF(足元帳!AI186="●",足元帳!$AI$1&amp;足元帳!AW186,"")</f>
        <v/>
      </c>
      <c r="W186" s="125" t="str">
        <f>IF(足元帳!AX186="","",足元帳!AX186)</f>
        <v/>
      </c>
      <c r="X186" s="125">
        <f>足元帳!BJ186</f>
        <v>0</v>
      </c>
    </row>
    <row r="187" spans="1:24" ht="13.15" customHeight="1">
      <c r="A187" s="126">
        <v>186</v>
      </c>
      <c r="B187" s="127" t="str">
        <f>IF(足元帳!K187="","",精算表!$W$1)</f>
        <v/>
      </c>
      <c r="C187" s="128" t="str">
        <f>IF(足元帳!K187="","",IF(足元帳!AY187=2,"R","N"))</f>
        <v/>
      </c>
      <c r="D187" s="128" t="str">
        <f>IF(足元帳!K187="","",IF(足元帳!AZ187=1,"姫",IF(足元帳!AZ187=2,"本指名",IF(足元帳!AZ187=3,"NET",IF(足元帳!AZ187=4,"写真","")))))</f>
        <v/>
      </c>
      <c r="E187" s="128" t="str">
        <f>IF(足元帳!K187="","",足元帳!K187)</f>
        <v/>
      </c>
      <c r="F187" s="128" t="str">
        <f>IF(足元帳!K187="","",IF(足元帳!BB187=1,45,IF(足元帳!BB187=2,60,IF(足元帳!BB187=3,75,IF(足元帳!BB187=4,90,IF(足元帳!BB187=5,120,IF(足元帳!BB187=6,150,IF(足元帳!BB187=7,180,""))))))))</f>
        <v/>
      </c>
      <c r="G187" s="128" t="str">
        <f>IF(足元帳!K187="","",足元帳!A187)</f>
        <v/>
      </c>
      <c r="H187" s="125" t="str">
        <f>IF(足元帳!AP187="","",$H$1)</f>
        <v/>
      </c>
      <c r="I187" s="125" t="str">
        <f>IF(足元帳!AQ187="","",$I$1)</f>
        <v/>
      </c>
      <c r="J187" s="125" t="str">
        <f>IF(足元帳!AR187="","",$J$1)</f>
        <v/>
      </c>
      <c r="K187" s="125" t="str">
        <f>IF(足元帳!AS187="","",$K$1)</f>
        <v/>
      </c>
      <c r="L187" s="291" t="str">
        <f>IF(COUNTIF(足元帳!AT187,"*複合*"),"複合","")</f>
        <v/>
      </c>
      <c r="M187" s="291" t="str">
        <f>IF(COUNTIF(足元帳!AT187,"*店頭本指名*"),"店頭本指名","")</f>
        <v/>
      </c>
      <c r="N187" s="125" t="str">
        <f>IF(足元帳!U187="","",足元帳!U187)</f>
        <v/>
      </c>
      <c r="O187" s="125" t="str">
        <f>IF(足元帳!V187="","",足元帳!V187)</f>
        <v/>
      </c>
      <c r="P187" s="125" t="str">
        <f>IF(足元帳!W187="","",足元帳!W187)</f>
        <v/>
      </c>
      <c r="Q187" s="125" t="str">
        <f>IF(足元帳!X187="","",足元帳!X187)</f>
        <v/>
      </c>
      <c r="R187" s="125" t="str">
        <f>IF(足元帳!Y187="","",足元帳!Y187)</f>
        <v/>
      </c>
      <c r="S187" s="125" t="str">
        <f>IF(足元帳!Z187="","",足元帳!Z187)</f>
        <v/>
      </c>
      <c r="T187" s="125" t="str">
        <f>IF(足元帳!AT187="","",足元帳!AT187)</f>
        <v/>
      </c>
      <c r="U187" s="125" t="str">
        <f>IF(足元帳!AH187="●",足元帳!$AH$1&amp;足元帳!AW187,"")</f>
        <v/>
      </c>
      <c r="V187" s="125" t="str">
        <f>IF(足元帳!AI187="●",足元帳!$AI$1&amp;足元帳!AW187,"")</f>
        <v/>
      </c>
      <c r="W187" s="125" t="str">
        <f>IF(足元帳!AX187="","",足元帳!AX187)</f>
        <v/>
      </c>
      <c r="X187" s="125">
        <f>足元帳!BJ187</f>
        <v>0</v>
      </c>
    </row>
    <row r="188" spans="1:24" ht="13.15" customHeight="1">
      <c r="A188" s="126">
        <v>187</v>
      </c>
      <c r="B188" s="127" t="str">
        <f>IF(足元帳!K188="","",精算表!$W$1)</f>
        <v/>
      </c>
      <c r="C188" s="128" t="str">
        <f>IF(足元帳!K188="","",IF(足元帳!AY188=2,"R","N"))</f>
        <v/>
      </c>
      <c r="D188" s="128" t="str">
        <f>IF(足元帳!K188="","",IF(足元帳!AZ188=1,"姫",IF(足元帳!AZ188=2,"本指名",IF(足元帳!AZ188=3,"NET",IF(足元帳!AZ188=4,"写真","")))))</f>
        <v/>
      </c>
      <c r="E188" s="128" t="str">
        <f>IF(足元帳!K188="","",足元帳!K188)</f>
        <v/>
      </c>
      <c r="F188" s="128" t="str">
        <f>IF(足元帳!K188="","",IF(足元帳!BB188=1,45,IF(足元帳!BB188=2,60,IF(足元帳!BB188=3,75,IF(足元帳!BB188=4,90,IF(足元帳!BB188=5,120,IF(足元帳!BB188=6,150,IF(足元帳!BB188=7,180,""))))))))</f>
        <v/>
      </c>
      <c r="G188" s="128" t="str">
        <f>IF(足元帳!K188="","",足元帳!A188)</f>
        <v/>
      </c>
      <c r="H188" s="125" t="str">
        <f>IF(足元帳!AP188="","",$H$1)</f>
        <v/>
      </c>
      <c r="I188" s="125" t="str">
        <f>IF(足元帳!AQ188="","",$I$1)</f>
        <v/>
      </c>
      <c r="J188" s="125" t="str">
        <f>IF(足元帳!AR188="","",$J$1)</f>
        <v/>
      </c>
      <c r="K188" s="125" t="str">
        <f>IF(足元帳!AS188="","",$K$1)</f>
        <v/>
      </c>
      <c r="L188" s="291" t="str">
        <f>IF(COUNTIF(足元帳!AT188,"*複合*"),"複合","")</f>
        <v/>
      </c>
      <c r="M188" s="291" t="str">
        <f>IF(COUNTIF(足元帳!AT188,"*店頭本指名*"),"店頭本指名","")</f>
        <v/>
      </c>
      <c r="N188" s="125" t="str">
        <f>IF(足元帳!U188="","",足元帳!U188)</f>
        <v/>
      </c>
      <c r="O188" s="125" t="str">
        <f>IF(足元帳!V188="","",足元帳!V188)</f>
        <v/>
      </c>
      <c r="P188" s="125" t="str">
        <f>IF(足元帳!W188="","",足元帳!W188)</f>
        <v/>
      </c>
      <c r="Q188" s="125" t="str">
        <f>IF(足元帳!X188="","",足元帳!X188)</f>
        <v/>
      </c>
      <c r="R188" s="125" t="str">
        <f>IF(足元帳!Y188="","",足元帳!Y188)</f>
        <v/>
      </c>
      <c r="S188" s="125" t="str">
        <f>IF(足元帳!Z188="","",足元帳!Z188)</f>
        <v/>
      </c>
      <c r="T188" s="125" t="str">
        <f>IF(足元帳!AT188="","",足元帳!AT188)</f>
        <v/>
      </c>
      <c r="U188" s="125" t="str">
        <f>IF(足元帳!AH188="●",足元帳!$AH$1&amp;足元帳!AW188,"")</f>
        <v/>
      </c>
      <c r="V188" s="125" t="str">
        <f>IF(足元帳!AI188="●",足元帳!$AI$1&amp;足元帳!AW188,"")</f>
        <v/>
      </c>
      <c r="W188" s="125" t="str">
        <f>IF(足元帳!AX188="","",足元帳!AX188)</f>
        <v/>
      </c>
      <c r="X188" s="125">
        <f>足元帳!BJ188</f>
        <v>0</v>
      </c>
    </row>
    <row r="189" spans="1:24" ht="13.15" customHeight="1">
      <c r="A189" s="126">
        <v>188</v>
      </c>
      <c r="B189" s="127" t="str">
        <f>IF(足元帳!K189="","",精算表!$W$1)</f>
        <v/>
      </c>
      <c r="C189" s="128" t="str">
        <f>IF(足元帳!K189="","",IF(足元帳!AY189=2,"R","N"))</f>
        <v/>
      </c>
      <c r="D189" s="128" t="str">
        <f>IF(足元帳!K189="","",IF(足元帳!AZ189=1,"姫",IF(足元帳!AZ189=2,"本指名",IF(足元帳!AZ189=3,"NET",IF(足元帳!AZ189=4,"写真","")))))</f>
        <v/>
      </c>
      <c r="E189" s="128" t="str">
        <f>IF(足元帳!K189="","",足元帳!K189)</f>
        <v/>
      </c>
      <c r="F189" s="128" t="str">
        <f>IF(足元帳!K189="","",IF(足元帳!BB189=1,45,IF(足元帳!BB189=2,60,IF(足元帳!BB189=3,75,IF(足元帳!BB189=4,90,IF(足元帳!BB189=5,120,IF(足元帳!BB189=6,150,IF(足元帳!BB189=7,180,""))))))))</f>
        <v/>
      </c>
      <c r="G189" s="128" t="str">
        <f>IF(足元帳!K189="","",足元帳!A189)</f>
        <v/>
      </c>
      <c r="H189" s="125" t="str">
        <f>IF(足元帳!AP189="","",$H$1)</f>
        <v/>
      </c>
      <c r="I189" s="125" t="str">
        <f>IF(足元帳!AQ189="","",$I$1)</f>
        <v/>
      </c>
      <c r="J189" s="125" t="str">
        <f>IF(足元帳!AR189="","",$J$1)</f>
        <v/>
      </c>
      <c r="K189" s="125" t="str">
        <f>IF(足元帳!AS189="","",$K$1)</f>
        <v/>
      </c>
      <c r="L189" s="291" t="str">
        <f>IF(COUNTIF(足元帳!AT189,"*複合*"),"複合","")</f>
        <v/>
      </c>
      <c r="M189" s="291" t="str">
        <f>IF(COUNTIF(足元帳!AT189,"*店頭本指名*"),"店頭本指名","")</f>
        <v/>
      </c>
      <c r="N189" s="125" t="str">
        <f>IF(足元帳!U189="","",足元帳!U189)</f>
        <v/>
      </c>
      <c r="O189" s="125" t="str">
        <f>IF(足元帳!V189="","",足元帳!V189)</f>
        <v/>
      </c>
      <c r="P189" s="125" t="str">
        <f>IF(足元帳!W189="","",足元帳!W189)</f>
        <v/>
      </c>
      <c r="Q189" s="125" t="str">
        <f>IF(足元帳!X189="","",足元帳!X189)</f>
        <v/>
      </c>
      <c r="R189" s="125" t="str">
        <f>IF(足元帳!Y189="","",足元帳!Y189)</f>
        <v/>
      </c>
      <c r="S189" s="125" t="str">
        <f>IF(足元帳!Z189="","",足元帳!Z189)</f>
        <v/>
      </c>
      <c r="T189" s="125" t="str">
        <f>IF(足元帳!AT189="","",足元帳!AT189)</f>
        <v/>
      </c>
      <c r="U189" s="125" t="str">
        <f>IF(足元帳!AH189="●",足元帳!$AH$1&amp;足元帳!AW189,"")</f>
        <v/>
      </c>
      <c r="V189" s="125" t="str">
        <f>IF(足元帳!AI189="●",足元帳!$AI$1&amp;足元帳!AW189,"")</f>
        <v/>
      </c>
      <c r="W189" s="125" t="str">
        <f>IF(足元帳!AX189="","",足元帳!AX189)</f>
        <v/>
      </c>
      <c r="X189" s="125">
        <f>足元帳!BJ189</f>
        <v>0</v>
      </c>
    </row>
    <row r="190" spans="1:24" ht="13.15" customHeight="1">
      <c r="A190" s="126">
        <v>189</v>
      </c>
      <c r="B190" s="127" t="str">
        <f>IF(足元帳!K190="","",精算表!$W$1)</f>
        <v/>
      </c>
      <c r="C190" s="128" t="str">
        <f>IF(足元帳!K190="","",IF(足元帳!AY190=2,"R","N"))</f>
        <v/>
      </c>
      <c r="D190" s="128" t="str">
        <f>IF(足元帳!K190="","",IF(足元帳!AZ190=1,"姫",IF(足元帳!AZ190=2,"本指名",IF(足元帳!AZ190=3,"NET",IF(足元帳!AZ190=4,"写真","")))))</f>
        <v/>
      </c>
      <c r="E190" s="128" t="str">
        <f>IF(足元帳!K190="","",足元帳!K190)</f>
        <v/>
      </c>
      <c r="F190" s="128" t="str">
        <f>IF(足元帳!K190="","",IF(足元帳!BB190=1,45,IF(足元帳!BB190=2,60,IF(足元帳!BB190=3,75,IF(足元帳!BB190=4,90,IF(足元帳!BB190=5,120,IF(足元帳!BB190=6,150,IF(足元帳!BB190=7,180,""))))))))</f>
        <v/>
      </c>
      <c r="G190" s="128" t="str">
        <f>IF(足元帳!K190="","",足元帳!A190)</f>
        <v/>
      </c>
      <c r="H190" s="125" t="str">
        <f>IF(足元帳!AP190="","",$H$1)</f>
        <v/>
      </c>
      <c r="I190" s="125" t="str">
        <f>IF(足元帳!AQ190="","",$I$1)</f>
        <v/>
      </c>
      <c r="J190" s="125" t="str">
        <f>IF(足元帳!AR190="","",$J$1)</f>
        <v/>
      </c>
      <c r="K190" s="125" t="str">
        <f>IF(足元帳!AS190="","",$K$1)</f>
        <v/>
      </c>
      <c r="L190" s="291" t="str">
        <f>IF(COUNTIF(足元帳!AT190,"*複合*"),"複合","")</f>
        <v/>
      </c>
      <c r="M190" s="291" t="str">
        <f>IF(COUNTIF(足元帳!AT190,"*店頭本指名*"),"店頭本指名","")</f>
        <v/>
      </c>
      <c r="N190" s="125" t="str">
        <f>IF(足元帳!U190="","",足元帳!U190)</f>
        <v/>
      </c>
      <c r="O190" s="125" t="str">
        <f>IF(足元帳!V190="","",足元帳!V190)</f>
        <v/>
      </c>
      <c r="P190" s="125" t="str">
        <f>IF(足元帳!W190="","",足元帳!W190)</f>
        <v/>
      </c>
      <c r="Q190" s="125" t="str">
        <f>IF(足元帳!X190="","",足元帳!X190)</f>
        <v/>
      </c>
      <c r="R190" s="125" t="str">
        <f>IF(足元帳!Y190="","",足元帳!Y190)</f>
        <v/>
      </c>
      <c r="S190" s="125" t="str">
        <f>IF(足元帳!Z190="","",足元帳!Z190)</f>
        <v/>
      </c>
      <c r="T190" s="125" t="str">
        <f>IF(足元帳!AT190="","",足元帳!AT190)</f>
        <v/>
      </c>
      <c r="U190" s="125" t="str">
        <f>IF(足元帳!AH190="●",足元帳!$AH$1&amp;足元帳!AW190,"")</f>
        <v/>
      </c>
      <c r="V190" s="125" t="str">
        <f>IF(足元帳!AI190="●",足元帳!$AI$1&amp;足元帳!AW190,"")</f>
        <v/>
      </c>
      <c r="W190" s="125" t="str">
        <f>IF(足元帳!AX190="","",足元帳!AX190)</f>
        <v/>
      </c>
      <c r="X190" s="125">
        <f>足元帳!BJ190</f>
        <v>0</v>
      </c>
    </row>
    <row r="191" spans="1:24" ht="13.15" customHeight="1">
      <c r="A191" s="126">
        <v>190</v>
      </c>
      <c r="B191" s="127" t="str">
        <f>IF(足元帳!K191="","",精算表!$W$1)</f>
        <v/>
      </c>
      <c r="C191" s="128" t="str">
        <f>IF(足元帳!K191="","",IF(足元帳!AY191=2,"R","N"))</f>
        <v/>
      </c>
      <c r="D191" s="128" t="str">
        <f>IF(足元帳!K191="","",IF(足元帳!AZ191=1,"姫",IF(足元帳!AZ191=2,"本指名",IF(足元帳!AZ191=3,"NET",IF(足元帳!AZ191=4,"写真","")))))</f>
        <v/>
      </c>
      <c r="E191" s="128" t="str">
        <f>IF(足元帳!K191="","",足元帳!K191)</f>
        <v/>
      </c>
      <c r="F191" s="128" t="str">
        <f>IF(足元帳!K191="","",IF(足元帳!BB191=1,45,IF(足元帳!BB191=2,60,IF(足元帳!BB191=3,75,IF(足元帳!BB191=4,90,IF(足元帳!BB191=5,120,IF(足元帳!BB191=6,150,IF(足元帳!BB191=7,180,""))))))))</f>
        <v/>
      </c>
      <c r="G191" s="128" t="str">
        <f>IF(足元帳!K191="","",足元帳!A191)</f>
        <v/>
      </c>
      <c r="H191" s="125" t="str">
        <f>IF(足元帳!AP191="","",$H$1)</f>
        <v/>
      </c>
      <c r="I191" s="125" t="str">
        <f>IF(足元帳!AQ191="","",$I$1)</f>
        <v/>
      </c>
      <c r="J191" s="125" t="str">
        <f>IF(足元帳!AR191="","",$J$1)</f>
        <v/>
      </c>
      <c r="K191" s="125" t="str">
        <f>IF(足元帳!AS191="","",$K$1)</f>
        <v/>
      </c>
      <c r="L191" s="291" t="str">
        <f>IF(COUNTIF(足元帳!AT191,"*複合*"),"複合","")</f>
        <v/>
      </c>
      <c r="M191" s="291" t="str">
        <f>IF(COUNTIF(足元帳!AT191,"*店頭本指名*"),"店頭本指名","")</f>
        <v/>
      </c>
      <c r="N191" s="125" t="str">
        <f>IF(足元帳!U191="","",足元帳!U191)</f>
        <v/>
      </c>
      <c r="O191" s="125" t="str">
        <f>IF(足元帳!V191="","",足元帳!V191)</f>
        <v/>
      </c>
      <c r="P191" s="125" t="str">
        <f>IF(足元帳!W191="","",足元帳!W191)</f>
        <v/>
      </c>
      <c r="Q191" s="125" t="str">
        <f>IF(足元帳!X191="","",足元帳!X191)</f>
        <v/>
      </c>
      <c r="R191" s="125" t="str">
        <f>IF(足元帳!Y191="","",足元帳!Y191)</f>
        <v/>
      </c>
      <c r="S191" s="125" t="str">
        <f>IF(足元帳!Z191="","",足元帳!Z191)</f>
        <v/>
      </c>
      <c r="T191" s="125" t="str">
        <f>IF(足元帳!AT191="","",足元帳!AT191)</f>
        <v/>
      </c>
      <c r="U191" s="125" t="str">
        <f>IF(足元帳!AH191="●",足元帳!$AH$1&amp;足元帳!AW191,"")</f>
        <v/>
      </c>
      <c r="V191" s="125" t="str">
        <f>IF(足元帳!AI191="●",足元帳!$AI$1&amp;足元帳!AW191,"")</f>
        <v/>
      </c>
      <c r="W191" s="125" t="str">
        <f>IF(足元帳!AX191="","",足元帳!AX191)</f>
        <v/>
      </c>
      <c r="X191" s="125">
        <f>足元帳!BJ191</f>
        <v>0</v>
      </c>
    </row>
    <row r="192" spans="1:24" ht="13.15" customHeight="1">
      <c r="A192" s="126">
        <v>191</v>
      </c>
      <c r="B192" s="127" t="str">
        <f>IF(足元帳!K192="","",精算表!$W$1)</f>
        <v/>
      </c>
      <c r="C192" s="128" t="str">
        <f>IF(足元帳!K192="","",IF(足元帳!AY192=2,"R","N"))</f>
        <v/>
      </c>
      <c r="D192" s="128" t="str">
        <f>IF(足元帳!K192="","",IF(足元帳!AZ192=1,"姫",IF(足元帳!AZ192=2,"本指名",IF(足元帳!AZ192=3,"NET",IF(足元帳!AZ192=4,"写真","")))))</f>
        <v/>
      </c>
      <c r="E192" s="128" t="str">
        <f>IF(足元帳!K192="","",足元帳!K192)</f>
        <v/>
      </c>
      <c r="F192" s="128" t="str">
        <f>IF(足元帳!K192="","",IF(足元帳!BB192=1,45,IF(足元帳!BB192=2,60,IF(足元帳!BB192=3,75,IF(足元帳!BB192=4,90,IF(足元帳!BB192=5,120,IF(足元帳!BB192=6,150,IF(足元帳!BB192=7,180,""))))))))</f>
        <v/>
      </c>
      <c r="G192" s="128" t="str">
        <f>IF(足元帳!K192="","",足元帳!A192)</f>
        <v/>
      </c>
      <c r="H192" s="125" t="str">
        <f>IF(足元帳!AP192="","",$H$1)</f>
        <v/>
      </c>
      <c r="I192" s="125" t="str">
        <f>IF(足元帳!AQ192="","",$I$1)</f>
        <v/>
      </c>
      <c r="J192" s="125" t="str">
        <f>IF(足元帳!AR192="","",$J$1)</f>
        <v/>
      </c>
      <c r="K192" s="125" t="str">
        <f>IF(足元帳!AS192="","",$K$1)</f>
        <v/>
      </c>
      <c r="L192" s="291" t="str">
        <f>IF(COUNTIF(足元帳!AT192,"*複合*"),"複合","")</f>
        <v/>
      </c>
      <c r="M192" s="291" t="str">
        <f>IF(COUNTIF(足元帳!AT192,"*店頭本指名*"),"店頭本指名","")</f>
        <v/>
      </c>
      <c r="N192" s="125" t="str">
        <f>IF(足元帳!U192="","",足元帳!U192)</f>
        <v/>
      </c>
      <c r="O192" s="125" t="str">
        <f>IF(足元帳!V192="","",足元帳!V192)</f>
        <v/>
      </c>
      <c r="P192" s="125" t="str">
        <f>IF(足元帳!W192="","",足元帳!W192)</f>
        <v/>
      </c>
      <c r="Q192" s="125" t="str">
        <f>IF(足元帳!X192="","",足元帳!X192)</f>
        <v/>
      </c>
      <c r="R192" s="125" t="str">
        <f>IF(足元帳!Y192="","",足元帳!Y192)</f>
        <v/>
      </c>
      <c r="S192" s="125" t="str">
        <f>IF(足元帳!Z192="","",足元帳!Z192)</f>
        <v/>
      </c>
      <c r="T192" s="125" t="str">
        <f>IF(足元帳!AT192="","",足元帳!AT192)</f>
        <v/>
      </c>
      <c r="U192" s="125" t="str">
        <f>IF(足元帳!AH192="●",足元帳!$AH$1&amp;足元帳!AW192,"")</f>
        <v/>
      </c>
      <c r="V192" s="125" t="str">
        <f>IF(足元帳!AI192="●",足元帳!$AI$1&amp;足元帳!AW192,"")</f>
        <v/>
      </c>
      <c r="W192" s="125" t="str">
        <f>IF(足元帳!AX192="","",足元帳!AX192)</f>
        <v/>
      </c>
      <c r="X192" s="125">
        <f>足元帳!BJ192</f>
        <v>0</v>
      </c>
    </row>
    <row r="193" spans="1:24" ht="13.15" customHeight="1">
      <c r="A193" s="126">
        <v>192</v>
      </c>
      <c r="B193" s="127" t="str">
        <f>IF(足元帳!K193="","",精算表!$W$1)</f>
        <v/>
      </c>
      <c r="C193" s="128" t="str">
        <f>IF(足元帳!K193="","",IF(足元帳!AY193=2,"R","N"))</f>
        <v/>
      </c>
      <c r="D193" s="128" t="str">
        <f>IF(足元帳!K193="","",IF(足元帳!AZ193=1,"姫",IF(足元帳!AZ193=2,"本指名",IF(足元帳!AZ193=3,"NET",IF(足元帳!AZ193=4,"写真","")))))</f>
        <v/>
      </c>
      <c r="E193" s="128" t="str">
        <f>IF(足元帳!K193="","",足元帳!K193)</f>
        <v/>
      </c>
      <c r="F193" s="128" t="str">
        <f>IF(足元帳!K193="","",IF(足元帳!BB193=1,45,IF(足元帳!BB193=2,60,IF(足元帳!BB193=3,75,IF(足元帳!BB193=4,90,IF(足元帳!BB193=5,120,IF(足元帳!BB193=6,150,IF(足元帳!BB193=7,180,""))))))))</f>
        <v/>
      </c>
      <c r="G193" s="128" t="str">
        <f>IF(足元帳!K193="","",足元帳!A193)</f>
        <v/>
      </c>
      <c r="H193" s="125" t="str">
        <f>IF(足元帳!AP193="","",$H$1)</f>
        <v/>
      </c>
      <c r="I193" s="125" t="str">
        <f>IF(足元帳!AQ193="","",$I$1)</f>
        <v/>
      </c>
      <c r="J193" s="125" t="str">
        <f>IF(足元帳!AR193="","",$J$1)</f>
        <v/>
      </c>
      <c r="K193" s="125" t="str">
        <f>IF(足元帳!AS193="","",$K$1)</f>
        <v/>
      </c>
      <c r="L193" s="291" t="str">
        <f>IF(COUNTIF(足元帳!AT193,"*複合*"),"複合","")</f>
        <v/>
      </c>
      <c r="M193" s="291" t="str">
        <f>IF(COUNTIF(足元帳!AT193,"*店頭本指名*"),"店頭本指名","")</f>
        <v/>
      </c>
      <c r="N193" s="125" t="str">
        <f>IF(足元帳!U193="","",足元帳!U193)</f>
        <v/>
      </c>
      <c r="O193" s="125" t="str">
        <f>IF(足元帳!V193="","",足元帳!V193)</f>
        <v/>
      </c>
      <c r="P193" s="125" t="str">
        <f>IF(足元帳!W193="","",足元帳!W193)</f>
        <v/>
      </c>
      <c r="Q193" s="125" t="str">
        <f>IF(足元帳!X193="","",足元帳!X193)</f>
        <v/>
      </c>
      <c r="R193" s="125" t="str">
        <f>IF(足元帳!Y193="","",足元帳!Y193)</f>
        <v/>
      </c>
      <c r="S193" s="125" t="str">
        <f>IF(足元帳!Z193="","",足元帳!Z193)</f>
        <v/>
      </c>
      <c r="T193" s="125" t="str">
        <f>IF(足元帳!AT193="","",足元帳!AT193)</f>
        <v/>
      </c>
      <c r="U193" s="125" t="str">
        <f>IF(足元帳!AH193="●",足元帳!$AH$1&amp;足元帳!AW193,"")</f>
        <v/>
      </c>
      <c r="V193" s="125" t="str">
        <f>IF(足元帳!AI193="●",足元帳!$AI$1&amp;足元帳!AW193,"")</f>
        <v/>
      </c>
      <c r="W193" s="125" t="str">
        <f>IF(足元帳!AX193="","",足元帳!AX193)</f>
        <v/>
      </c>
      <c r="X193" s="125">
        <f>足元帳!BJ193</f>
        <v>0</v>
      </c>
    </row>
    <row r="194" spans="1:24" ht="13.15" customHeight="1">
      <c r="A194" s="126">
        <v>193</v>
      </c>
      <c r="B194" s="127" t="str">
        <f>IF(足元帳!K194="","",精算表!$W$1)</f>
        <v/>
      </c>
      <c r="C194" s="128" t="str">
        <f>IF(足元帳!K194="","",IF(足元帳!AY194=2,"R","N"))</f>
        <v/>
      </c>
      <c r="D194" s="128" t="str">
        <f>IF(足元帳!K194="","",IF(足元帳!AZ194=1,"姫",IF(足元帳!AZ194=2,"本指名",IF(足元帳!AZ194=3,"NET",IF(足元帳!AZ194=4,"写真","")))))</f>
        <v/>
      </c>
      <c r="E194" s="128" t="str">
        <f>IF(足元帳!K194="","",足元帳!K194)</f>
        <v/>
      </c>
      <c r="F194" s="128" t="str">
        <f>IF(足元帳!K194="","",IF(足元帳!BB194=1,45,IF(足元帳!BB194=2,60,IF(足元帳!BB194=3,75,IF(足元帳!BB194=4,90,IF(足元帳!BB194=5,120,IF(足元帳!BB194=6,150,IF(足元帳!BB194=7,180,""))))))))</f>
        <v/>
      </c>
      <c r="G194" s="128" t="str">
        <f>IF(足元帳!K194="","",足元帳!A194)</f>
        <v/>
      </c>
      <c r="H194" s="125" t="str">
        <f>IF(足元帳!AP194="","",$H$1)</f>
        <v/>
      </c>
      <c r="I194" s="125" t="str">
        <f>IF(足元帳!AQ194="","",$I$1)</f>
        <v/>
      </c>
      <c r="J194" s="125" t="str">
        <f>IF(足元帳!AR194="","",$J$1)</f>
        <v/>
      </c>
      <c r="K194" s="125" t="str">
        <f>IF(足元帳!AS194="","",$K$1)</f>
        <v/>
      </c>
      <c r="L194" s="291" t="str">
        <f>IF(COUNTIF(足元帳!AT194,"*複合*"),"複合","")</f>
        <v/>
      </c>
      <c r="M194" s="291" t="str">
        <f>IF(COUNTIF(足元帳!AT194,"*店頭本指名*"),"店頭本指名","")</f>
        <v/>
      </c>
      <c r="N194" s="125" t="str">
        <f>IF(足元帳!U194="","",足元帳!U194)</f>
        <v/>
      </c>
      <c r="O194" s="125" t="str">
        <f>IF(足元帳!V194="","",足元帳!V194)</f>
        <v/>
      </c>
      <c r="P194" s="125" t="str">
        <f>IF(足元帳!W194="","",足元帳!W194)</f>
        <v/>
      </c>
      <c r="Q194" s="125" t="str">
        <f>IF(足元帳!X194="","",足元帳!X194)</f>
        <v/>
      </c>
      <c r="R194" s="125" t="str">
        <f>IF(足元帳!Y194="","",足元帳!Y194)</f>
        <v/>
      </c>
      <c r="S194" s="125" t="str">
        <f>IF(足元帳!Z194="","",足元帳!Z194)</f>
        <v/>
      </c>
      <c r="T194" s="125" t="str">
        <f>IF(足元帳!AT194="","",足元帳!AT194)</f>
        <v/>
      </c>
      <c r="U194" s="125" t="str">
        <f>IF(足元帳!AH194="●",足元帳!$AH$1&amp;足元帳!AW194,"")</f>
        <v/>
      </c>
      <c r="V194" s="125" t="str">
        <f>IF(足元帳!AI194="●",足元帳!$AI$1&amp;足元帳!AW194,"")</f>
        <v/>
      </c>
      <c r="W194" s="125" t="str">
        <f>IF(足元帳!AX194="","",足元帳!AX194)</f>
        <v/>
      </c>
      <c r="X194" s="125">
        <f>足元帳!BJ194</f>
        <v>0</v>
      </c>
    </row>
    <row r="195" spans="1:24" ht="13.15" customHeight="1">
      <c r="A195" s="126">
        <v>194</v>
      </c>
      <c r="B195" s="127" t="str">
        <f>IF(足元帳!K195="","",精算表!$W$1)</f>
        <v/>
      </c>
      <c r="C195" s="128" t="str">
        <f>IF(足元帳!K195="","",IF(足元帳!AY195=2,"R","N"))</f>
        <v/>
      </c>
      <c r="D195" s="128" t="str">
        <f>IF(足元帳!K195="","",IF(足元帳!AZ195=1,"姫",IF(足元帳!AZ195=2,"本指名",IF(足元帳!AZ195=3,"NET",IF(足元帳!AZ195=4,"写真","")))))</f>
        <v/>
      </c>
      <c r="E195" s="128" t="str">
        <f>IF(足元帳!K195="","",足元帳!K195)</f>
        <v/>
      </c>
      <c r="F195" s="128" t="str">
        <f>IF(足元帳!K195="","",IF(足元帳!BB195=1,45,IF(足元帳!BB195=2,60,IF(足元帳!BB195=3,75,IF(足元帳!BB195=4,90,IF(足元帳!BB195=5,120,IF(足元帳!BB195=6,150,IF(足元帳!BB195=7,180,""))))))))</f>
        <v/>
      </c>
      <c r="G195" s="128" t="str">
        <f>IF(足元帳!K195="","",足元帳!A195)</f>
        <v/>
      </c>
      <c r="H195" s="125" t="str">
        <f>IF(足元帳!AP195="","",$H$1)</f>
        <v/>
      </c>
      <c r="I195" s="125" t="str">
        <f>IF(足元帳!AQ195="","",$I$1)</f>
        <v/>
      </c>
      <c r="J195" s="125" t="str">
        <f>IF(足元帳!AR195="","",$J$1)</f>
        <v/>
      </c>
      <c r="K195" s="125" t="str">
        <f>IF(足元帳!AS195="","",$K$1)</f>
        <v/>
      </c>
      <c r="L195" s="291" t="str">
        <f>IF(COUNTIF(足元帳!AT195,"*複合*"),"複合","")</f>
        <v/>
      </c>
      <c r="M195" s="291" t="str">
        <f>IF(COUNTIF(足元帳!AT195,"*店頭本指名*"),"店頭本指名","")</f>
        <v/>
      </c>
      <c r="N195" s="125" t="str">
        <f>IF(足元帳!U195="","",足元帳!U195)</f>
        <v/>
      </c>
      <c r="O195" s="125" t="str">
        <f>IF(足元帳!V195="","",足元帳!V195)</f>
        <v/>
      </c>
      <c r="P195" s="125" t="str">
        <f>IF(足元帳!W195="","",足元帳!W195)</f>
        <v/>
      </c>
      <c r="Q195" s="125" t="str">
        <f>IF(足元帳!X195="","",足元帳!X195)</f>
        <v/>
      </c>
      <c r="R195" s="125" t="str">
        <f>IF(足元帳!Y195="","",足元帳!Y195)</f>
        <v/>
      </c>
      <c r="S195" s="125" t="str">
        <f>IF(足元帳!Z195="","",足元帳!Z195)</f>
        <v/>
      </c>
      <c r="T195" s="125" t="str">
        <f>IF(足元帳!AT195="","",足元帳!AT195)</f>
        <v/>
      </c>
      <c r="U195" s="125" t="str">
        <f>IF(足元帳!AH195="●",足元帳!$AH$1&amp;足元帳!AW195,"")</f>
        <v/>
      </c>
      <c r="V195" s="125" t="str">
        <f>IF(足元帳!AI195="●",足元帳!$AI$1&amp;足元帳!AW195,"")</f>
        <v/>
      </c>
      <c r="W195" s="125" t="str">
        <f>IF(足元帳!AX195="","",足元帳!AX195)</f>
        <v/>
      </c>
      <c r="X195" s="125">
        <f>足元帳!BJ195</f>
        <v>0</v>
      </c>
    </row>
    <row r="196" spans="1:24" ht="13.15" customHeight="1">
      <c r="A196" s="126">
        <v>195</v>
      </c>
      <c r="B196" s="127" t="str">
        <f>IF(足元帳!K196="","",精算表!$W$1)</f>
        <v/>
      </c>
      <c r="C196" s="128" t="str">
        <f>IF(足元帳!K196="","",IF(足元帳!AY196=2,"R","N"))</f>
        <v/>
      </c>
      <c r="D196" s="128" t="str">
        <f>IF(足元帳!K196="","",IF(足元帳!AZ196=1,"姫",IF(足元帳!AZ196=2,"本指名",IF(足元帳!AZ196=3,"NET",IF(足元帳!AZ196=4,"写真","")))))</f>
        <v/>
      </c>
      <c r="E196" s="128" t="str">
        <f>IF(足元帳!K196="","",足元帳!K196)</f>
        <v/>
      </c>
      <c r="F196" s="128" t="str">
        <f>IF(足元帳!K196="","",IF(足元帳!BB196=1,45,IF(足元帳!BB196=2,60,IF(足元帳!BB196=3,75,IF(足元帳!BB196=4,90,IF(足元帳!BB196=5,120,IF(足元帳!BB196=6,150,IF(足元帳!BB196=7,180,""))))))))</f>
        <v/>
      </c>
      <c r="G196" s="128" t="str">
        <f>IF(足元帳!K196="","",足元帳!A196)</f>
        <v/>
      </c>
      <c r="H196" s="125" t="str">
        <f>IF(足元帳!AP196="","",$H$1)</f>
        <v/>
      </c>
      <c r="I196" s="125" t="str">
        <f>IF(足元帳!AQ196="","",$I$1)</f>
        <v/>
      </c>
      <c r="J196" s="125" t="str">
        <f>IF(足元帳!AR196="","",$J$1)</f>
        <v/>
      </c>
      <c r="K196" s="125" t="str">
        <f>IF(足元帳!AS196="","",$K$1)</f>
        <v/>
      </c>
      <c r="L196" s="291" t="str">
        <f>IF(COUNTIF(足元帳!AT196,"*複合*"),"複合","")</f>
        <v/>
      </c>
      <c r="M196" s="291" t="str">
        <f>IF(COUNTIF(足元帳!AT196,"*店頭本指名*"),"店頭本指名","")</f>
        <v/>
      </c>
      <c r="N196" s="125" t="str">
        <f>IF(足元帳!U196="","",足元帳!U196)</f>
        <v/>
      </c>
      <c r="O196" s="125" t="str">
        <f>IF(足元帳!V196="","",足元帳!V196)</f>
        <v/>
      </c>
      <c r="P196" s="125" t="str">
        <f>IF(足元帳!W196="","",足元帳!W196)</f>
        <v/>
      </c>
      <c r="Q196" s="125" t="str">
        <f>IF(足元帳!X196="","",足元帳!X196)</f>
        <v/>
      </c>
      <c r="R196" s="125" t="str">
        <f>IF(足元帳!Y196="","",足元帳!Y196)</f>
        <v/>
      </c>
      <c r="S196" s="125" t="str">
        <f>IF(足元帳!Z196="","",足元帳!Z196)</f>
        <v/>
      </c>
      <c r="T196" s="125" t="str">
        <f>IF(足元帳!AT196="","",足元帳!AT196)</f>
        <v/>
      </c>
      <c r="U196" s="125" t="str">
        <f>IF(足元帳!AH196="●",足元帳!$AH$1&amp;足元帳!AW196,"")</f>
        <v/>
      </c>
      <c r="V196" s="125" t="str">
        <f>IF(足元帳!AI196="●",足元帳!$AI$1&amp;足元帳!AW196,"")</f>
        <v/>
      </c>
      <c r="W196" s="125" t="str">
        <f>IF(足元帳!AX196="","",足元帳!AX196)</f>
        <v/>
      </c>
      <c r="X196" s="125">
        <f>足元帳!BJ196</f>
        <v>0</v>
      </c>
    </row>
    <row r="197" spans="1:24" ht="13.15" customHeight="1">
      <c r="A197" s="126">
        <v>196</v>
      </c>
      <c r="B197" s="127" t="str">
        <f>IF(足元帳!K197="","",精算表!$W$1)</f>
        <v/>
      </c>
      <c r="C197" s="128" t="str">
        <f>IF(足元帳!K197="","",IF(足元帳!AY197=2,"R","N"))</f>
        <v/>
      </c>
      <c r="D197" s="128" t="str">
        <f>IF(足元帳!K197="","",IF(足元帳!AZ197=1,"姫",IF(足元帳!AZ197=2,"本指名",IF(足元帳!AZ197=3,"NET",IF(足元帳!AZ197=4,"写真","")))))</f>
        <v/>
      </c>
      <c r="E197" s="128" t="str">
        <f>IF(足元帳!K197="","",足元帳!K197)</f>
        <v/>
      </c>
      <c r="F197" s="128" t="str">
        <f>IF(足元帳!K197="","",IF(足元帳!BB197=1,45,IF(足元帳!BB197=2,60,IF(足元帳!BB197=3,75,IF(足元帳!BB197=4,90,IF(足元帳!BB197=5,120,IF(足元帳!BB197=6,150,IF(足元帳!BB197=7,180,""))))))))</f>
        <v/>
      </c>
      <c r="G197" s="128" t="str">
        <f>IF(足元帳!K197="","",足元帳!A197)</f>
        <v/>
      </c>
      <c r="H197" s="125" t="str">
        <f>IF(足元帳!AP197="","",$H$1)</f>
        <v/>
      </c>
      <c r="I197" s="125" t="str">
        <f>IF(足元帳!AQ197="","",$I$1)</f>
        <v/>
      </c>
      <c r="J197" s="125" t="str">
        <f>IF(足元帳!AR197="","",$J$1)</f>
        <v/>
      </c>
      <c r="K197" s="125" t="str">
        <f>IF(足元帳!AS197="","",$K$1)</f>
        <v/>
      </c>
      <c r="L197" s="291" t="str">
        <f>IF(COUNTIF(足元帳!AT197,"*複合*"),"複合","")</f>
        <v/>
      </c>
      <c r="M197" s="291" t="str">
        <f>IF(COUNTIF(足元帳!AT197,"*店頭本指名*"),"店頭本指名","")</f>
        <v/>
      </c>
      <c r="N197" s="125" t="str">
        <f>IF(足元帳!U197="","",足元帳!U197)</f>
        <v/>
      </c>
      <c r="O197" s="125" t="str">
        <f>IF(足元帳!V197="","",足元帳!V197)</f>
        <v/>
      </c>
      <c r="P197" s="125" t="str">
        <f>IF(足元帳!W197="","",足元帳!W197)</f>
        <v/>
      </c>
      <c r="Q197" s="125" t="str">
        <f>IF(足元帳!X197="","",足元帳!X197)</f>
        <v/>
      </c>
      <c r="R197" s="125" t="str">
        <f>IF(足元帳!Y197="","",足元帳!Y197)</f>
        <v/>
      </c>
      <c r="S197" s="125" t="str">
        <f>IF(足元帳!Z197="","",足元帳!Z197)</f>
        <v/>
      </c>
      <c r="T197" s="125" t="str">
        <f>IF(足元帳!AT197="","",足元帳!AT197)</f>
        <v/>
      </c>
      <c r="U197" s="125" t="str">
        <f>IF(足元帳!AH197="●",足元帳!$AH$1&amp;足元帳!AW197,"")</f>
        <v/>
      </c>
      <c r="V197" s="125" t="str">
        <f>IF(足元帳!AI197="●",足元帳!$AI$1&amp;足元帳!AW197,"")</f>
        <v/>
      </c>
      <c r="W197" s="125" t="str">
        <f>IF(足元帳!AX197="","",足元帳!AX197)</f>
        <v/>
      </c>
      <c r="X197" s="125">
        <f>足元帳!BJ197</f>
        <v>0</v>
      </c>
    </row>
    <row r="198" spans="1:24" ht="13.15" customHeight="1">
      <c r="A198" s="126">
        <v>197</v>
      </c>
      <c r="B198" s="127" t="str">
        <f>IF(足元帳!K198="","",精算表!$W$1)</f>
        <v/>
      </c>
      <c r="C198" s="128" t="str">
        <f>IF(足元帳!K198="","",IF(足元帳!AY198=2,"R","N"))</f>
        <v/>
      </c>
      <c r="D198" s="128" t="str">
        <f>IF(足元帳!K198="","",IF(足元帳!AZ198=1,"姫",IF(足元帳!AZ198=2,"本指名",IF(足元帳!AZ198=3,"NET",IF(足元帳!AZ198=4,"写真","")))))</f>
        <v/>
      </c>
      <c r="E198" s="128" t="str">
        <f>IF(足元帳!K198="","",足元帳!K198)</f>
        <v/>
      </c>
      <c r="F198" s="128" t="str">
        <f>IF(足元帳!K198="","",IF(足元帳!BB198=1,45,IF(足元帳!BB198=2,60,IF(足元帳!BB198=3,75,IF(足元帳!BB198=4,90,IF(足元帳!BB198=5,120,IF(足元帳!BB198=6,150,IF(足元帳!BB198=7,180,""))))))))</f>
        <v/>
      </c>
      <c r="G198" s="128" t="str">
        <f>IF(足元帳!K198="","",足元帳!A198)</f>
        <v/>
      </c>
      <c r="H198" s="125" t="str">
        <f>IF(足元帳!AP198="","",$H$1)</f>
        <v/>
      </c>
      <c r="I198" s="125" t="str">
        <f>IF(足元帳!AQ198="","",$I$1)</f>
        <v/>
      </c>
      <c r="J198" s="125" t="str">
        <f>IF(足元帳!AR198="","",$J$1)</f>
        <v/>
      </c>
      <c r="K198" s="125" t="str">
        <f>IF(足元帳!AS198="","",$K$1)</f>
        <v/>
      </c>
      <c r="L198" s="291" t="str">
        <f>IF(COUNTIF(足元帳!AT198,"*複合*"),"複合","")</f>
        <v/>
      </c>
      <c r="M198" s="291" t="str">
        <f>IF(COUNTIF(足元帳!AT198,"*店頭本指名*"),"店頭本指名","")</f>
        <v/>
      </c>
      <c r="N198" s="125" t="str">
        <f>IF(足元帳!U198="","",足元帳!U198)</f>
        <v/>
      </c>
      <c r="O198" s="125" t="str">
        <f>IF(足元帳!V198="","",足元帳!V198)</f>
        <v/>
      </c>
      <c r="P198" s="125" t="str">
        <f>IF(足元帳!W198="","",足元帳!W198)</f>
        <v/>
      </c>
      <c r="Q198" s="125" t="str">
        <f>IF(足元帳!X198="","",足元帳!X198)</f>
        <v/>
      </c>
      <c r="R198" s="125" t="str">
        <f>IF(足元帳!Y198="","",足元帳!Y198)</f>
        <v/>
      </c>
      <c r="S198" s="125" t="str">
        <f>IF(足元帳!Z198="","",足元帳!Z198)</f>
        <v/>
      </c>
      <c r="T198" s="125" t="str">
        <f>IF(足元帳!AT198="","",足元帳!AT198)</f>
        <v/>
      </c>
      <c r="U198" s="125" t="str">
        <f>IF(足元帳!AH198="●",足元帳!$AH$1&amp;足元帳!AW198,"")</f>
        <v/>
      </c>
      <c r="V198" s="125" t="str">
        <f>IF(足元帳!AI198="●",足元帳!$AI$1&amp;足元帳!AW198,"")</f>
        <v/>
      </c>
      <c r="W198" s="125" t="str">
        <f>IF(足元帳!AX198="","",足元帳!AX198)</f>
        <v/>
      </c>
      <c r="X198" s="125">
        <f>足元帳!BJ198</f>
        <v>0</v>
      </c>
    </row>
    <row r="199" spans="1:24" ht="13.15" customHeight="1">
      <c r="A199" s="126">
        <v>198</v>
      </c>
      <c r="B199" s="127" t="str">
        <f>IF(足元帳!K199="","",精算表!$W$1)</f>
        <v/>
      </c>
      <c r="C199" s="128" t="str">
        <f>IF(足元帳!K199="","",IF(足元帳!AY199=2,"R","N"))</f>
        <v/>
      </c>
      <c r="D199" s="128" t="str">
        <f>IF(足元帳!K199="","",IF(足元帳!AZ199=1,"姫",IF(足元帳!AZ199=2,"本指名",IF(足元帳!AZ199=3,"NET",IF(足元帳!AZ199=4,"写真","")))))</f>
        <v/>
      </c>
      <c r="E199" s="128" t="str">
        <f>IF(足元帳!K199="","",足元帳!K199)</f>
        <v/>
      </c>
      <c r="F199" s="128" t="str">
        <f>IF(足元帳!K199="","",IF(足元帳!BB199=1,45,IF(足元帳!BB199=2,60,IF(足元帳!BB199=3,75,IF(足元帳!BB199=4,90,IF(足元帳!BB199=5,120,IF(足元帳!BB199=6,150,IF(足元帳!BB199=7,180,""))))))))</f>
        <v/>
      </c>
      <c r="G199" s="128" t="str">
        <f>IF(足元帳!K199="","",足元帳!A199)</f>
        <v/>
      </c>
      <c r="H199" s="125" t="str">
        <f>IF(足元帳!AP199="","",$H$1)</f>
        <v/>
      </c>
      <c r="I199" s="125" t="str">
        <f>IF(足元帳!AQ199="","",$I$1)</f>
        <v/>
      </c>
      <c r="J199" s="125" t="str">
        <f>IF(足元帳!AR199="","",$J$1)</f>
        <v/>
      </c>
      <c r="K199" s="125" t="str">
        <f>IF(足元帳!AS199="","",$K$1)</f>
        <v/>
      </c>
      <c r="L199" s="291" t="str">
        <f>IF(COUNTIF(足元帳!AT199,"*複合*"),"複合","")</f>
        <v/>
      </c>
      <c r="M199" s="291" t="str">
        <f>IF(COUNTIF(足元帳!AT199,"*店頭本指名*"),"店頭本指名","")</f>
        <v/>
      </c>
      <c r="N199" s="125" t="str">
        <f>IF(足元帳!U199="","",足元帳!U199)</f>
        <v/>
      </c>
      <c r="O199" s="125" t="str">
        <f>IF(足元帳!V199="","",足元帳!V199)</f>
        <v/>
      </c>
      <c r="P199" s="125" t="str">
        <f>IF(足元帳!W199="","",足元帳!W199)</f>
        <v/>
      </c>
      <c r="Q199" s="125" t="str">
        <f>IF(足元帳!X199="","",足元帳!X199)</f>
        <v/>
      </c>
      <c r="R199" s="125" t="str">
        <f>IF(足元帳!Y199="","",足元帳!Y199)</f>
        <v/>
      </c>
      <c r="S199" s="125" t="str">
        <f>IF(足元帳!Z199="","",足元帳!Z199)</f>
        <v/>
      </c>
      <c r="T199" s="125" t="str">
        <f>IF(足元帳!AT199="","",足元帳!AT199)</f>
        <v/>
      </c>
      <c r="U199" s="125" t="str">
        <f>IF(足元帳!AH199="●",足元帳!$AH$1&amp;足元帳!AW199,"")</f>
        <v/>
      </c>
      <c r="V199" s="125" t="str">
        <f>IF(足元帳!AI199="●",足元帳!$AI$1&amp;足元帳!AW199,"")</f>
        <v/>
      </c>
      <c r="W199" s="125" t="str">
        <f>IF(足元帳!AX199="","",足元帳!AX199)</f>
        <v/>
      </c>
      <c r="X199" s="125">
        <f>足元帳!BJ199</f>
        <v>0</v>
      </c>
    </row>
    <row r="200" spans="1:24" ht="13.15" customHeight="1">
      <c r="A200" s="126">
        <v>199</v>
      </c>
      <c r="B200" s="127" t="str">
        <f>IF(足元帳!K200="","",精算表!$W$1)</f>
        <v/>
      </c>
      <c r="C200" s="128" t="str">
        <f>IF(足元帳!K200="","",IF(足元帳!AY200=2,"R","N"))</f>
        <v/>
      </c>
      <c r="D200" s="128" t="str">
        <f>IF(足元帳!K200="","",IF(足元帳!AZ200=1,"姫",IF(足元帳!AZ200=2,"本指名",IF(足元帳!AZ200=3,"NET",IF(足元帳!AZ200=4,"写真","")))))</f>
        <v/>
      </c>
      <c r="E200" s="128" t="str">
        <f>IF(足元帳!K200="","",足元帳!K200)</f>
        <v/>
      </c>
      <c r="F200" s="128" t="str">
        <f>IF(足元帳!K200="","",IF(足元帳!BB200=1,45,IF(足元帳!BB200=2,60,IF(足元帳!BB200=3,75,IF(足元帳!BB200=4,90,IF(足元帳!BB200=5,120,IF(足元帳!BB200=6,150,IF(足元帳!BB200=7,180,""))))))))</f>
        <v/>
      </c>
      <c r="G200" s="128" t="str">
        <f>IF(足元帳!K200="","",足元帳!A200)</f>
        <v/>
      </c>
      <c r="H200" s="125" t="str">
        <f>IF(足元帳!AP200="","",$H$1)</f>
        <v/>
      </c>
      <c r="I200" s="125" t="str">
        <f>IF(足元帳!AQ200="","",$I$1)</f>
        <v/>
      </c>
      <c r="J200" s="125" t="str">
        <f>IF(足元帳!AR200="","",$J$1)</f>
        <v/>
      </c>
      <c r="K200" s="125" t="str">
        <f>IF(足元帳!AS200="","",$K$1)</f>
        <v/>
      </c>
      <c r="L200" s="291" t="str">
        <f>IF(COUNTIF(足元帳!AT200,"*複合*"),"複合","")</f>
        <v/>
      </c>
      <c r="M200" s="291" t="str">
        <f>IF(COUNTIF(足元帳!AT200,"*店頭本指名*"),"店頭本指名","")</f>
        <v/>
      </c>
      <c r="N200" s="125" t="str">
        <f>IF(足元帳!U200="","",足元帳!U200)</f>
        <v/>
      </c>
      <c r="O200" s="125" t="str">
        <f>IF(足元帳!V200="","",足元帳!V200)</f>
        <v/>
      </c>
      <c r="P200" s="125" t="str">
        <f>IF(足元帳!W200="","",足元帳!W200)</f>
        <v/>
      </c>
      <c r="Q200" s="125" t="str">
        <f>IF(足元帳!X200="","",足元帳!X200)</f>
        <v/>
      </c>
      <c r="R200" s="125" t="str">
        <f>IF(足元帳!Y200="","",足元帳!Y200)</f>
        <v/>
      </c>
      <c r="S200" s="125" t="str">
        <f>IF(足元帳!Z200="","",足元帳!Z200)</f>
        <v/>
      </c>
      <c r="T200" s="125" t="str">
        <f>IF(足元帳!AT200="","",足元帳!AT200)</f>
        <v/>
      </c>
      <c r="U200" s="125" t="str">
        <f>IF(足元帳!AH200="●",足元帳!$AH$1&amp;足元帳!AW200,"")</f>
        <v/>
      </c>
      <c r="V200" s="125" t="str">
        <f>IF(足元帳!AI200="●",足元帳!$AI$1&amp;足元帳!AW200,"")</f>
        <v/>
      </c>
      <c r="W200" s="125" t="str">
        <f>IF(足元帳!AX200="","",足元帳!AX200)</f>
        <v/>
      </c>
      <c r="X200" s="125">
        <f>足元帳!BJ200</f>
        <v>0</v>
      </c>
    </row>
    <row r="201" spans="1:24" ht="13.15" customHeight="1">
      <c r="A201" s="126">
        <v>200</v>
      </c>
      <c r="B201" s="127" t="str">
        <f>IF(足元帳!K201="","",精算表!$W$1)</f>
        <v/>
      </c>
      <c r="C201" s="128" t="str">
        <f>IF(足元帳!K201="","",IF(足元帳!AY201=2,"R","N"))</f>
        <v/>
      </c>
      <c r="D201" s="128" t="str">
        <f>IF(足元帳!K201="","",IF(足元帳!AZ201=1,"姫",IF(足元帳!AZ201=2,"本指名",IF(足元帳!AZ201=3,"NET",IF(足元帳!AZ201=4,"写真","")))))</f>
        <v/>
      </c>
      <c r="E201" s="128" t="str">
        <f>IF(足元帳!K201="","",足元帳!K201)</f>
        <v/>
      </c>
      <c r="F201" s="128" t="str">
        <f>IF(足元帳!K201="","",IF(足元帳!BB201=1,45,IF(足元帳!BB201=2,60,IF(足元帳!BB201=3,75,IF(足元帳!BB201=4,90,IF(足元帳!BB201=5,120,IF(足元帳!BB201=6,150,IF(足元帳!BB201=7,180,""))))))))</f>
        <v/>
      </c>
      <c r="G201" s="128" t="str">
        <f>IF(足元帳!K201="","",足元帳!A201)</f>
        <v/>
      </c>
      <c r="H201" s="125" t="str">
        <f>IF(足元帳!AP201="","",$H$1)</f>
        <v/>
      </c>
      <c r="I201" s="125" t="str">
        <f>IF(足元帳!AQ201="","",$I$1)</f>
        <v/>
      </c>
      <c r="J201" s="125" t="str">
        <f>IF(足元帳!AR201="","",$J$1)</f>
        <v/>
      </c>
      <c r="K201" s="125" t="str">
        <f>IF(足元帳!AS201="","",$K$1)</f>
        <v/>
      </c>
      <c r="L201" s="291" t="str">
        <f>IF(COUNTIF(足元帳!AT201,"*複合*"),"複合","")</f>
        <v/>
      </c>
      <c r="M201" s="291" t="str">
        <f>IF(COUNTIF(足元帳!AT201,"*店頭本指名*"),"店頭本指名","")</f>
        <v/>
      </c>
      <c r="N201" s="125" t="str">
        <f>IF(足元帳!U201="","",足元帳!U201)</f>
        <v/>
      </c>
      <c r="O201" s="125" t="str">
        <f>IF(足元帳!V201="","",足元帳!V201)</f>
        <v/>
      </c>
      <c r="P201" s="125" t="str">
        <f>IF(足元帳!W201="","",足元帳!W201)</f>
        <v/>
      </c>
      <c r="Q201" s="125" t="str">
        <f>IF(足元帳!X201="","",足元帳!X201)</f>
        <v/>
      </c>
      <c r="R201" s="125" t="str">
        <f>IF(足元帳!Y201="","",足元帳!Y201)</f>
        <v/>
      </c>
      <c r="S201" s="125" t="str">
        <f>IF(足元帳!Z201="","",足元帳!Z201)</f>
        <v/>
      </c>
      <c r="T201" s="125" t="str">
        <f>IF(足元帳!AT201="","",足元帳!AT201)</f>
        <v/>
      </c>
      <c r="U201" s="125" t="str">
        <f>IF(足元帳!AH201="●",足元帳!$AH$1&amp;足元帳!AW201,"")</f>
        <v/>
      </c>
      <c r="V201" s="125" t="str">
        <f>IF(足元帳!AI201="●",足元帳!$AI$1&amp;足元帳!AW201,"")</f>
        <v/>
      </c>
      <c r="W201" s="125" t="str">
        <f>IF(足元帳!AX201="","",足元帳!AX201)</f>
        <v/>
      </c>
      <c r="X201" s="125">
        <f>足元帳!BJ201</f>
        <v>0</v>
      </c>
    </row>
    <row r="202" spans="1:24" ht="13.15" customHeight="1">
      <c r="A202" s="126">
        <v>201</v>
      </c>
      <c r="B202" s="127" t="str">
        <f>IF(足元帳!K202="","",精算表!$W$1)</f>
        <v/>
      </c>
      <c r="C202" s="128" t="str">
        <f>IF(足元帳!K202="","",IF(足元帳!AY202=2,"R","N"))</f>
        <v/>
      </c>
      <c r="D202" s="128" t="str">
        <f>IF(足元帳!K202="","",IF(足元帳!AZ202=1,"姫",IF(足元帳!AZ202=2,"本指名",IF(足元帳!AZ202=3,"NET",IF(足元帳!AZ202=4,"写真","")))))</f>
        <v/>
      </c>
      <c r="E202" s="128" t="str">
        <f>IF(足元帳!K202="","",足元帳!K202)</f>
        <v/>
      </c>
      <c r="F202" s="128" t="str">
        <f>IF(足元帳!K202="","",IF(足元帳!BB202=1,45,IF(足元帳!BB202=2,60,IF(足元帳!BB202=3,75,IF(足元帳!BB202=4,90,IF(足元帳!BB202=5,120,IF(足元帳!BB202=6,150,IF(足元帳!BB202=7,180,""))))))))</f>
        <v/>
      </c>
      <c r="G202" s="128" t="str">
        <f>IF(足元帳!K202="","",足元帳!A202)</f>
        <v/>
      </c>
      <c r="H202" s="125" t="str">
        <f>IF(足元帳!AP202="","",$H$1)</f>
        <v/>
      </c>
      <c r="I202" s="125" t="str">
        <f>IF(足元帳!AQ202="","",$I$1)</f>
        <v/>
      </c>
      <c r="J202" s="125" t="str">
        <f>IF(足元帳!AR202="","",$J$1)</f>
        <v/>
      </c>
      <c r="K202" s="125" t="str">
        <f>IF(足元帳!AS202="","",$K$1)</f>
        <v/>
      </c>
      <c r="L202" s="291" t="str">
        <f>IF(COUNTIF(足元帳!AT202,"*複合*"),"複合","")</f>
        <v/>
      </c>
      <c r="M202" s="291" t="str">
        <f>IF(COUNTIF(足元帳!AT202,"*店頭本指名*"),"店頭本指名","")</f>
        <v/>
      </c>
      <c r="N202" s="125" t="str">
        <f>IF(足元帳!U202="","",足元帳!U202)</f>
        <v/>
      </c>
      <c r="O202" s="125" t="str">
        <f>IF(足元帳!V202="","",足元帳!V202)</f>
        <v/>
      </c>
      <c r="P202" s="125" t="str">
        <f>IF(足元帳!W202="","",足元帳!W202)</f>
        <v/>
      </c>
      <c r="Q202" s="125" t="str">
        <f>IF(足元帳!X202="","",足元帳!X202)</f>
        <v/>
      </c>
      <c r="R202" s="125" t="str">
        <f>IF(足元帳!Y202="","",足元帳!Y202)</f>
        <v/>
      </c>
      <c r="S202" s="125" t="str">
        <f>IF(足元帳!Z202="","",足元帳!Z202)</f>
        <v/>
      </c>
      <c r="T202" s="125" t="str">
        <f>IF(足元帳!AT202="","",足元帳!AT202)</f>
        <v/>
      </c>
      <c r="U202" s="125" t="str">
        <f>IF(足元帳!AH202="●",足元帳!$AH$1&amp;足元帳!AW202,"")</f>
        <v/>
      </c>
      <c r="V202" s="125" t="str">
        <f>IF(足元帳!AI202="●",足元帳!$AI$1&amp;足元帳!AW202,"")</f>
        <v/>
      </c>
      <c r="W202" s="125" t="str">
        <f>IF(足元帳!AX202="","",足元帳!AX202)</f>
        <v/>
      </c>
      <c r="X202" s="125">
        <f>足元帳!BJ202</f>
        <v>0</v>
      </c>
    </row>
    <row r="203" spans="1:24" ht="13.15" customHeight="1">
      <c r="A203" s="126">
        <v>202</v>
      </c>
      <c r="B203" s="127" t="str">
        <f>IF(足元帳!K203="","",精算表!$W$1)</f>
        <v/>
      </c>
      <c r="C203" s="128" t="str">
        <f>IF(足元帳!K203="","",IF(足元帳!AY203=2,"R","N"))</f>
        <v/>
      </c>
      <c r="D203" s="128" t="str">
        <f>IF(足元帳!K203="","",IF(足元帳!AZ203=1,"姫",IF(足元帳!AZ203=2,"本指名",IF(足元帳!AZ203=3,"NET",IF(足元帳!AZ203=4,"写真","")))))</f>
        <v/>
      </c>
      <c r="E203" s="128" t="str">
        <f>IF(足元帳!K203="","",足元帳!K203)</f>
        <v/>
      </c>
      <c r="F203" s="128" t="str">
        <f>IF(足元帳!K203="","",IF(足元帳!BB203=1,45,IF(足元帳!BB203=2,60,IF(足元帳!BB203=3,75,IF(足元帳!BB203=4,90,IF(足元帳!BB203=5,120,IF(足元帳!BB203=6,150,IF(足元帳!BB203=7,180,""))))))))</f>
        <v/>
      </c>
      <c r="G203" s="128" t="str">
        <f>IF(足元帳!K203="","",足元帳!A203)</f>
        <v/>
      </c>
      <c r="H203" s="125" t="str">
        <f>IF(足元帳!AP203="","",$H$1)</f>
        <v/>
      </c>
      <c r="I203" s="125" t="str">
        <f>IF(足元帳!AQ203="","",$I$1)</f>
        <v/>
      </c>
      <c r="J203" s="125" t="str">
        <f>IF(足元帳!AR203="","",$J$1)</f>
        <v/>
      </c>
      <c r="K203" s="125" t="str">
        <f>IF(足元帳!AS203="","",$K$1)</f>
        <v/>
      </c>
      <c r="L203" s="291" t="str">
        <f>IF(COUNTIF(足元帳!AT203,"*複合*"),"複合","")</f>
        <v/>
      </c>
      <c r="M203" s="291" t="str">
        <f>IF(COUNTIF(足元帳!AT203,"*店頭本指名*"),"店頭本指名","")</f>
        <v/>
      </c>
      <c r="N203" s="125" t="str">
        <f>IF(足元帳!U203="","",足元帳!U203)</f>
        <v/>
      </c>
      <c r="O203" s="125" t="str">
        <f>IF(足元帳!V203="","",足元帳!V203)</f>
        <v/>
      </c>
      <c r="P203" s="125" t="str">
        <f>IF(足元帳!W203="","",足元帳!W203)</f>
        <v/>
      </c>
      <c r="Q203" s="125" t="str">
        <f>IF(足元帳!X203="","",足元帳!X203)</f>
        <v/>
      </c>
      <c r="R203" s="125" t="str">
        <f>IF(足元帳!Y203="","",足元帳!Y203)</f>
        <v/>
      </c>
      <c r="S203" s="125" t="str">
        <f>IF(足元帳!Z203="","",足元帳!Z203)</f>
        <v/>
      </c>
      <c r="T203" s="125" t="str">
        <f>IF(足元帳!AT203="","",足元帳!AT203)</f>
        <v/>
      </c>
      <c r="U203" s="125" t="str">
        <f>IF(足元帳!AH203="●",足元帳!$AH$1&amp;足元帳!AW203,"")</f>
        <v/>
      </c>
      <c r="V203" s="125" t="str">
        <f>IF(足元帳!AI203="●",足元帳!$AI$1&amp;足元帳!AW203,"")</f>
        <v/>
      </c>
      <c r="W203" s="125" t="str">
        <f>IF(足元帳!AX203="","",足元帳!AX203)</f>
        <v/>
      </c>
      <c r="X203" s="125">
        <f>足元帳!BJ203</f>
        <v>0</v>
      </c>
    </row>
    <row r="204" spans="1:24" ht="13.15" customHeight="1">
      <c r="A204" s="126">
        <v>203</v>
      </c>
      <c r="B204" s="127" t="str">
        <f>IF(足元帳!K204="","",精算表!$W$1)</f>
        <v/>
      </c>
      <c r="C204" s="128" t="str">
        <f>IF(足元帳!K204="","",IF(足元帳!AY204=2,"R","N"))</f>
        <v/>
      </c>
      <c r="D204" s="128" t="str">
        <f>IF(足元帳!K204="","",IF(足元帳!AZ204=1,"姫",IF(足元帳!AZ204=2,"本指名",IF(足元帳!AZ204=3,"NET",IF(足元帳!AZ204=4,"写真","")))))</f>
        <v/>
      </c>
      <c r="E204" s="128" t="str">
        <f>IF(足元帳!K204="","",足元帳!K204)</f>
        <v/>
      </c>
      <c r="F204" s="128" t="str">
        <f>IF(足元帳!K204="","",IF(足元帳!BB204=1,45,IF(足元帳!BB204=2,60,IF(足元帳!BB204=3,75,IF(足元帳!BB204=4,90,IF(足元帳!BB204=5,120,IF(足元帳!BB204=6,150,IF(足元帳!BB204=7,180,""))))))))</f>
        <v/>
      </c>
      <c r="G204" s="128" t="str">
        <f>IF(足元帳!K204="","",足元帳!A204)</f>
        <v/>
      </c>
      <c r="H204" s="125" t="str">
        <f>IF(足元帳!AP204="","",$H$1)</f>
        <v/>
      </c>
      <c r="I204" s="125" t="str">
        <f>IF(足元帳!AQ204="","",$I$1)</f>
        <v/>
      </c>
      <c r="J204" s="125" t="str">
        <f>IF(足元帳!AR204="","",$J$1)</f>
        <v/>
      </c>
      <c r="K204" s="125" t="str">
        <f>IF(足元帳!AS204="","",$K$1)</f>
        <v/>
      </c>
      <c r="L204" s="291" t="str">
        <f>IF(COUNTIF(足元帳!AT204,"*複合*"),"複合","")</f>
        <v/>
      </c>
      <c r="M204" s="291" t="str">
        <f>IF(COUNTIF(足元帳!AT204,"*店頭本指名*"),"店頭本指名","")</f>
        <v/>
      </c>
      <c r="N204" s="125" t="str">
        <f>IF(足元帳!U204="","",足元帳!U204)</f>
        <v/>
      </c>
      <c r="O204" s="125" t="str">
        <f>IF(足元帳!V204="","",足元帳!V204)</f>
        <v/>
      </c>
      <c r="P204" s="125" t="str">
        <f>IF(足元帳!W204="","",足元帳!W204)</f>
        <v/>
      </c>
      <c r="Q204" s="125" t="str">
        <f>IF(足元帳!X204="","",足元帳!X204)</f>
        <v/>
      </c>
      <c r="R204" s="125" t="str">
        <f>IF(足元帳!Y204="","",足元帳!Y204)</f>
        <v/>
      </c>
      <c r="S204" s="125" t="str">
        <f>IF(足元帳!Z204="","",足元帳!Z204)</f>
        <v/>
      </c>
      <c r="T204" s="125" t="str">
        <f>IF(足元帳!AT204="","",足元帳!AT204)</f>
        <v/>
      </c>
      <c r="U204" s="125" t="str">
        <f>IF(足元帳!AH204="●",足元帳!$AH$1&amp;足元帳!AW204,"")</f>
        <v/>
      </c>
      <c r="V204" s="125" t="str">
        <f>IF(足元帳!AI204="●",足元帳!$AI$1&amp;足元帳!AW204,"")</f>
        <v/>
      </c>
      <c r="W204" s="125" t="str">
        <f>IF(足元帳!AX204="","",足元帳!AX204)</f>
        <v/>
      </c>
      <c r="X204" s="125">
        <f>足元帳!BJ204</f>
        <v>0</v>
      </c>
    </row>
    <row r="205" spans="1:24" ht="13.15" customHeight="1">
      <c r="A205" s="126">
        <v>204</v>
      </c>
      <c r="B205" s="127" t="str">
        <f>IF(足元帳!K205="","",精算表!$W$1)</f>
        <v/>
      </c>
      <c r="C205" s="128" t="str">
        <f>IF(足元帳!K205="","",IF(足元帳!AY205=2,"R","N"))</f>
        <v/>
      </c>
      <c r="D205" s="128" t="str">
        <f>IF(足元帳!K205="","",IF(足元帳!AZ205=1,"姫",IF(足元帳!AZ205=2,"本指名",IF(足元帳!AZ205=3,"NET",IF(足元帳!AZ205=4,"写真","")))))</f>
        <v/>
      </c>
      <c r="E205" s="128" t="str">
        <f>IF(足元帳!K205="","",足元帳!K205)</f>
        <v/>
      </c>
      <c r="F205" s="128" t="str">
        <f>IF(足元帳!K205="","",IF(足元帳!BB205=1,45,IF(足元帳!BB205=2,60,IF(足元帳!BB205=3,75,IF(足元帳!BB205=4,90,IF(足元帳!BB205=5,120,IF(足元帳!BB205=6,150,IF(足元帳!BB205=7,180,""))))))))</f>
        <v/>
      </c>
      <c r="G205" s="128" t="str">
        <f>IF(足元帳!K205="","",足元帳!A205)</f>
        <v/>
      </c>
      <c r="H205" s="125" t="str">
        <f>IF(足元帳!AP205="","",$H$1)</f>
        <v/>
      </c>
      <c r="I205" s="125" t="str">
        <f>IF(足元帳!AQ205="","",$I$1)</f>
        <v/>
      </c>
      <c r="J205" s="125" t="str">
        <f>IF(足元帳!AR205="","",$J$1)</f>
        <v/>
      </c>
      <c r="K205" s="125" t="str">
        <f>IF(足元帳!AS205="","",$K$1)</f>
        <v/>
      </c>
      <c r="L205" s="291" t="str">
        <f>IF(COUNTIF(足元帳!AT205,"*複合*"),"複合","")</f>
        <v/>
      </c>
      <c r="M205" s="291" t="str">
        <f>IF(COUNTIF(足元帳!AT205,"*店頭本指名*"),"店頭本指名","")</f>
        <v/>
      </c>
      <c r="N205" s="125" t="str">
        <f>IF(足元帳!U205="","",足元帳!U205)</f>
        <v/>
      </c>
      <c r="O205" s="125" t="str">
        <f>IF(足元帳!V205="","",足元帳!V205)</f>
        <v/>
      </c>
      <c r="P205" s="125" t="str">
        <f>IF(足元帳!W205="","",足元帳!W205)</f>
        <v/>
      </c>
      <c r="Q205" s="125" t="str">
        <f>IF(足元帳!X205="","",足元帳!X205)</f>
        <v/>
      </c>
      <c r="R205" s="125" t="str">
        <f>IF(足元帳!Y205="","",足元帳!Y205)</f>
        <v/>
      </c>
      <c r="S205" s="125" t="str">
        <f>IF(足元帳!Z205="","",足元帳!Z205)</f>
        <v/>
      </c>
      <c r="T205" s="125" t="str">
        <f>IF(足元帳!AT205="","",足元帳!AT205)</f>
        <v/>
      </c>
      <c r="U205" s="125" t="str">
        <f>IF(足元帳!AH205="●",足元帳!$AH$1&amp;足元帳!AW205,"")</f>
        <v/>
      </c>
      <c r="V205" s="125" t="str">
        <f>IF(足元帳!AI205="●",足元帳!$AI$1&amp;足元帳!AW205,"")</f>
        <v/>
      </c>
      <c r="W205" s="125" t="str">
        <f>IF(足元帳!AX205="","",足元帳!AX205)</f>
        <v/>
      </c>
      <c r="X205" s="125">
        <f>足元帳!BJ205</f>
        <v>0</v>
      </c>
    </row>
    <row r="206" spans="1:24" ht="13.15" customHeight="1">
      <c r="A206" s="126">
        <v>205</v>
      </c>
      <c r="B206" s="127" t="str">
        <f>IF(足元帳!K206="","",精算表!$W$1)</f>
        <v/>
      </c>
      <c r="C206" s="128" t="str">
        <f>IF(足元帳!K206="","",IF(足元帳!AY206=2,"R","N"))</f>
        <v/>
      </c>
      <c r="D206" s="128" t="str">
        <f>IF(足元帳!K206="","",IF(足元帳!AZ206=1,"姫",IF(足元帳!AZ206=2,"本指名",IF(足元帳!AZ206=3,"NET",IF(足元帳!AZ206=4,"写真","")))))</f>
        <v/>
      </c>
      <c r="E206" s="128" t="str">
        <f>IF(足元帳!K206="","",足元帳!K206)</f>
        <v/>
      </c>
      <c r="F206" s="128" t="str">
        <f>IF(足元帳!K206="","",IF(足元帳!BB206=1,45,IF(足元帳!BB206=2,60,IF(足元帳!BB206=3,75,IF(足元帳!BB206=4,90,IF(足元帳!BB206=5,120,IF(足元帳!BB206=6,150,IF(足元帳!BB206=7,180,""))))))))</f>
        <v/>
      </c>
      <c r="G206" s="128" t="str">
        <f>IF(足元帳!K206="","",足元帳!A206)</f>
        <v/>
      </c>
      <c r="H206" s="125" t="str">
        <f>IF(足元帳!AP206="","",$H$1)</f>
        <v/>
      </c>
      <c r="I206" s="125" t="str">
        <f>IF(足元帳!AQ206="","",$I$1)</f>
        <v/>
      </c>
      <c r="J206" s="125" t="str">
        <f>IF(足元帳!AR206="","",$J$1)</f>
        <v/>
      </c>
      <c r="K206" s="125" t="str">
        <f>IF(足元帳!AS206="","",$K$1)</f>
        <v/>
      </c>
      <c r="L206" s="291" t="str">
        <f>IF(COUNTIF(足元帳!AT206,"*複合*"),"複合","")</f>
        <v/>
      </c>
      <c r="M206" s="291" t="str">
        <f>IF(COUNTIF(足元帳!AT206,"*店頭本指名*"),"店頭本指名","")</f>
        <v/>
      </c>
      <c r="N206" s="125" t="str">
        <f>IF(足元帳!U206="","",足元帳!U206)</f>
        <v/>
      </c>
      <c r="O206" s="125" t="str">
        <f>IF(足元帳!V206="","",足元帳!V206)</f>
        <v/>
      </c>
      <c r="P206" s="125" t="str">
        <f>IF(足元帳!W206="","",足元帳!W206)</f>
        <v/>
      </c>
      <c r="Q206" s="125" t="str">
        <f>IF(足元帳!X206="","",足元帳!X206)</f>
        <v/>
      </c>
      <c r="R206" s="125" t="str">
        <f>IF(足元帳!Y206="","",足元帳!Y206)</f>
        <v/>
      </c>
      <c r="S206" s="125" t="str">
        <f>IF(足元帳!Z206="","",足元帳!Z206)</f>
        <v/>
      </c>
      <c r="T206" s="125" t="str">
        <f>IF(足元帳!AT206="","",足元帳!AT206)</f>
        <v/>
      </c>
      <c r="U206" s="125" t="str">
        <f>IF(足元帳!AH206="●",足元帳!$AH$1&amp;足元帳!AW206,"")</f>
        <v/>
      </c>
      <c r="V206" s="125" t="str">
        <f>IF(足元帳!AI206="●",足元帳!$AI$1&amp;足元帳!AW206,"")</f>
        <v/>
      </c>
      <c r="W206" s="125" t="str">
        <f>IF(足元帳!AX206="","",足元帳!AX206)</f>
        <v/>
      </c>
      <c r="X206" s="125">
        <f>足元帳!BJ206</f>
        <v>0</v>
      </c>
    </row>
    <row r="207" spans="1:24" ht="13.15" customHeight="1">
      <c r="A207" s="126">
        <v>206</v>
      </c>
      <c r="B207" s="127" t="str">
        <f>IF(足元帳!K207="","",精算表!$W$1)</f>
        <v/>
      </c>
      <c r="C207" s="128" t="str">
        <f>IF(足元帳!K207="","",IF(足元帳!AY207=2,"R","N"))</f>
        <v/>
      </c>
      <c r="D207" s="128" t="str">
        <f>IF(足元帳!K207="","",IF(足元帳!AZ207=1,"姫",IF(足元帳!AZ207=2,"本指名",IF(足元帳!AZ207=3,"NET",IF(足元帳!AZ207=4,"写真","")))))</f>
        <v/>
      </c>
      <c r="E207" s="128" t="str">
        <f>IF(足元帳!K207="","",足元帳!K207)</f>
        <v/>
      </c>
      <c r="F207" s="128" t="str">
        <f>IF(足元帳!K207="","",IF(足元帳!BB207=1,45,IF(足元帳!BB207=2,60,IF(足元帳!BB207=3,75,IF(足元帳!BB207=4,90,IF(足元帳!BB207=5,120,IF(足元帳!BB207=6,150,IF(足元帳!BB207=7,180,""))))))))</f>
        <v/>
      </c>
      <c r="G207" s="128" t="str">
        <f>IF(足元帳!K207="","",足元帳!A207)</f>
        <v/>
      </c>
      <c r="H207" s="125" t="str">
        <f>IF(足元帳!AP207="","",$H$1)</f>
        <v/>
      </c>
      <c r="I207" s="125" t="str">
        <f>IF(足元帳!AQ207="","",$I$1)</f>
        <v/>
      </c>
      <c r="J207" s="125" t="str">
        <f>IF(足元帳!AR207="","",$J$1)</f>
        <v/>
      </c>
      <c r="K207" s="125" t="str">
        <f>IF(足元帳!AS207="","",$K$1)</f>
        <v/>
      </c>
      <c r="L207" s="291" t="str">
        <f>IF(COUNTIF(足元帳!AT207,"*複合*"),"複合","")</f>
        <v/>
      </c>
      <c r="M207" s="291" t="str">
        <f>IF(COUNTIF(足元帳!AT207,"*店頭本指名*"),"店頭本指名","")</f>
        <v/>
      </c>
      <c r="N207" s="125" t="str">
        <f>IF(足元帳!U207="","",足元帳!U207)</f>
        <v/>
      </c>
      <c r="O207" s="125" t="str">
        <f>IF(足元帳!V207="","",足元帳!V207)</f>
        <v/>
      </c>
      <c r="P207" s="125" t="str">
        <f>IF(足元帳!W207="","",足元帳!W207)</f>
        <v/>
      </c>
      <c r="Q207" s="125" t="str">
        <f>IF(足元帳!X207="","",足元帳!X207)</f>
        <v/>
      </c>
      <c r="R207" s="125" t="str">
        <f>IF(足元帳!Y207="","",足元帳!Y207)</f>
        <v/>
      </c>
      <c r="S207" s="125" t="str">
        <f>IF(足元帳!Z207="","",足元帳!Z207)</f>
        <v/>
      </c>
      <c r="T207" s="125" t="str">
        <f>IF(足元帳!AT207="","",足元帳!AT207)</f>
        <v/>
      </c>
      <c r="U207" s="125" t="str">
        <f>IF(足元帳!AH207="●",足元帳!$AH$1&amp;足元帳!AW207,"")</f>
        <v/>
      </c>
      <c r="V207" s="125" t="str">
        <f>IF(足元帳!AI207="●",足元帳!$AI$1&amp;足元帳!AW207,"")</f>
        <v/>
      </c>
      <c r="W207" s="125" t="str">
        <f>IF(足元帳!AX207="","",足元帳!AX207)</f>
        <v/>
      </c>
      <c r="X207" s="125">
        <f>足元帳!BJ207</f>
        <v>0</v>
      </c>
    </row>
    <row r="208" spans="1:24" ht="13.15" customHeight="1">
      <c r="A208" s="126">
        <v>207</v>
      </c>
      <c r="B208" s="127" t="str">
        <f>IF(足元帳!K208="","",精算表!$W$1)</f>
        <v/>
      </c>
      <c r="C208" s="128" t="str">
        <f>IF(足元帳!K208="","",IF(足元帳!AY208=2,"R","N"))</f>
        <v/>
      </c>
      <c r="D208" s="128" t="str">
        <f>IF(足元帳!K208="","",IF(足元帳!AZ208=1,"姫",IF(足元帳!AZ208=2,"本指名",IF(足元帳!AZ208=3,"NET",IF(足元帳!AZ208=4,"写真","")))))</f>
        <v/>
      </c>
      <c r="E208" s="128" t="str">
        <f>IF(足元帳!K208="","",足元帳!K208)</f>
        <v/>
      </c>
      <c r="F208" s="128" t="str">
        <f>IF(足元帳!K208="","",IF(足元帳!BB208=1,45,IF(足元帳!BB208=2,60,IF(足元帳!BB208=3,75,IF(足元帳!BB208=4,90,IF(足元帳!BB208=5,120,IF(足元帳!BB208=6,150,IF(足元帳!BB208=7,180,""))))))))</f>
        <v/>
      </c>
      <c r="G208" s="128" t="str">
        <f>IF(足元帳!K208="","",足元帳!A208)</f>
        <v/>
      </c>
      <c r="H208" s="125" t="str">
        <f>IF(足元帳!AP208="","",$H$1)</f>
        <v/>
      </c>
      <c r="I208" s="125" t="str">
        <f>IF(足元帳!AQ208="","",$I$1)</f>
        <v/>
      </c>
      <c r="J208" s="125" t="str">
        <f>IF(足元帳!AR208="","",$J$1)</f>
        <v/>
      </c>
      <c r="K208" s="125" t="str">
        <f>IF(足元帳!AS208="","",$K$1)</f>
        <v/>
      </c>
      <c r="L208" s="291" t="str">
        <f>IF(COUNTIF(足元帳!AT208,"*複合*"),"複合","")</f>
        <v/>
      </c>
      <c r="M208" s="291" t="str">
        <f>IF(COUNTIF(足元帳!AT208,"*店頭本指名*"),"店頭本指名","")</f>
        <v/>
      </c>
      <c r="N208" s="125" t="str">
        <f>IF(足元帳!U208="","",足元帳!U208)</f>
        <v/>
      </c>
      <c r="O208" s="125" t="str">
        <f>IF(足元帳!V208="","",足元帳!V208)</f>
        <v/>
      </c>
      <c r="P208" s="125" t="str">
        <f>IF(足元帳!W208="","",足元帳!W208)</f>
        <v/>
      </c>
      <c r="Q208" s="125" t="str">
        <f>IF(足元帳!X208="","",足元帳!X208)</f>
        <v/>
      </c>
      <c r="R208" s="125" t="str">
        <f>IF(足元帳!Y208="","",足元帳!Y208)</f>
        <v/>
      </c>
      <c r="S208" s="125" t="str">
        <f>IF(足元帳!Z208="","",足元帳!Z208)</f>
        <v/>
      </c>
      <c r="T208" s="125" t="str">
        <f>IF(足元帳!AT208="","",足元帳!AT208)</f>
        <v/>
      </c>
      <c r="U208" s="125" t="str">
        <f>IF(足元帳!AH208="●",足元帳!$AH$1&amp;足元帳!AW208,"")</f>
        <v/>
      </c>
      <c r="V208" s="125" t="str">
        <f>IF(足元帳!AI208="●",足元帳!$AI$1&amp;足元帳!AW208,"")</f>
        <v/>
      </c>
      <c r="W208" s="125" t="str">
        <f>IF(足元帳!AX208="","",足元帳!AX208)</f>
        <v/>
      </c>
      <c r="X208" s="125">
        <f>足元帳!BJ208</f>
        <v>0</v>
      </c>
    </row>
    <row r="209" spans="1:24" ht="13.15" customHeight="1">
      <c r="A209" s="126">
        <v>208</v>
      </c>
      <c r="B209" s="127" t="str">
        <f>IF(足元帳!K209="","",精算表!$W$1)</f>
        <v/>
      </c>
      <c r="C209" s="128" t="str">
        <f>IF(足元帳!K209="","",IF(足元帳!AY209=2,"R","N"))</f>
        <v/>
      </c>
      <c r="D209" s="128" t="str">
        <f>IF(足元帳!K209="","",IF(足元帳!AZ209=1,"姫",IF(足元帳!AZ209=2,"本指名",IF(足元帳!AZ209=3,"NET",IF(足元帳!AZ209=4,"写真","")))))</f>
        <v/>
      </c>
      <c r="E209" s="128" t="str">
        <f>IF(足元帳!K209="","",足元帳!K209)</f>
        <v/>
      </c>
      <c r="F209" s="128" t="str">
        <f>IF(足元帳!K209="","",IF(足元帳!BB209=1,45,IF(足元帳!BB209=2,60,IF(足元帳!BB209=3,75,IF(足元帳!BB209=4,90,IF(足元帳!BB209=5,120,IF(足元帳!BB209=6,150,IF(足元帳!BB209=7,180,""))))))))</f>
        <v/>
      </c>
      <c r="G209" s="128" t="str">
        <f>IF(足元帳!K209="","",足元帳!A209)</f>
        <v/>
      </c>
      <c r="H209" s="125" t="str">
        <f>IF(足元帳!AP209="","",$H$1)</f>
        <v/>
      </c>
      <c r="I209" s="125" t="str">
        <f>IF(足元帳!AQ209="","",$I$1)</f>
        <v/>
      </c>
      <c r="J209" s="125" t="str">
        <f>IF(足元帳!AR209="","",$J$1)</f>
        <v/>
      </c>
      <c r="K209" s="125" t="str">
        <f>IF(足元帳!AS209="","",$K$1)</f>
        <v/>
      </c>
      <c r="L209" s="291" t="str">
        <f>IF(COUNTIF(足元帳!AT209,"*複合*"),"複合","")</f>
        <v/>
      </c>
      <c r="M209" s="291" t="str">
        <f>IF(COUNTIF(足元帳!AT209,"*店頭本指名*"),"店頭本指名","")</f>
        <v/>
      </c>
      <c r="N209" s="125" t="str">
        <f>IF(足元帳!U209="","",足元帳!U209)</f>
        <v/>
      </c>
      <c r="O209" s="125" t="str">
        <f>IF(足元帳!V209="","",足元帳!V209)</f>
        <v/>
      </c>
      <c r="P209" s="125" t="str">
        <f>IF(足元帳!W209="","",足元帳!W209)</f>
        <v/>
      </c>
      <c r="Q209" s="125" t="str">
        <f>IF(足元帳!X209="","",足元帳!X209)</f>
        <v/>
      </c>
      <c r="R209" s="125" t="str">
        <f>IF(足元帳!Y209="","",足元帳!Y209)</f>
        <v/>
      </c>
      <c r="S209" s="125" t="str">
        <f>IF(足元帳!Z209="","",足元帳!Z209)</f>
        <v/>
      </c>
      <c r="T209" s="125" t="str">
        <f>IF(足元帳!AT209="","",足元帳!AT209)</f>
        <v/>
      </c>
      <c r="U209" s="125" t="str">
        <f>IF(足元帳!AH209="●",足元帳!$AH$1&amp;足元帳!AW209,"")</f>
        <v/>
      </c>
      <c r="V209" s="125" t="str">
        <f>IF(足元帳!AI209="●",足元帳!$AI$1&amp;足元帳!AW209,"")</f>
        <v/>
      </c>
      <c r="W209" s="125" t="str">
        <f>IF(足元帳!AX209="","",足元帳!AX209)</f>
        <v/>
      </c>
      <c r="X209" s="125">
        <f>足元帳!BJ209</f>
        <v>0</v>
      </c>
    </row>
    <row r="210" spans="1:24" ht="13.15" customHeight="1">
      <c r="A210" s="126">
        <v>209</v>
      </c>
      <c r="B210" s="127" t="str">
        <f>IF(足元帳!K210="","",精算表!$W$1)</f>
        <v/>
      </c>
      <c r="C210" s="128" t="str">
        <f>IF(足元帳!K210="","",IF(足元帳!AY210=2,"R","N"))</f>
        <v/>
      </c>
      <c r="D210" s="128" t="str">
        <f>IF(足元帳!K210="","",IF(足元帳!AZ210=1,"姫",IF(足元帳!AZ210=2,"本指名",IF(足元帳!AZ210=3,"NET",IF(足元帳!AZ210=4,"写真","")))))</f>
        <v/>
      </c>
      <c r="E210" s="128" t="str">
        <f>IF(足元帳!K210="","",足元帳!K210)</f>
        <v/>
      </c>
      <c r="F210" s="128" t="str">
        <f>IF(足元帳!K210="","",IF(足元帳!BB210=1,45,IF(足元帳!BB210=2,60,IF(足元帳!BB210=3,75,IF(足元帳!BB210=4,90,IF(足元帳!BB210=5,120,IF(足元帳!BB210=6,150,IF(足元帳!BB210=7,180,""))))))))</f>
        <v/>
      </c>
      <c r="G210" s="128" t="str">
        <f>IF(足元帳!K210="","",足元帳!A210)</f>
        <v/>
      </c>
      <c r="H210" s="125" t="str">
        <f>IF(足元帳!AP210="","",$H$1)</f>
        <v/>
      </c>
      <c r="I210" s="125" t="str">
        <f>IF(足元帳!AQ210="","",$I$1)</f>
        <v/>
      </c>
      <c r="J210" s="125" t="str">
        <f>IF(足元帳!AR210="","",$J$1)</f>
        <v/>
      </c>
      <c r="K210" s="125" t="str">
        <f>IF(足元帳!AS210="","",$K$1)</f>
        <v/>
      </c>
      <c r="L210" s="291" t="str">
        <f>IF(COUNTIF(足元帳!AT210,"*複合*"),"複合","")</f>
        <v/>
      </c>
      <c r="M210" s="291" t="str">
        <f>IF(COUNTIF(足元帳!AT210,"*店頭本指名*"),"店頭本指名","")</f>
        <v/>
      </c>
      <c r="N210" s="125" t="str">
        <f>IF(足元帳!U210="","",足元帳!U210)</f>
        <v/>
      </c>
      <c r="O210" s="125" t="str">
        <f>IF(足元帳!V210="","",足元帳!V210)</f>
        <v/>
      </c>
      <c r="P210" s="125" t="str">
        <f>IF(足元帳!W210="","",足元帳!W210)</f>
        <v/>
      </c>
      <c r="Q210" s="125" t="str">
        <f>IF(足元帳!X210="","",足元帳!X210)</f>
        <v/>
      </c>
      <c r="R210" s="125" t="str">
        <f>IF(足元帳!Y210="","",足元帳!Y210)</f>
        <v/>
      </c>
      <c r="S210" s="125" t="str">
        <f>IF(足元帳!Z210="","",足元帳!Z210)</f>
        <v/>
      </c>
      <c r="T210" s="125" t="str">
        <f>IF(足元帳!AT210="","",足元帳!AT210)</f>
        <v/>
      </c>
      <c r="U210" s="125" t="str">
        <f>IF(足元帳!AH210="●",足元帳!$AH$1&amp;足元帳!AW210,"")</f>
        <v/>
      </c>
      <c r="V210" s="125" t="str">
        <f>IF(足元帳!AI210="●",足元帳!$AI$1&amp;足元帳!AW210,"")</f>
        <v/>
      </c>
      <c r="W210" s="125" t="str">
        <f>IF(足元帳!AX210="","",足元帳!AX210)</f>
        <v/>
      </c>
      <c r="X210" s="125">
        <f>足元帳!BJ210</f>
        <v>0</v>
      </c>
    </row>
    <row r="211" spans="1:24" ht="13.15" customHeight="1">
      <c r="A211" s="126">
        <v>210</v>
      </c>
      <c r="B211" s="127" t="str">
        <f>IF(足元帳!K211="","",精算表!$W$1)</f>
        <v/>
      </c>
      <c r="C211" s="128" t="str">
        <f>IF(足元帳!K211="","",IF(足元帳!AY211=2,"R","N"))</f>
        <v/>
      </c>
      <c r="D211" s="128" t="str">
        <f>IF(足元帳!K211="","",IF(足元帳!AZ211=1,"姫",IF(足元帳!AZ211=2,"本指名",IF(足元帳!AZ211=3,"NET",IF(足元帳!AZ211=4,"写真","")))))</f>
        <v/>
      </c>
      <c r="E211" s="128" t="str">
        <f>IF(足元帳!K211="","",足元帳!K211)</f>
        <v/>
      </c>
      <c r="F211" s="128" t="str">
        <f>IF(足元帳!K211="","",IF(足元帳!BB211=1,45,IF(足元帳!BB211=2,60,IF(足元帳!BB211=3,75,IF(足元帳!BB211=4,90,IF(足元帳!BB211=5,120,IF(足元帳!BB211=6,150,IF(足元帳!BB211=7,180,""))))))))</f>
        <v/>
      </c>
      <c r="G211" s="128" t="str">
        <f>IF(足元帳!K211="","",足元帳!A211)</f>
        <v/>
      </c>
      <c r="H211" s="125" t="str">
        <f>IF(足元帳!AP211="","",$H$1)</f>
        <v/>
      </c>
      <c r="I211" s="125" t="str">
        <f>IF(足元帳!AQ211="","",$I$1)</f>
        <v/>
      </c>
      <c r="J211" s="125" t="str">
        <f>IF(足元帳!AR211="","",$J$1)</f>
        <v/>
      </c>
      <c r="K211" s="125" t="str">
        <f>IF(足元帳!AS211="","",$K$1)</f>
        <v/>
      </c>
      <c r="L211" s="291" t="str">
        <f>IF(COUNTIF(足元帳!AT211,"*複合*"),"複合","")</f>
        <v/>
      </c>
      <c r="M211" s="291" t="str">
        <f>IF(COUNTIF(足元帳!AT211,"*店頭本指名*"),"店頭本指名","")</f>
        <v/>
      </c>
      <c r="N211" s="125" t="str">
        <f>IF(足元帳!U211="","",足元帳!U211)</f>
        <v/>
      </c>
      <c r="O211" s="125" t="str">
        <f>IF(足元帳!V211="","",足元帳!V211)</f>
        <v/>
      </c>
      <c r="P211" s="125" t="str">
        <f>IF(足元帳!W211="","",足元帳!W211)</f>
        <v/>
      </c>
      <c r="Q211" s="125" t="str">
        <f>IF(足元帳!X211="","",足元帳!X211)</f>
        <v/>
      </c>
      <c r="R211" s="125" t="str">
        <f>IF(足元帳!Y211="","",足元帳!Y211)</f>
        <v/>
      </c>
      <c r="S211" s="125" t="str">
        <f>IF(足元帳!Z211="","",足元帳!Z211)</f>
        <v/>
      </c>
      <c r="T211" s="125" t="str">
        <f>IF(足元帳!AT211="","",足元帳!AT211)</f>
        <v/>
      </c>
      <c r="U211" s="125" t="str">
        <f>IF(足元帳!AH211="●",足元帳!$AH$1&amp;足元帳!AW211,"")</f>
        <v/>
      </c>
      <c r="V211" s="125" t="str">
        <f>IF(足元帳!AI211="●",足元帳!$AI$1&amp;足元帳!AW211,"")</f>
        <v/>
      </c>
      <c r="W211" s="125" t="str">
        <f>IF(足元帳!AX211="","",足元帳!AX211)</f>
        <v/>
      </c>
      <c r="X211" s="125">
        <f>足元帳!BJ211</f>
        <v>0</v>
      </c>
    </row>
    <row r="212" spans="1:24" ht="13.15" customHeight="1">
      <c r="A212" s="126">
        <v>211</v>
      </c>
      <c r="B212" s="127" t="str">
        <f>IF(足元帳!K212="","",精算表!$W$1)</f>
        <v/>
      </c>
      <c r="C212" s="128" t="str">
        <f>IF(足元帳!K212="","",IF(足元帳!AY212=2,"R","N"))</f>
        <v/>
      </c>
      <c r="D212" s="128" t="str">
        <f>IF(足元帳!K212="","",IF(足元帳!AZ212=1,"姫",IF(足元帳!AZ212=2,"本指名",IF(足元帳!AZ212=3,"NET",IF(足元帳!AZ212=4,"写真","")))))</f>
        <v/>
      </c>
      <c r="E212" s="128" t="str">
        <f>IF(足元帳!K212="","",足元帳!K212)</f>
        <v/>
      </c>
      <c r="F212" s="128" t="str">
        <f>IF(足元帳!K212="","",IF(足元帳!BB212=1,45,IF(足元帳!BB212=2,60,IF(足元帳!BB212=3,75,IF(足元帳!BB212=4,90,IF(足元帳!BB212=5,120,IF(足元帳!BB212=6,150,IF(足元帳!BB212=7,180,""))))))))</f>
        <v/>
      </c>
      <c r="G212" s="128" t="str">
        <f>IF(足元帳!K212="","",足元帳!A212)</f>
        <v/>
      </c>
      <c r="H212" s="125" t="str">
        <f>IF(足元帳!AP212="","",$H$1)</f>
        <v/>
      </c>
      <c r="I212" s="125" t="str">
        <f>IF(足元帳!AQ212="","",$I$1)</f>
        <v/>
      </c>
      <c r="J212" s="125" t="str">
        <f>IF(足元帳!AR212="","",$J$1)</f>
        <v/>
      </c>
      <c r="K212" s="125" t="str">
        <f>IF(足元帳!AS212="","",$K$1)</f>
        <v/>
      </c>
      <c r="L212" s="291" t="str">
        <f>IF(COUNTIF(足元帳!AT212,"*複合*"),"複合","")</f>
        <v/>
      </c>
      <c r="M212" s="291" t="str">
        <f>IF(COUNTIF(足元帳!AT212,"*店頭本指名*"),"店頭本指名","")</f>
        <v/>
      </c>
      <c r="N212" s="125" t="str">
        <f>IF(足元帳!U212="","",足元帳!U212)</f>
        <v/>
      </c>
      <c r="O212" s="125" t="str">
        <f>IF(足元帳!V212="","",足元帳!V212)</f>
        <v/>
      </c>
      <c r="P212" s="125" t="str">
        <f>IF(足元帳!W212="","",足元帳!W212)</f>
        <v/>
      </c>
      <c r="Q212" s="125" t="str">
        <f>IF(足元帳!X212="","",足元帳!X212)</f>
        <v/>
      </c>
      <c r="R212" s="125" t="str">
        <f>IF(足元帳!Y212="","",足元帳!Y212)</f>
        <v/>
      </c>
      <c r="S212" s="125" t="str">
        <f>IF(足元帳!Z212="","",足元帳!Z212)</f>
        <v/>
      </c>
      <c r="T212" s="125" t="str">
        <f>IF(足元帳!AT212="","",足元帳!AT212)</f>
        <v/>
      </c>
      <c r="U212" s="125" t="str">
        <f>IF(足元帳!AH212="●",足元帳!$AH$1&amp;足元帳!AW212,"")</f>
        <v/>
      </c>
      <c r="V212" s="125" t="str">
        <f>IF(足元帳!AI212="●",足元帳!$AI$1&amp;足元帳!AW212,"")</f>
        <v/>
      </c>
      <c r="W212" s="125" t="str">
        <f>IF(足元帳!AX212="","",足元帳!AX212)</f>
        <v/>
      </c>
      <c r="X212" s="125">
        <f>足元帳!BJ212</f>
        <v>0</v>
      </c>
    </row>
    <row r="213" spans="1:24" ht="13.15" customHeight="1">
      <c r="A213" s="126">
        <v>212</v>
      </c>
      <c r="B213" s="127" t="str">
        <f>IF(足元帳!K213="","",精算表!$W$1)</f>
        <v/>
      </c>
      <c r="C213" s="128" t="str">
        <f>IF(足元帳!K213="","",IF(足元帳!AY213=2,"R","N"))</f>
        <v/>
      </c>
      <c r="D213" s="128" t="str">
        <f>IF(足元帳!K213="","",IF(足元帳!AZ213=1,"姫",IF(足元帳!AZ213=2,"本指名",IF(足元帳!AZ213=3,"NET",IF(足元帳!AZ213=4,"写真","")))))</f>
        <v/>
      </c>
      <c r="E213" s="128" t="str">
        <f>IF(足元帳!K213="","",足元帳!K213)</f>
        <v/>
      </c>
      <c r="F213" s="128" t="str">
        <f>IF(足元帳!K213="","",IF(足元帳!BB213=1,45,IF(足元帳!BB213=2,60,IF(足元帳!BB213=3,75,IF(足元帳!BB213=4,90,IF(足元帳!BB213=5,120,IF(足元帳!BB213=6,150,IF(足元帳!BB213=7,180,""))))))))</f>
        <v/>
      </c>
      <c r="G213" s="128" t="str">
        <f>IF(足元帳!K213="","",足元帳!A213)</f>
        <v/>
      </c>
      <c r="H213" s="125" t="str">
        <f>IF(足元帳!AP213="","",$H$1)</f>
        <v/>
      </c>
      <c r="I213" s="125" t="str">
        <f>IF(足元帳!AQ213="","",$I$1)</f>
        <v/>
      </c>
      <c r="J213" s="125" t="str">
        <f>IF(足元帳!AR213="","",$J$1)</f>
        <v/>
      </c>
      <c r="K213" s="125" t="str">
        <f>IF(足元帳!AS213="","",$K$1)</f>
        <v/>
      </c>
      <c r="L213" s="291" t="str">
        <f>IF(COUNTIF(足元帳!AT213,"*複合*"),"複合","")</f>
        <v/>
      </c>
      <c r="M213" s="291" t="str">
        <f>IF(COUNTIF(足元帳!AT213,"*店頭本指名*"),"店頭本指名","")</f>
        <v/>
      </c>
      <c r="N213" s="125" t="str">
        <f>IF(足元帳!U213="","",足元帳!U213)</f>
        <v/>
      </c>
      <c r="O213" s="125" t="str">
        <f>IF(足元帳!V213="","",足元帳!V213)</f>
        <v/>
      </c>
      <c r="P213" s="125" t="str">
        <f>IF(足元帳!W213="","",足元帳!W213)</f>
        <v/>
      </c>
      <c r="Q213" s="125" t="str">
        <f>IF(足元帳!X213="","",足元帳!X213)</f>
        <v/>
      </c>
      <c r="R213" s="125" t="str">
        <f>IF(足元帳!Y213="","",足元帳!Y213)</f>
        <v/>
      </c>
      <c r="S213" s="125" t="str">
        <f>IF(足元帳!Z213="","",足元帳!Z213)</f>
        <v/>
      </c>
      <c r="T213" s="125" t="str">
        <f>IF(足元帳!AT213="","",足元帳!AT213)</f>
        <v/>
      </c>
      <c r="U213" s="125" t="str">
        <f>IF(足元帳!AH213="●",足元帳!$AH$1&amp;足元帳!AW213,"")</f>
        <v/>
      </c>
      <c r="V213" s="125" t="str">
        <f>IF(足元帳!AI213="●",足元帳!$AI$1&amp;足元帳!AW213,"")</f>
        <v/>
      </c>
      <c r="W213" s="125" t="str">
        <f>IF(足元帳!AX213="","",足元帳!AX213)</f>
        <v/>
      </c>
      <c r="X213" s="125">
        <f>足元帳!BJ213</f>
        <v>0</v>
      </c>
    </row>
    <row r="214" spans="1:24" ht="13.15" customHeight="1">
      <c r="A214" s="126">
        <v>213</v>
      </c>
      <c r="B214" s="127" t="str">
        <f>IF(足元帳!K214="","",精算表!$W$1)</f>
        <v/>
      </c>
      <c r="C214" s="128" t="str">
        <f>IF(足元帳!K214="","",IF(足元帳!AY214=2,"R","N"))</f>
        <v/>
      </c>
      <c r="D214" s="128" t="str">
        <f>IF(足元帳!K214="","",IF(足元帳!AZ214=1,"姫",IF(足元帳!AZ214=2,"本指名",IF(足元帳!AZ214=3,"NET",IF(足元帳!AZ214=4,"写真","")))))</f>
        <v/>
      </c>
      <c r="E214" s="128" t="str">
        <f>IF(足元帳!K214="","",足元帳!K214)</f>
        <v/>
      </c>
      <c r="F214" s="128" t="str">
        <f>IF(足元帳!K214="","",IF(足元帳!BB214=1,45,IF(足元帳!BB214=2,60,IF(足元帳!BB214=3,75,IF(足元帳!BB214=4,90,IF(足元帳!BB214=5,120,IF(足元帳!BB214=6,150,IF(足元帳!BB214=7,180,""))))))))</f>
        <v/>
      </c>
      <c r="G214" s="128" t="str">
        <f>IF(足元帳!K214="","",足元帳!A214)</f>
        <v/>
      </c>
      <c r="H214" s="125" t="str">
        <f>IF(足元帳!AP214="","",$H$1)</f>
        <v/>
      </c>
      <c r="I214" s="125" t="str">
        <f>IF(足元帳!AQ214="","",$I$1)</f>
        <v/>
      </c>
      <c r="J214" s="125" t="str">
        <f>IF(足元帳!AR214="","",$J$1)</f>
        <v/>
      </c>
      <c r="K214" s="125" t="str">
        <f>IF(足元帳!AS214="","",$K$1)</f>
        <v/>
      </c>
      <c r="L214" s="291" t="str">
        <f>IF(COUNTIF(足元帳!AT214,"*複合*"),"複合","")</f>
        <v/>
      </c>
      <c r="M214" s="291" t="str">
        <f>IF(COUNTIF(足元帳!AT214,"*店頭本指名*"),"店頭本指名","")</f>
        <v/>
      </c>
      <c r="N214" s="125" t="str">
        <f>IF(足元帳!U214="","",足元帳!U214)</f>
        <v/>
      </c>
      <c r="O214" s="125" t="str">
        <f>IF(足元帳!V214="","",足元帳!V214)</f>
        <v/>
      </c>
      <c r="P214" s="125" t="str">
        <f>IF(足元帳!W214="","",足元帳!W214)</f>
        <v/>
      </c>
      <c r="Q214" s="125" t="str">
        <f>IF(足元帳!X214="","",足元帳!X214)</f>
        <v/>
      </c>
      <c r="R214" s="125" t="str">
        <f>IF(足元帳!Y214="","",足元帳!Y214)</f>
        <v/>
      </c>
      <c r="S214" s="125" t="str">
        <f>IF(足元帳!Z214="","",足元帳!Z214)</f>
        <v/>
      </c>
      <c r="T214" s="125" t="str">
        <f>IF(足元帳!AT214="","",足元帳!AT214)</f>
        <v/>
      </c>
      <c r="U214" s="125" t="str">
        <f>IF(足元帳!AH214="●",足元帳!$AH$1&amp;足元帳!AW214,"")</f>
        <v/>
      </c>
      <c r="V214" s="125" t="str">
        <f>IF(足元帳!AI214="●",足元帳!$AI$1&amp;足元帳!AW214,"")</f>
        <v/>
      </c>
      <c r="W214" s="125" t="str">
        <f>IF(足元帳!AX214="","",足元帳!AX214)</f>
        <v/>
      </c>
      <c r="X214" s="125">
        <f>足元帳!BJ214</f>
        <v>0</v>
      </c>
    </row>
    <row r="215" spans="1:24" ht="13.15" customHeight="1">
      <c r="A215" s="126">
        <v>214</v>
      </c>
      <c r="B215" s="127" t="str">
        <f>IF(足元帳!K215="","",精算表!$W$1)</f>
        <v/>
      </c>
      <c r="C215" s="128" t="str">
        <f>IF(足元帳!K215="","",IF(足元帳!AY215=2,"R","N"))</f>
        <v/>
      </c>
      <c r="D215" s="128" t="str">
        <f>IF(足元帳!K215="","",IF(足元帳!AZ215=1,"姫",IF(足元帳!AZ215=2,"本指名",IF(足元帳!AZ215=3,"NET",IF(足元帳!AZ215=4,"写真","")))))</f>
        <v/>
      </c>
      <c r="E215" s="128" t="str">
        <f>IF(足元帳!K215="","",足元帳!K215)</f>
        <v/>
      </c>
      <c r="F215" s="128" t="str">
        <f>IF(足元帳!K215="","",IF(足元帳!BB215=1,45,IF(足元帳!BB215=2,60,IF(足元帳!BB215=3,75,IF(足元帳!BB215=4,90,IF(足元帳!BB215=5,120,IF(足元帳!BB215=6,150,IF(足元帳!BB215=7,180,""))))))))</f>
        <v/>
      </c>
      <c r="G215" s="128" t="str">
        <f>IF(足元帳!K215="","",足元帳!A215)</f>
        <v/>
      </c>
      <c r="H215" s="125" t="str">
        <f>IF(足元帳!AP215="","",$H$1)</f>
        <v/>
      </c>
      <c r="I215" s="125" t="str">
        <f>IF(足元帳!AQ215="","",$I$1)</f>
        <v/>
      </c>
      <c r="J215" s="125" t="str">
        <f>IF(足元帳!AR215="","",$J$1)</f>
        <v/>
      </c>
      <c r="K215" s="125" t="str">
        <f>IF(足元帳!AS215="","",$K$1)</f>
        <v/>
      </c>
      <c r="L215" s="291" t="str">
        <f>IF(COUNTIF(足元帳!AT215,"*複合*"),"複合","")</f>
        <v/>
      </c>
      <c r="M215" s="291" t="str">
        <f>IF(COUNTIF(足元帳!AT215,"*店頭本指名*"),"店頭本指名","")</f>
        <v/>
      </c>
      <c r="N215" s="125" t="str">
        <f>IF(足元帳!U215="","",足元帳!U215)</f>
        <v/>
      </c>
      <c r="O215" s="125" t="str">
        <f>IF(足元帳!V215="","",足元帳!V215)</f>
        <v/>
      </c>
      <c r="P215" s="125" t="str">
        <f>IF(足元帳!W215="","",足元帳!W215)</f>
        <v/>
      </c>
      <c r="Q215" s="125" t="str">
        <f>IF(足元帳!X215="","",足元帳!X215)</f>
        <v/>
      </c>
      <c r="R215" s="125" t="str">
        <f>IF(足元帳!Y215="","",足元帳!Y215)</f>
        <v/>
      </c>
      <c r="S215" s="125" t="str">
        <f>IF(足元帳!Z215="","",足元帳!Z215)</f>
        <v/>
      </c>
      <c r="T215" s="125" t="str">
        <f>IF(足元帳!AT215="","",足元帳!AT215)</f>
        <v/>
      </c>
      <c r="U215" s="125" t="str">
        <f>IF(足元帳!AH215="●",足元帳!$AH$1&amp;足元帳!AW215,"")</f>
        <v/>
      </c>
      <c r="V215" s="125" t="str">
        <f>IF(足元帳!AI215="●",足元帳!$AI$1&amp;足元帳!AW215,"")</f>
        <v/>
      </c>
      <c r="W215" s="125" t="str">
        <f>IF(足元帳!AX215="","",足元帳!AX215)</f>
        <v/>
      </c>
      <c r="X215" s="125">
        <f>足元帳!BJ215</f>
        <v>0</v>
      </c>
    </row>
    <row r="216" spans="1:24" ht="13.15" customHeight="1">
      <c r="A216" s="126">
        <v>215</v>
      </c>
      <c r="B216" s="127" t="str">
        <f>IF(足元帳!K216="","",精算表!$W$1)</f>
        <v/>
      </c>
      <c r="C216" s="128" t="str">
        <f>IF(足元帳!K216="","",IF(足元帳!AY216=2,"R","N"))</f>
        <v/>
      </c>
      <c r="D216" s="128" t="str">
        <f>IF(足元帳!K216="","",IF(足元帳!AZ216=1,"姫",IF(足元帳!AZ216=2,"本指名",IF(足元帳!AZ216=3,"NET",IF(足元帳!AZ216=4,"写真","")))))</f>
        <v/>
      </c>
      <c r="E216" s="128" t="str">
        <f>IF(足元帳!K216="","",足元帳!K216)</f>
        <v/>
      </c>
      <c r="F216" s="128" t="str">
        <f>IF(足元帳!K216="","",IF(足元帳!BB216=1,45,IF(足元帳!BB216=2,60,IF(足元帳!BB216=3,75,IF(足元帳!BB216=4,90,IF(足元帳!BB216=5,120,IF(足元帳!BB216=6,150,IF(足元帳!BB216=7,180,""))))))))</f>
        <v/>
      </c>
      <c r="G216" s="128" t="str">
        <f>IF(足元帳!K216="","",足元帳!A216)</f>
        <v/>
      </c>
      <c r="H216" s="125" t="str">
        <f>IF(足元帳!AP216="","",$H$1)</f>
        <v/>
      </c>
      <c r="I216" s="125" t="str">
        <f>IF(足元帳!AQ216="","",$I$1)</f>
        <v/>
      </c>
      <c r="J216" s="125" t="str">
        <f>IF(足元帳!AR216="","",$J$1)</f>
        <v/>
      </c>
      <c r="K216" s="125" t="str">
        <f>IF(足元帳!AS216="","",$K$1)</f>
        <v/>
      </c>
      <c r="L216" s="291" t="str">
        <f>IF(COUNTIF(足元帳!AT216,"*複合*"),"複合","")</f>
        <v/>
      </c>
      <c r="M216" s="291" t="str">
        <f>IF(COUNTIF(足元帳!AT216,"*店頭本指名*"),"店頭本指名","")</f>
        <v/>
      </c>
      <c r="N216" s="125" t="str">
        <f>IF(足元帳!U216="","",足元帳!U216)</f>
        <v/>
      </c>
      <c r="O216" s="125" t="str">
        <f>IF(足元帳!V216="","",足元帳!V216)</f>
        <v/>
      </c>
      <c r="P216" s="125" t="str">
        <f>IF(足元帳!W216="","",足元帳!W216)</f>
        <v/>
      </c>
      <c r="Q216" s="125" t="str">
        <f>IF(足元帳!X216="","",足元帳!X216)</f>
        <v/>
      </c>
      <c r="R216" s="125" t="str">
        <f>IF(足元帳!Y216="","",足元帳!Y216)</f>
        <v/>
      </c>
      <c r="S216" s="125" t="str">
        <f>IF(足元帳!Z216="","",足元帳!Z216)</f>
        <v/>
      </c>
      <c r="T216" s="125" t="str">
        <f>IF(足元帳!AT216="","",足元帳!AT216)</f>
        <v/>
      </c>
      <c r="U216" s="125" t="str">
        <f>IF(足元帳!AH216="●",足元帳!$AH$1&amp;足元帳!AW216,"")</f>
        <v/>
      </c>
      <c r="V216" s="125" t="str">
        <f>IF(足元帳!AI216="●",足元帳!$AI$1&amp;足元帳!AW216,"")</f>
        <v/>
      </c>
      <c r="W216" s="125" t="str">
        <f>IF(足元帳!AX216="","",足元帳!AX216)</f>
        <v/>
      </c>
      <c r="X216" s="125">
        <f>足元帳!BJ216</f>
        <v>0</v>
      </c>
    </row>
    <row r="217" spans="1:24" ht="13.15" customHeight="1">
      <c r="A217" s="126">
        <v>216</v>
      </c>
      <c r="B217" s="127" t="str">
        <f>IF(足元帳!K217="","",精算表!$W$1)</f>
        <v/>
      </c>
      <c r="C217" s="128" t="str">
        <f>IF(足元帳!K217="","",IF(足元帳!AY217=2,"R","N"))</f>
        <v/>
      </c>
      <c r="D217" s="128" t="str">
        <f>IF(足元帳!K217="","",IF(足元帳!AZ217=1,"姫",IF(足元帳!AZ217=2,"本指名",IF(足元帳!AZ217=3,"NET",IF(足元帳!AZ217=4,"写真","")))))</f>
        <v/>
      </c>
      <c r="E217" s="128" t="str">
        <f>IF(足元帳!K217="","",足元帳!K217)</f>
        <v/>
      </c>
      <c r="F217" s="128" t="str">
        <f>IF(足元帳!K217="","",IF(足元帳!BB217=1,45,IF(足元帳!BB217=2,60,IF(足元帳!BB217=3,75,IF(足元帳!BB217=4,90,IF(足元帳!BB217=5,120,IF(足元帳!BB217=6,150,IF(足元帳!BB217=7,180,""))))))))</f>
        <v/>
      </c>
      <c r="G217" s="128" t="str">
        <f>IF(足元帳!K217="","",足元帳!A217)</f>
        <v/>
      </c>
      <c r="H217" s="125" t="str">
        <f>IF(足元帳!AP217="","",$H$1)</f>
        <v/>
      </c>
      <c r="I217" s="125" t="str">
        <f>IF(足元帳!AQ217="","",$I$1)</f>
        <v/>
      </c>
      <c r="J217" s="125" t="str">
        <f>IF(足元帳!AR217="","",$J$1)</f>
        <v/>
      </c>
      <c r="K217" s="125" t="str">
        <f>IF(足元帳!AS217="","",$K$1)</f>
        <v/>
      </c>
      <c r="L217" s="291" t="str">
        <f>IF(COUNTIF(足元帳!AT217,"*複合*"),"複合","")</f>
        <v/>
      </c>
      <c r="M217" s="291" t="str">
        <f>IF(COUNTIF(足元帳!AT217,"*店頭本指名*"),"店頭本指名","")</f>
        <v/>
      </c>
      <c r="N217" s="125" t="str">
        <f>IF(足元帳!U217="","",足元帳!U217)</f>
        <v/>
      </c>
      <c r="O217" s="125" t="str">
        <f>IF(足元帳!V217="","",足元帳!V217)</f>
        <v/>
      </c>
      <c r="P217" s="125" t="str">
        <f>IF(足元帳!W217="","",足元帳!W217)</f>
        <v/>
      </c>
      <c r="Q217" s="125" t="str">
        <f>IF(足元帳!X217="","",足元帳!X217)</f>
        <v/>
      </c>
      <c r="R217" s="125" t="str">
        <f>IF(足元帳!Y217="","",足元帳!Y217)</f>
        <v/>
      </c>
      <c r="S217" s="125" t="str">
        <f>IF(足元帳!Z217="","",足元帳!Z217)</f>
        <v/>
      </c>
      <c r="T217" s="125" t="str">
        <f>IF(足元帳!AT217="","",足元帳!AT217)</f>
        <v/>
      </c>
      <c r="U217" s="125" t="str">
        <f>IF(足元帳!AH217="●",足元帳!$AH$1&amp;足元帳!AW217,"")</f>
        <v/>
      </c>
      <c r="V217" s="125" t="str">
        <f>IF(足元帳!AI217="●",足元帳!$AI$1&amp;足元帳!AW217,"")</f>
        <v/>
      </c>
      <c r="W217" s="125" t="str">
        <f>IF(足元帳!AX217="","",足元帳!AX217)</f>
        <v/>
      </c>
      <c r="X217" s="125">
        <f>足元帳!BJ217</f>
        <v>0</v>
      </c>
    </row>
    <row r="218" spans="1:24" ht="13.15" customHeight="1">
      <c r="A218" s="126">
        <v>217</v>
      </c>
      <c r="B218" s="127" t="str">
        <f>IF(足元帳!K218="","",精算表!$W$1)</f>
        <v/>
      </c>
      <c r="C218" s="128" t="str">
        <f>IF(足元帳!K218="","",IF(足元帳!AY218=2,"R","N"))</f>
        <v/>
      </c>
      <c r="D218" s="128" t="str">
        <f>IF(足元帳!K218="","",IF(足元帳!AZ218=1,"姫",IF(足元帳!AZ218=2,"本指名",IF(足元帳!AZ218=3,"NET",IF(足元帳!AZ218=4,"写真","")))))</f>
        <v/>
      </c>
      <c r="E218" s="128" t="str">
        <f>IF(足元帳!K218="","",足元帳!K218)</f>
        <v/>
      </c>
      <c r="F218" s="128" t="str">
        <f>IF(足元帳!K218="","",IF(足元帳!BB218=1,45,IF(足元帳!BB218=2,60,IF(足元帳!BB218=3,75,IF(足元帳!BB218=4,90,IF(足元帳!BB218=5,120,IF(足元帳!BB218=6,150,IF(足元帳!BB218=7,180,""))))))))</f>
        <v/>
      </c>
      <c r="G218" s="128" t="str">
        <f>IF(足元帳!K218="","",足元帳!A218)</f>
        <v/>
      </c>
      <c r="H218" s="125" t="str">
        <f>IF(足元帳!AP218="","",$H$1)</f>
        <v/>
      </c>
      <c r="I218" s="125" t="str">
        <f>IF(足元帳!AQ218="","",$I$1)</f>
        <v/>
      </c>
      <c r="J218" s="125" t="str">
        <f>IF(足元帳!AR218="","",$J$1)</f>
        <v/>
      </c>
      <c r="K218" s="125" t="str">
        <f>IF(足元帳!AS218="","",$K$1)</f>
        <v/>
      </c>
      <c r="L218" s="291" t="str">
        <f>IF(COUNTIF(足元帳!AT218,"*複合*"),"複合","")</f>
        <v/>
      </c>
      <c r="M218" s="291" t="str">
        <f>IF(COUNTIF(足元帳!AT218,"*店頭本指名*"),"店頭本指名","")</f>
        <v/>
      </c>
      <c r="N218" s="125" t="str">
        <f>IF(足元帳!U218="","",足元帳!U218)</f>
        <v/>
      </c>
      <c r="O218" s="125" t="str">
        <f>IF(足元帳!V218="","",足元帳!V218)</f>
        <v/>
      </c>
      <c r="P218" s="125" t="str">
        <f>IF(足元帳!W218="","",足元帳!W218)</f>
        <v/>
      </c>
      <c r="Q218" s="125" t="str">
        <f>IF(足元帳!X218="","",足元帳!X218)</f>
        <v/>
      </c>
      <c r="R218" s="125" t="str">
        <f>IF(足元帳!Y218="","",足元帳!Y218)</f>
        <v/>
      </c>
      <c r="S218" s="125" t="str">
        <f>IF(足元帳!Z218="","",足元帳!Z218)</f>
        <v/>
      </c>
      <c r="T218" s="125" t="str">
        <f>IF(足元帳!AT218="","",足元帳!AT218)</f>
        <v/>
      </c>
      <c r="U218" s="125" t="str">
        <f>IF(足元帳!AH218="●",足元帳!$AH$1&amp;足元帳!AW218,"")</f>
        <v/>
      </c>
      <c r="V218" s="125" t="str">
        <f>IF(足元帳!AI218="●",足元帳!$AI$1&amp;足元帳!AW218,"")</f>
        <v/>
      </c>
      <c r="W218" s="125" t="str">
        <f>IF(足元帳!AX218="","",足元帳!AX218)</f>
        <v/>
      </c>
      <c r="X218" s="125">
        <f>足元帳!BJ218</f>
        <v>0</v>
      </c>
    </row>
    <row r="219" spans="1:24" ht="13.15" customHeight="1">
      <c r="A219" s="126">
        <v>218</v>
      </c>
      <c r="B219" s="127" t="str">
        <f>IF(足元帳!K219="","",精算表!$W$1)</f>
        <v/>
      </c>
      <c r="C219" s="128" t="str">
        <f>IF(足元帳!K219="","",IF(足元帳!AY219=2,"R","N"))</f>
        <v/>
      </c>
      <c r="D219" s="128" t="str">
        <f>IF(足元帳!K219="","",IF(足元帳!AZ219=1,"姫",IF(足元帳!AZ219=2,"本指名",IF(足元帳!AZ219=3,"NET",IF(足元帳!AZ219=4,"写真","")))))</f>
        <v/>
      </c>
      <c r="E219" s="128" t="str">
        <f>IF(足元帳!K219="","",足元帳!K219)</f>
        <v/>
      </c>
      <c r="F219" s="128" t="str">
        <f>IF(足元帳!K219="","",IF(足元帳!BB219=1,45,IF(足元帳!BB219=2,60,IF(足元帳!BB219=3,75,IF(足元帳!BB219=4,90,IF(足元帳!BB219=5,120,IF(足元帳!BB219=6,150,IF(足元帳!BB219=7,180,""))))))))</f>
        <v/>
      </c>
      <c r="G219" s="128" t="str">
        <f>IF(足元帳!K219="","",足元帳!A219)</f>
        <v/>
      </c>
      <c r="H219" s="125" t="str">
        <f>IF(足元帳!AP219="","",$H$1)</f>
        <v/>
      </c>
      <c r="I219" s="125" t="str">
        <f>IF(足元帳!AQ219="","",$I$1)</f>
        <v/>
      </c>
      <c r="J219" s="125" t="str">
        <f>IF(足元帳!AR219="","",$J$1)</f>
        <v/>
      </c>
      <c r="K219" s="125" t="str">
        <f>IF(足元帳!AS219="","",$K$1)</f>
        <v/>
      </c>
      <c r="L219" s="291" t="str">
        <f>IF(COUNTIF(足元帳!AT219,"*複合*"),"複合","")</f>
        <v/>
      </c>
      <c r="M219" s="291" t="str">
        <f>IF(COUNTIF(足元帳!AT219,"*店頭本指名*"),"店頭本指名","")</f>
        <v/>
      </c>
      <c r="N219" s="125" t="str">
        <f>IF(足元帳!U219="","",足元帳!U219)</f>
        <v/>
      </c>
      <c r="O219" s="125" t="str">
        <f>IF(足元帳!V219="","",足元帳!V219)</f>
        <v/>
      </c>
      <c r="P219" s="125" t="str">
        <f>IF(足元帳!W219="","",足元帳!W219)</f>
        <v/>
      </c>
      <c r="Q219" s="125" t="str">
        <f>IF(足元帳!X219="","",足元帳!X219)</f>
        <v/>
      </c>
      <c r="R219" s="125" t="str">
        <f>IF(足元帳!Y219="","",足元帳!Y219)</f>
        <v/>
      </c>
      <c r="S219" s="125" t="str">
        <f>IF(足元帳!Z219="","",足元帳!Z219)</f>
        <v/>
      </c>
      <c r="T219" s="125" t="str">
        <f>IF(足元帳!AT219="","",足元帳!AT219)</f>
        <v/>
      </c>
      <c r="U219" s="125" t="str">
        <f>IF(足元帳!AH219="●",足元帳!$AH$1&amp;足元帳!AW219,"")</f>
        <v/>
      </c>
      <c r="V219" s="125" t="str">
        <f>IF(足元帳!AI219="●",足元帳!$AI$1&amp;足元帳!AW219,"")</f>
        <v/>
      </c>
      <c r="W219" s="125" t="str">
        <f>IF(足元帳!AX219="","",足元帳!AX219)</f>
        <v/>
      </c>
      <c r="X219" s="125">
        <f>足元帳!BJ219</f>
        <v>0</v>
      </c>
    </row>
    <row r="220" spans="1:24" ht="13.15" customHeight="1">
      <c r="A220" s="126">
        <v>219</v>
      </c>
      <c r="B220" s="127" t="str">
        <f>IF(足元帳!K220="","",精算表!$W$1)</f>
        <v/>
      </c>
      <c r="C220" s="128" t="str">
        <f>IF(足元帳!K220="","",IF(足元帳!AY220=2,"R","N"))</f>
        <v/>
      </c>
      <c r="D220" s="128" t="str">
        <f>IF(足元帳!K220="","",IF(足元帳!AZ220=1,"姫",IF(足元帳!AZ220=2,"本指名",IF(足元帳!AZ220=3,"NET",IF(足元帳!AZ220=4,"写真","")))))</f>
        <v/>
      </c>
      <c r="E220" s="128" t="str">
        <f>IF(足元帳!K220="","",足元帳!K220)</f>
        <v/>
      </c>
      <c r="F220" s="128" t="str">
        <f>IF(足元帳!K220="","",IF(足元帳!BB220=1,45,IF(足元帳!BB220=2,60,IF(足元帳!BB220=3,75,IF(足元帳!BB220=4,90,IF(足元帳!BB220=5,120,IF(足元帳!BB220=6,150,IF(足元帳!BB220=7,180,""))))))))</f>
        <v/>
      </c>
      <c r="G220" s="128" t="str">
        <f>IF(足元帳!K220="","",足元帳!A220)</f>
        <v/>
      </c>
      <c r="H220" s="125" t="str">
        <f>IF(足元帳!AP220="","",$H$1)</f>
        <v/>
      </c>
      <c r="I220" s="125" t="str">
        <f>IF(足元帳!AQ220="","",$I$1)</f>
        <v/>
      </c>
      <c r="J220" s="125" t="str">
        <f>IF(足元帳!AR220="","",$J$1)</f>
        <v/>
      </c>
      <c r="K220" s="125" t="str">
        <f>IF(足元帳!AS220="","",$K$1)</f>
        <v/>
      </c>
      <c r="L220" s="291" t="str">
        <f>IF(COUNTIF(足元帳!AT220,"*複合*"),"複合","")</f>
        <v/>
      </c>
      <c r="M220" s="291" t="str">
        <f>IF(COUNTIF(足元帳!AT220,"*店頭本指名*"),"店頭本指名","")</f>
        <v/>
      </c>
      <c r="N220" s="125" t="str">
        <f>IF(足元帳!U220="","",足元帳!U220)</f>
        <v/>
      </c>
      <c r="O220" s="125" t="str">
        <f>IF(足元帳!V220="","",足元帳!V220)</f>
        <v/>
      </c>
      <c r="P220" s="125" t="str">
        <f>IF(足元帳!W220="","",足元帳!W220)</f>
        <v/>
      </c>
      <c r="Q220" s="125" t="str">
        <f>IF(足元帳!X220="","",足元帳!X220)</f>
        <v/>
      </c>
      <c r="R220" s="125" t="str">
        <f>IF(足元帳!Y220="","",足元帳!Y220)</f>
        <v/>
      </c>
      <c r="S220" s="125" t="str">
        <f>IF(足元帳!Z220="","",足元帳!Z220)</f>
        <v/>
      </c>
      <c r="T220" s="125" t="str">
        <f>IF(足元帳!AT220="","",足元帳!AT220)</f>
        <v/>
      </c>
      <c r="U220" s="125" t="str">
        <f>IF(足元帳!AH220="●",足元帳!$AH$1&amp;足元帳!AW220,"")</f>
        <v/>
      </c>
      <c r="V220" s="125" t="str">
        <f>IF(足元帳!AI220="●",足元帳!$AI$1&amp;足元帳!AW220,"")</f>
        <v/>
      </c>
      <c r="W220" s="125" t="str">
        <f>IF(足元帳!AX220="","",足元帳!AX220)</f>
        <v/>
      </c>
      <c r="X220" s="125">
        <f>足元帳!BJ220</f>
        <v>0</v>
      </c>
    </row>
    <row r="221" spans="1:24" ht="13.15" customHeight="1">
      <c r="A221" s="126">
        <v>220</v>
      </c>
      <c r="B221" s="127" t="str">
        <f>IF(足元帳!K221="","",精算表!$W$1)</f>
        <v/>
      </c>
      <c r="C221" s="128" t="str">
        <f>IF(足元帳!K221="","",IF(足元帳!AY221=2,"R","N"))</f>
        <v/>
      </c>
      <c r="D221" s="128" t="str">
        <f>IF(足元帳!K221="","",IF(足元帳!AZ221=1,"姫",IF(足元帳!AZ221=2,"本指名",IF(足元帳!AZ221=3,"NET",IF(足元帳!AZ221=4,"写真","")))))</f>
        <v/>
      </c>
      <c r="E221" s="128" t="str">
        <f>IF(足元帳!K221="","",足元帳!K221)</f>
        <v/>
      </c>
      <c r="F221" s="128" t="str">
        <f>IF(足元帳!K221="","",IF(足元帳!BB221=1,45,IF(足元帳!BB221=2,60,IF(足元帳!BB221=3,75,IF(足元帳!BB221=4,90,IF(足元帳!BB221=5,120,IF(足元帳!BB221=6,150,IF(足元帳!BB221=7,180,""))))))))</f>
        <v/>
      </c>
      <c r="G221" s="128" t="str">
        <f>IF(足元帳!K221="","",足元帳!A221)</f>
        <v/>
      </c>
      <c r="H221" s="125" t="str">
        <f>IF(足元帳!AP221="","",$H$1)</f>
        <v/>
      </c>
      <c r="I221" s="125" t="str">
        <f>IF(足元帳!AQ221="","",$I$1)</f>
        <v/>
      </c>
      <c r="J221" s="125" t="str">
        <f>IF(足元帳!AR221="","",$J$1)</f>
        <v/>
      </c>
      <c r="K221" s="125" t="str">
        <f>IF(足元帳!AS221="","",$K$1)</f>
        <v/>
      </c>
      <c r="L221" s="291" t="str">
        <f>IF(COUNTIF(足元帳!AT221,"*複合*"),"複合","")</f>
        <v/>
      </c>
      <c r="M221" s="291" t="str">
        <f>IF(COUNTIF(足元帳!AT221,"*店頭本指名*"),"店頭本指名","")</f>
        <v/>
      </c>
      <c r="N221" s="125" t="str">
        <f>IF(足元帳!U221="","",足元帳!U221)</f>
        <v/>
      </c>
      <c r="O221" s="125" t="str">
        <f>IF(足元帳!V221="","",足元帳!V221)</f>
        <v/>
      </c>
      <c r="P221" s="125" t="str">
        <f>IF(足元帳!W221="","",足元帳!W221)</f>
        <v/>
      </c>
      <c r="Q221" s="125" t="str">
        <f>IF(足元帳!X221="","",足元帳!X221)</f>
        <v/>
      </c>
      <c r="R221" s="125" t="str">
        <f>IF(足元帳!Y221="","",足元帳!Y221)</f>
        <v/>
      </c>
      <c r="S221" s="125" t="str">
        <f>IF(足元帳!Z221="","",足元帳!Z221)</f>
        <v/>
      </c>
      <c r="T221" s="125" t="str">
        <f>IF(足元帳!AT221="","",足元帳!AT221)</f>
        <v/>
      </c>
      <c r="U221" s="125" t="str">
        <f>IF(足元帳!AH221="●",足元帳!$AH$1&amp;足元帳!AW221,"")</f>
        <v/>
      </c>
      <c r="V221" s="125" t="str">
        <f>IF(足元帳!AI221="●",足元帳!$AI$1&amp;足元帳!AW221,"")</f>
        <v/>
      </c>
      <c r="W221" s="125" t="str">
        <f>IF(足元帳!AX221="","",足元帳!AX221)</f>
        <v/>
      </c>
      <c r="X221" s="125">
        <f>足元帳!BJ221</f>
        <v>0</v>
      </c>
    </row>
    <row r="222" spans="1:24" ht="13.15" customHeight="1">
      <c r="A222" s="126">
        <v>221</v>
      </c>
      <c r="B222" s="127" t="str">
        <f>IF(足元帳!K222="","",精算表!$W$1)</f>
        <v/>
      </c>
      <c r="C222" s="128" t="str">
        <f>IF(足元帳!K222="","",IF(足元帳!AY222=2,"R","N"))</f>
        <v/>
      </c>
      <c r="D222" s="128" t="str">
        <f>IF(足元帳!K222="","",IF(足元帳!AZ222=1,"姫",IF(足元帳!AZ222=2,"本指名",IF(足元帳!AZ222=3,"NET",IF(足元帳!AZ222=4,"写真","")))))</f>
        <v/>
      </c>
      <c r="E222" s="128" t="str">
        <f>IF(足元帳!K222="","",足元帳!K222)</f>
        <v/>
      </c>
      <c r="F222" s="128" t="str">
        <f>IF(足元帳!K222="","",IF(足元帳!BB222=1,45,IF(足元帳!BB222=2,60,IF(足元帳!BB222=3,75,IF(足元帳!BB222=4,90,IF(足元帳!BB222=5,120,IF(足元帳!BB222=6,150,IF(足元帳!BB222=7,180,""))))))))</f>
        <v/>
      </c>
      <c r="G222" s="128" t="str">
        <f>IF(足元帳!K222="","",足元帳!A222)</f>
        <v/>
      </c>
      <c r="H222" s="125" t="str">
        <f>IF(足元帳!AP222="","",$H$1)</f>
        <v/>
      </c>
      <c r="I222" s="125" t="str">
        <f>IF(足元帳!AQ222="","",$I$1)</f>
        <v/>
      </c>
      <c r="J222" s="125" t="str">
        <f>IF(足元帳!AR222="","",$J$1)</f>
        <v/>
      </c>
      <c r="K222" s="125" t="str">
        <f>IF(足元帳!AS222="","",$K$1)</f>
        <v/>
      </c>
      <c r="L222" s="291" t="str">
        <f>IF(COUNTIF(足元帳!AT222,"*複合*"),"複合","")</f>
        <v/>
      </c>
      <c r="M222" s="291" t="str">
        <f>IF(COUNTIF(足元帳!AT222,"*店頭本指名*"),"店頭本指名","")</f>
        <v/>
      </c>
      <c r="N222" s="125" t="str">
        <f>IF(足元帳!U222="","",足元帳!U222)</f>
        <v/>
      </c>
      <c r="O222" s="125" t="str">
        <f>IF(足元帳!V222="","",足元帳!V222)</f>
        <v/>
      </c>
      <c r="P222" s="125" t="str">
        <f>IF(足元帳!W222="","",足元帳!W222)</f>
        <v/>
      </c>
      <c r="Q222" s="125" t="str">
        <f>IF(足元帳!X222="","",足元帳!X222)</f>
        <v/>
      </c>
      <c r="R222" s="125" t="str">
        <f>IF(足元帳!Y222="","",足元帳!Y222)</f>
        <v/>
      </c>
      <c r="S222" s="125" t="str">
        <f>IF(足元帳!Z222="","",足元帳!Z222)</f>
        <v/>
      </c>
      <c r="T222" s="125" t="str">
        <f>IF(足元帳!AT222="","",足元帳!AT222)</f>
        <v/>
      </c>
      <c r="U222" s="125" t="str">
        <f>IF(足元帳!AH222="●",足元帳!$AH$1&amp;足元帳!AW222,"")</f>
        <v/>
      </c>
      <c r="V222" s="125" t="str">
        <f>IF(足元帳!AI222="●",足元帳!$AI$1&amp;足元帳!AW222,"")</f>
        <v/>
      </c>
      <c r="W222" s="125" t="str">
        <f>IF(足元帳!AX222="","",足元帳!AX222)</f>
        <v/>
      </c>
      <c r="X222" s="125">
        <f>足元帳!BJ222</f>
        <v>0</v>
      </c>
    </row>
    <row r="223" spans="1:24" ht="13.15" customHeight="1">
      <c r="A223" s="126">
        <v>222</v>
      </c>
      <c r="B223" s="127" t="str">
        <f>IF(足元帳!K223="","",精算表!$W$1)</f>
        <v/>
      </c>
      <c r="C223" s="128" t="str">
        <f>IF(足元帳!K223="","",IF(足元帳!AY223=2,"R","N"))</f>
        <v/>
      </c>
      <c r="D223" s="128" t="str">
        <f>IF(足元帳!K223="","",IF(足元帳!AZ223=1,"姫",IF(足元帳!AZ223=2,"本指名",IF(足元帳!AZ223=3,"NET",IF(足元帳!AZ223=4,"写真","")))))</f>
        <v/>
      </c>
      <c r="E223" s="128" t="str">
        <f>IF(足元帳!K223="","",足元帳!K223)</f>
        <v/>
      </c>
      <c r="F223" s="128" t="str">
        <f>IF(足元帳!K223="","",IF(足元帳!BB223=1,45,IF(足元帳!BB223=2,60,IF(足元帳!BB223=3,75,IF(足元帳!BB223=4,90,IF(足元帳!BB223=5,120,IF(足元帳!BB223=6,150,IF(足元帳!BB223=7,180,""))))))))</f>
        <v/>
      </c>
      <c r="G223" s="128" t="str">
        <f>IF(足元帳!K223="","",足元帳!A223)</f>
        <v/>
      </c>
      <c r="H223" s="125" t="str">
        <f>IF(足元帳!AP223="","",$H$1)</f>
        <v/>
      </c>
      <c r="I223" s="125" t="str">
        <f>IF(足元帳!AQ223="","",$I$1)</f>
        <v/>
      </c>
      <c r="J223" s="125" t="str">
        <f>IF(足元帳!AR223="","",$J$1)</f>
        <v/>
      </c>
      <c r="K223" s="125" t="str">
        <f>IF(足元帳!AS223="","",$K$1)</f>
        <v/>
      </c>
      <c r="L223" s="291" t="str">
        <f>IF(COUNTIF(足元帳!AT223,"*複合*"),"複合","")</f>
        <v/>
      </c>
      <c r="M223" s="291" t="str">
        <f>IF(COUNTIF(足元帳!AT223,"*店頭本指名*"),"店頭本指名","")</f>
        <v/>
      </c>
      <c r="N223" s="125" t="str">
        <f>IF(足元帳!U223="","",足元帳!U223)</f>
        <v/>
      </c>
      <c r="O223" s="125" t="str">
        <f>IF(足元帳!V223="","",足元帳!V223)</f>
        <v/>
      </c>
      <c r="P223" s="125" t="str">
        <f>IF(足元帳!W223="","",足元帳!W223)</f>
        <v/>
      </c>
      <c r="Q223" s="125" t="str">
        <f>IF(足元帳!X223="","",足元帳!X223)</f>
        <v/>
      </c>
      <c r="R223" s="125" t="str">
        <f>IF(足元帳!Y223="","",足元帳!Y223)</f>
        <v/>
      </c>
      <c r="S223" s="125" t="str">
        <f>IF(足元帳!Z223="","",足元帳!Z223)</f>
        <v/>
      </c>
      <c r="T223" s="125" t="str">
        <f>IF(足元帳!AT223="","",足元帳!AT223)</f>
        <v/>
      </c>
      <c r="U223" s="125" t="str">
        <f>IF(足元帳!AH223="●",足元帳!$AH$1&amp;足元帳!AW223,"")</f>
        <v/>
      </c>
      <c r="V223" s="125" t="str">
        <f>IF(足元帳!AI223="●",足元帳!$AI$1&amp;足元帳!AW223,"")</f>
        <v/>
      </c>
      <c r="W223" s="125" t="str">
        <f>IF(足元帳!AX223="","",足元帳!AX223)</f>
        <v/>
      </c>
      <c r="X223" s="125">
        <f>足元帳!BJ223</f>
        <v>0</v>
      </c>
    </row>
    <row r="224" spans="1:24" ht="13.15" customHeight="1">
      <c r="A224" s="126">
        <v>223</v>
      </c>
      <c r="B224" s="127" t="str">
        <f>IF(足元帳!K224="","",精算表!$W$1)</f>
        <v/>
      </c>
      <c r="C224" s="128" t="str">
        <f>IF(足元帳!K224="","",IF(足元帳!AY224=2,"R","N"))</f>
        <v/>
      </c>
      <c r="D224" s="128" t="str">
        <f>IF(足元帳!K224="","",IF(足元帳!AZ224=1,"姫",IF(足元帳!AZ224=2,"本指名",IF(足元帳!AZ224=3,"NET",IF(足元帳!AZ224=4,"写真","")))))</f>
        <v/>
      </c>
      <c r="E224" s="128" t="str">
        <f>IF(足元帳!K224="","",足元帳!K224)</f>
        <v/>
      </c>
      <c r="F224" s="128" t="str">
        <f>IF(足元帳!K224="","",IF(足元帳!BB224=1,45,IF(足元帳!BB224=2,60,IF(足元帳!BB224=3,75,IF(足元帳!BB224=4,90,IF(足元帳!BB224=5,120,IF(足元帳!BB224=6,150,IF(足元帳!BB224=7,180,""))))))))</f>
        <v/>
      </c>
      <c r="G224" s="128" t="str">
        <f>IF(足元帳!K224="","",足元帳!A224)</f>
        <v/>
      </c>
      <c r="H224" s="125" t="str">
        <f>IF(足元帳!AP224="","",$H$1)</f>
        <v/>
      </c>
      <c r="I224" s="125" t="str">
        <f>IF(足元帳!AQ224="","",$I$1)</f>
        <v/>
      </c>
      <c r="J224" s="125" t="str">
        <f>IF(足元帳!AR224="","",$J$1)</f>
        <v/>
      </c>
      <c r="K224" s="125" t="str">
        <f>IF(足元帳!AS224="","",$K$1)</f>
        <v/>
      </c>
      <c r="L224" s="291" t="str">
        <f>IF(COUNTIF(足元帳!AT224,"*複合*"),"複合","")</f>
        <v/>
      </c>
      <c r="M224" s="291" t="str">
        <f>IF(COUNTIF(足元帳!AT224,"*店頭本指名*"),"店頭本指名","")</f>
        <v/>
      </c>
      <c r="N224" s="125" t="str">
        <f>IF(足元帳!U224="","",足元帳!U224)</f>
        <v/>
      </c>
      <c r="O224" s="125" t="str">
        <f>IF(足元帳!V224="","",足元帳!V224)</f>
        <v/>
      </c>
      <c r="P224" s="125" t="str">
        <f>IF(足元帳!W224="","",足元帳!W224)</f>
        <v/>
      </c>
      <c r="Q224" s="125" t="str">
        <f>IF(足元帳!X224="","",足元帳!X224)</f>
        <v/>
      </c>
      <c r="R224" s="125" t="str">
        <f>IF(足元帳!Y224="","",足元帳!Y224)</f>
        <v/>
      </c>
      <c r="S224" s="125" t="str">
        <f>IF(足元帳!Z224="","",足元帳!Z224)</f>
        <v/>
      </c>
      <c r="T224" s="125" t="str">
        <f>IF(足元帳!AT224="","",足元帳!AT224)</f>
        <v/>
      </c>
      <c r="U224" s="125" t="str">
        <f>IF(足元帳!AH224="●",足元帳!$AH$1&amp;足元帳!AW224,"")</f>
        <v/>
      </c>
      <c r="V224" s="125" t="str">
        <f>IF(足元帳!AI224="●",足元帳!$AI$1&amp;足元帳!AW224,"")</f>
        <v/>
      </c>
      <c r="W224" s="125" t="str">
        <f>IF(足元帳!AX224="","",足元帳!AX224)</f>
        <v/>
      </c>
      <c r="X224" s="125">
        <f>足元帳!BJ224</f>
        <v>0</v>
      </c>
    </row>
    <row r="225" spans="1:24" ht="13.15" customHeight="1">
      <c r="A225" s="126">
        <v>224</v>
      </c>
      <c r="B225" s="127" t="str">
        <f>IF(足元帳!K225="","",精算表!$W$1)</f>
        <v/>
      </c>
      <c r="C225" s="128" t="str">
        <f>IF(足元帳!K225="","",IF(足元帳!AY225=2,"R","N"))</f>
        <v/>
      </c>
      <c r="D225" s="128" t="str">
        <f>IF(足元帳!K225="","",IF(足元帳!AZ225=1,"姫",IF(足元帳!AZ225=2,"本指名",IF(足元帳!AZ225=3,"NET",IF(足元帳!AZ225=4,"写真","")))))</f>
        <v/>
      </c>
      <c r="E225" s="128" t="str">
        <f>IF(足元帳!K225="","",足元帳!K225)</f>
        <v/>
      </c>
      <c r="F225" s="128" t="str">
        <f>IF(足元帳!K225="","",IF(足元帳!BB225=1,45,IF(足元帳!BB225=2,60,IF(足元帳!BB225=3,75,IF(足元帳!BB225=4,90,IF(足元帳!BB225=5,120,IF(足元帳!BB225=6,150,IF(足元帳!BB225=7,180,""))))))))</f>
        <v/>
      </c>
      <c r="G225" s="128" t="str">
        <f>IF(足元帳!K225="","",足元帳!A225)</f>
        <v/>
      </c>
      <c r="H225" s="125" t="str">
        <f>IF(足元帳!AP225="","",$H$1)</f>
        <v/>
      </c>
      <c r="I225" s="125" t="str">
        <f>IF(足元帳!AQ225="","",$I$1)</f>
        <v/>
      </c>
      <c r="J225" s="125" t="str">
        <f>IF(足元帳!AR225="","",$J$1)</f>
        <v/>
      </c>
      <c r="K225" s="125" t="str">
        <f>IF(足元帳!AS225="","",$K$1)</f>
        <v/>
      </c>
      <c r="L225" s="291" t="str">
        <f>IF(COUNTIF(足元帳!AT225,"*複合*"),"複合","")</f>
        <v/>
      </c>
      <c r="M225" s="291" t="str">
        <f>IF(COUNTIF(足元帳!AT225,"*店頭本指名*"),"店頭本指名","")</f>
        <v/>
      </c>
      <c r="N225" s="125" t="str">
        <f>IF(足元帳!U225="","",足元帳!U225)</f>
        <v/>
      </c>
      <c r="O225" s="125" t="str">
        <f>IF(足元帳!V225="","",足元帳!V225)</f>
        <v/>
      </c>
      <c r="P225" s="125" t="str">
        <f>IF(足元帳!W225="","",足元帳!W225)</f>
        <v/>
      </c>
      <c r="Q225" s="125" t="str">
        <f>IF(足元帳!X225="","",足元帳!X225)</f>
        <v/>
      </c>
      <c r="R225" s="125" t="str">
        <f>IF(足元帳!Y225="","",足元帳!Y225)</f>
        <v/>
      </c>
      <c r="S225" s="125" t="str">
        <f>IF(足元帳!Z225="","",足元帳!Z225)</f>
        <v/>
      </c>
      <c r="T225" s="125" t="str">
        <f>IF(足元帳!AT225="","",足元帳!AT225)</f>
        <v/>
      </c>
      <c r="U225" s="125" t="str">
        <f>IF(足元帳!AH225="●",足元帳!$AH$1&amp;足元帳!AW225,"")</f>
        <v/>
      </c>
      <c r="V225" s="125" t="str">
        <f>IF(足元帳!AI225="●",足元帳!$AI$1&amp;足元帳!AW225,"")</f>
        <v/>
      </c>
      <c r="W225" s="125" t="str">
        <f>IF(足元帳!AX225="","",足元帳!AX225)</f>
        <v/>
      </c>
      <c r="X225" s="125">
        <f>足元帳!BJ225</f>
        <v>0</v>
      </c>
    </row>
    <row r="226" spans="1:24" ht="13.15" customHeight="1">
      <c r="A226" s="126">
        <v>225</v>
      </c>
      <c r="B226" s="127" t="str">
        <f>IF(足元帳!K226="","",精算表!$W$1)</f>
        <v/>
      </c>
      <c r="C226" s="128" t="str">
        <f>IF(足元帳!K226="","",IF(足元帳!AY226=2,"R","N"))</f>
        <v/>
      </c>
      <c r="D226" s="128" t="str">
        <f>IF(足元帳!K226="","",IF(足元帳!AZ226=1,"姫",IF(足元帳!AZ226=2,"本指名",IF(足元帳!AZ226=3,"NET",IF(足元帳!AZ226=4,"写真","")))))</f>
        <v/>
      </c>
      <c r="E226" s="128" t="str">
        <f>IF(足元帳!K226="","",足元帳!K226)</f>
        <v/>
      </c>
      <c r="F226" s="128" t="str">
        <f>IF(足元帳!K226="","",IF(足元帳!BB226=1,45,IF(足元帳!BB226=2,60,IF(足元帳!BB226=3,75,IF(足元帳!BB226=4,90,IF(足元帳!BB226=5,120,IF(足元帳!BB226=6,150,IF(足元帳!BB226=7,180,""))))))))</f>
        <v/>
      </c>
      <c r="G226" s="128" t="str">
        <f>IF(足元帳!K226="","",足元帳!A226)</f>
        <v/>
      </c>
      <c r="H226" s="125" t="str">
        <f>IF(足元帳!AP226="","",$H$1)</f>
        <v/>
      </c>
      <c r="I226" s="125" t="str">
        <f>IF(足元帳!AQ226="","",$I$1)</f>
        <v/>
      </c>
      <c r="J226" s="125" t="str">
        <f>IF(足元帳!AR226="","",$J$1)</f>
        <v/>
      </c>
      <c r="K226" s="125" t="str">
        <f>IF(足元帳!AS226="","",$K$1)</f>
        <v/>
      </c>
      <c r="L226" s="291" t="str">
        <f>IF(COUNTIF(足元帳!AT226,"*複合*"),"複合","")</f>
        <v/>
      </c>
      <c r="M226" s="291" t="str">
        <f>IF(COUNTIF(足元帳!AT226,"*店頭本指名*"),"店頭本指名","")</f>
        <v/>
      </c>
      <c r="N226" s="125" t="str">
        <f>IF(足元帳!U226="","",足元帳!U226)</f>
        <v/>
      </c>
      <c r="O226" s="125" t="str">
        <f>IF(足元帳!V226="","",足元帳!V226)</f>
        <v/>
      </c>
      <c r="P226" s="125" t="str">
        <f>IF(足元帳!W226="","",足元帳!W226)</f>
        <v/>
      </c>
      <c r="Q226" s="125" t="str">
        <f>IF(足元帳!X226="","",足元帳!X226)</f>
        <v/>
      </c>
      <c r="R226" s="125" t="str">
        <f>IF(足元帳!Y226="","",足元帳!Y226)</f>
        <v/>
      </c>
      <c r="S226" s="125" t="str">
        <f>IF(足元帳!Z226="","",足元帳!Z226)</f>
        <v/>
      </c>
      <c r="T226" s="125" t="str">
        <f>IF(足元帳!AT226="","",足元帳!AT226)</f>
        <v/>
      </c>
      <c r="U226" s="125" t="str">
        <f>IF(足元帳!AH226="●",足元帳!$AH$1&amp;足元帳!AW226,"")</f>
        <v/>
      </c>
      <c r="V226" s="125" t="str">
        <f>IF(足元帳!AI226="●",足元帳!$AI$1&amp;足元帳!AW226,"")</f>
        <v/>
      </c>
      <c r="W226" s="125" t="str">
        <f>IF(足元帳!AX226="","",足元帳!AX226)</f>
        <v/>
      </c>
      <c r="X226" s="125">
        <f>足元帳!BJ226</f>
        <v>0</v>
      </c>
    </row>
    <row r="227" spans="1:24" ht="13.15" customHeight="1">
      <c r="A227" s="126">
        <v>226</v>
      </c>
      <c r="B227" s="127" t="str">
        <f>IF(足元帳!K227="","",精算表!$W$1)</f>
        <v/>
      </c>
      <c r="C227" s="128" t="str">
        <f>IF(足元帳!K227="","",IF(足元帳!AY227=2,"R","N"))</f>
        <v/>
      </c>
      <c r="D227" s="128" t="str">
        <f>IF(足元帳!K227="","",IF(足元帳!AZ227=1,"姫",IF(足元帳!AZ227=2,"本指名",IF(足元帳!AZ227=3,"NET",IF(足元帳!AZ227=4,"写真","")))))</f>
        <v/>
      </c>
      <c r="E227" s="128" t="str">
        <f>IF(足元帳!K227="","",足元帳!K227)</f>
        <v/>
      </c>
      <c r="F227" s="128" t="str">
        <f>IF(足元帳!K227="","",IF(足元帳!BB227=1,45,IF(足元帳!BB227=2,60,IF(足元帳!BB227=3,75,IF(足元帳!BB227=4,90,IF(足元帳!BB227=5,120,IF(足元帳!BB227=6,150,IF(足元帳!BB227=7,180,""))))))))</f>
        <v/>
      </c>
      <c r="G227" s="128" t="str">
        <f>IF(足元帳!K227="","",足元帳!A227)</f>
        <v/>
      </c>
      <c r="H227" s="125" t="str">
        <f>IF(足元帳!AP227="","",$H$1)</f>
        <v/>
      </c>
      <c r="I227" s="125" t="str">
        <f>IF(足元帳!AQ227="","",$I$1)</f>
        <v/>
      </c>
      <c r="J227" s="125" t="str">
        <f>IF(足元帳!AR227="","",$J$1)</f>
        <v/>
      </c>
      <c r="K227" s="125" t="str">
        <f>IF(足元帳!AS227="","",$K$1)</f>
        <v/>
      </c>
      <c r="L227" s="291" t="str">
        <f>IF(COUNTIF(足元帳!AT227,"*複合*"),"複合","")</f>
        <v/>
      </c>
      <c r="M227" s="291" t="str">
        <f>IF(COUNTIF(足元帳!AT227,"*店頭本指名*"),"店頭本指名","")</f>
        <v/>
      </c>
      <c r="N227" s="125" t="str">
        <f>IF(足元帳!U227="","",足元帳!U227)</f>
        <v/>
      </c>
      <c r="O227" s="125" t="str">
        <f>IF(足元帳!V227="","",足元帳!V227)</f>
        <v/>
      </c>
      <c r="P227" s="125" t="str">
        <f>IF(足元帳!W227="","",足元帳!W227)</f>
        <v/>
      </c>
      <c r="Q227" s="125" t="str">
        <f>IF(足元帳!X227="","",足元帳!X227)</f>
        <v/>
      </c>
      <c r="R227" s="125" t="str">
        <f>IF(足元帳!Y227="","",足元帳!Y227)</f>
        <v/>
      </c>
      <c r="S227" s="125" t="str">
        <f>IF(足元帳!Z227="","",足元帳!Z227)</f>
        <v/>
      </c>
      <c r="T227" s="125" t="str">
        <f>IF(足元帳!AT227="","",足元帳!AT227)</f>
        <v/>
      </c>
      <c r="U227" s="125" t="str">
        <f>IF(足元帳!AH227="●",足元帳!$AH$1&amp;足元帳!AW227,"")</f>
        <v/>
      </c>
      <c r="V227" s="125" t="str">
        <f>IF(足元帳!AI227="●",足元帳!$AI$1&amp;足元帳!AW227,"")</f>
        <v/>
      </c>
      <c r="W227" s="125" t="str">
        <f>IF(足元帳!AX227="","",足元帳!AX227)</f>
        <v/>
      </c>
      <c r="X227" s="125">
        <f>足元帳!BJ227</f>
        <v>0</v>
      </c>
    </row>
    <row r="228" spans="1:24" ht="13.15" customHeight="1">
      <c r="A228" s="126">
        <v>227</v>
      </c>
      <c r="B228" s="127" t="str">
        <f>IF(足元帳!K228="","",精算表!$W$1)</f>
        <v/>
      </c>
      <c r="C228" s="128" t="str">
        <f>IF(足元帳!K228="","",IF(足元帳!AY228=2,"R","N"))</f>
        <v/>
      </c>
      <c r="D228" s="128" t="str">
        <f>IF(足元帳!K228="","",IF(足元帳!AZ228=1,"姫",IF(足元帳!AZ228=2,"本指名",IF(足元帳!AZ228=3,"NET",IF(足元帳!AZ228=4,"写真","")))))</f>
        <v/>
      </c>
      <c r="E228" s="128" t="str">
        <f>IF(足元帳!K228="","",足元帳!K228)</f>
        <v/>
      </c>
      <c r="F228" s="128" t="str">
        <f>IF(足元帳!K228="","",IF(足元帳!BB228=1,45,IF(足元帳!BB228=2,60,IF(足元帳!BB228=3,75,IF(足元帳!BB228=4,90,IF(足元帳!BB228=5,120,IF(足元帳!BB228=6,150,IF(足元帳!BB228=7,180,""))))))))</f>
        <v/>
      </c>
      <c r="G228" s="128" t="str">
        <f>IF(足元帳!K228="","",足元帳!A228)</f>
        <v/>
      </c>
      <c r="H228" s="125" t="str">
        <f>IF(足元帳!AP228="","",$H$1)</f>
        <v/>
      </c>
      <c r="I228" s="125" t="str">
        <f>IF(足元帳!AQ228="","",$I$1)</f>
        <v/>
      </c>
      <c r="J228" s="125" t="str">
        <f>IF(足元帳!AR228="","",$J$1)</f>
        <v/>
      </c>
      <c r="K228" s="125" t="str">
        <f>IF(足元帳!AS228="","",$K$1)</f>
        <v/>
      </c>
      <c r="L228" s="291" t="str">
        <f>IF(COUNTIF(足元帳!AT228,"*複合*"),"複合","")</f>
        <v/>
      </c>
      <c r="M228" s="291" t="str">
        <f>IF(COUNTIF(足元帳!AT228,"*店頭本指名*"),"店頭本指名","")</f>
        <v/>
      </c>
      <c r="N228" s="125" t="str">
        <f>IF(足元帳!U228="","",足元帳!U228)</f>
        <v/>
      </c>
      <c r="O228" s="125" t="str">
        <f>IF(足元帳!V228="","",足元帳!V228)</f>
        <v/>
      </c>
      <c r="P228" s="125" t="str">
        <f>IF(足元帳!W228="","",足元帳!W228)</f>
        <v/>
      </c>
      <c r="Q228" s="125" t="str">
        <f>IF(足元帳!X228="","",足元帳!X228)</f>
        <v/>
      </c>
      <c r="R228" s="125" t="str">
        <f>IF(足元帳!Y228="","",足元帳!Y228)</f>
        <v/>
      </c>
      <c r="S228" s="125" t="str">
        <f>IF(足元帳!Z228="","",足元帳!Z228)</f>
        <v/>
      </c>
      <c r="T228" s="125" t="str">
        <f>IF(足元帳!AT228="","",足元帳!AT228)</f>
        <v/>
      </c>
      <c r="U228" s="125" t="str">
        <f>IF(足元帳!AH228="●",足元帳!$AH$1&amp;足元帳!AW228,"")</f>
        <v/>
      </c>
      <c r="V228" s="125" t="str">
        <f>IF(足元帳!AI228="●",足元帳!$AI$1&amp;足元帳!AW228,"")</f>
        <v/>
      </c>
      <c r="W228" s="125" t="str">
        <f>IF(足元帳!AX228="","",足元帳!AX228)</f>
        <v/>
      </c>
      <c r="X228" s="125">
        <f>足元帳!BJ228</f>
        <v>0</v>
      </c>
    </row>
    <row r="229" spans="1:24" ht="13.15" customHeight="1">
      <c r="A229" s="126">
        <v>228</v>
      </c>
      <c r="B229" s="127" t="str">
        <f>IF(足元帳!K229="","",精算表!$W$1)</f>
        <v/>
      </c>
      <c r="C229" s="128" t="str">
        <f>IF(足元帳!K229="","",IF(足元帳!AY229=2,"R","N"))</f>
        <v/>
      </c>
      <c r="D229" s="128" t="str">
        <f>IF(足元帳!K229="","",IF(足元帳!AZ229=1,"姫",IF(足元帳!AZ229=2,"本指名",IF(足元帳!AZ229=3,"NET",IF(足元帳!AZ229=4,"写真","")))))</f>
        <v/>
      </c>
      <c r="E229" s="128" t="str">
        <f>IF(足元帳!K229="","",足元帳!K229)</f>
        <v/>
      </c>
      <c r="F229" s="128" t="str">
        <f>IF(足元帳!K229="","",IF(足元帳!BB229=1,45,IF(足元帳!BB229=2,60,IF(足元帳!BB229=3,75,IF(足元帳!BB229=4,90,IF(足元帳!BB229=5,120,IF(足元帳!BB229=6,150,IF(足元帳!BB229=7,180,""))))))))</f>
        <v/>
      </c>
      <c r="G229" s="128" t="str">
        <f>IF(足元帳!K229="","",足元帳!A229)</f>
        <v/>
      </c>
      <c r="H229" s="125" t="str">
        <f>IF(足元帳!AP229="","",$H$1)</f>
        <v/>
      </c>
      <c r="I229" s="125" t="str">
        <f>IF(足元帳!AQ229="","",$I$1)</f>
        <v/>
      </c>
      <c r="J229" s="125" t="str">
        <f>IF(足元帳!AR229="","",$J$1)</f>
        <v/>
      </c>
      <c r="K229" s="125" t="str">
        <f>IF(足元帳!AS229="","",$K$1)</f>
        <v/>
      </c>
      <c r="L229" s="291" t="str">
        <f>IF(COUNTIF(足元帳!AT229,"*複合*"),"複合","")</f>
        <v/>
      </c>
      <c r="M229" s="291" t="str">
        <f>IF(COUNTIF(足元帳!AT229,"*店頭本指名*"),"店頭本指名","")</f>
        <v/>
      </c>
      <c r="N229" s="125" t="str">
        <f>IF(足元帳!U229="","",足元帳!U229)</f>
        <v/>
      </c>
      <c r="O229" s="125" t="str">
        <f>IF(足元帳!V229="","",足元帳!V229)</f>
        <v/>
      </c>
      <c r="P229" s="125" t="str">
        <f>IF(足元帳!W229="","",足元帳!W229)</f>
        <v/>
      </c>
      <c r="Q229" s="125" t="str">
        <f>IF(足元帳!X229="","",足元帳!X229)</f>
        <v/>
      </c>
      <c r="R229" s="125" t="str">
        <f>IF(足元帳!Y229="","",足元帳!Y229)</f>
        <v/>
      </c>
      <c r="S229" s="125" t="str">
        <f>IF(足元帳!Z229="","",足元帳!Z229)</f>
        <v/>
      </c>
      <c r="T229" s="125" t="str">
        <f>IF(足元帳!AT229="","",足元帳!AT229)</f>
        <v/>
      </c>
      <c r="U229" s="125" t="str">
        <f>IF(足元帳!AH229="●",足元帳!$AH$1&amp;足元帳!AW229,"")</f>
        <v/>
      </c>
      <c r="V229" s="125" t="str">
        <f>IF(足元帳!AI229="●",足元帳!$AI$1&amp;足元帳!AW229,"")</f>
        <v/>
      </c>
      <c r="W229" s="125" t="str">
        <f>IF(足元帳!AX229="","",足元帳!AX229)</f>
        <v/>
      </c>
      <c r="X229" s="125">
        <f>足元帳!BJ229</f>
        <v>0</v>
      </c>
    </row>
    <row r="230" spans="1:24" ht="13.15" customHeight="1">
      <c r="A230" s="126">
        <v>229</v>
      </c>
      <c r="B230" s="127" t="str">
        <f>IF(足元帳!K230="","",精算表!$W$1)</f>
        <v/>
      </c>
      <c r="C230" s="128" t="str">
        <f>IF(足元帳!K230="","",IF(足元帳!AY230=2,"R","N"))</f>
        <v/>
      </c>
      <c r="D230" s="128" t="str">
        <f>IF(足元帳!K230="","",IF(足元帳!AZ230=1,"姫",IF(足元帳!AZ230=2,"本指名",IF(足元帳!AZ230=3,"NET",IF(足元帳!AZ230=4,"写真","")))))</f>
        <v/>
      </c>
      <c r="E230" s="128" t="str">
        <f>IF(足元帳!K230="","",足元帳!K230)</f>
        <v/>
      </c>
      <c r="F230" s="128" t="str">
        <f>IF(足元帳!K230="","",IF(足元帳!BB230=1,45,IF(足元帳!BB230=2,60,IF(足元帳!BB230=3,75,IF(足元帳!BB230=4,90,IF(足元帳!BB230=5,120,IF(足元帳!BB230=6,150,IF(足元帳!BB230=7,180,""))))))))</f>
        <v/>
      </c>
      <c r="G230" s="128" t="str">
        <f>IF(足元帳!K230="","",足元帳!A230)</f>
        <v/>
      </c>
      <c r="H230" s="125" t="str">
        <f>IF(足元帳!AP230="","",$H$1)</f>
        <v/>
      </c>
      <c r="I230" s="125" t="str">
        <f>IF(足元帳!AQ230="","",$I$1)</f>
        <v/>
      </c>
      <c r="J230" s="125" t="str">
        <f>IF(足元帳!AR230="","",$J$1)</f>
        <v/>
      </c>
      <c r="K230" s="125" t="str">
        <f>IF(足元帳!AS230="","",$K$1)</f>
        <v/>
      </c>
      <c r="L230" s="291" t="str">
        <f>IF(COUNTIF(足元帳!AT230,"*複合*"),"複合","")</f>
        <v/>
      </c>
      <c r="M230" s="291" t="str">
        <f>IF(COUNTIF(足元帳!AT230,"*店頭本指名*"),"店頭本指名","")</f>
        <v/>
      </c>
      <c r="N230" s="125" t="str">
        <f>IF(足元帳!U230="","",足元帳!U230)</f>
        <v/>
      </c>
      <c r="O230" s="125" t="str">
        <f>IF(足元帳!V230="","",足元帳!V230)</f>
        <v/>
      </c>
      <c r="P230" s="125" t="str">
        <f>IF(足元帳!W230="","",足元帳!W230)</f>
        <v/>
      </c>
      <c r="Q230" s="125" t="str">
        <f>IF(足元帳!X230="","",足元帳!X230)</f>
        <v/>
      </c>
      <c r="R230" s="125" t="str">
        <f>IF(足元帳!Y230="","",足元帳!Y230)</f>
        <v/>
      </c>
      <c r="S230" s="125" t="str">
        <f>IF(足元帳!Z230="","",足元帳!Z230)</f>
        <v/>
      </c>
      <c r="T230" s="125" t="str">
        <f>IF(足元帳!AT230="","",足元帳!AT230)</f>
        <v/>
      </c>
      <c r="U230" s="125" t="str">
        <f>IF(足元帳!AH230="●",足元帳!$AH$1&amp;足元帳!AW230,"")</f>
        <v/>
      </c>
      <c r="V230" s="125" t="str">
        <f>IF(足元帳!AI230="●",足元帳!$AI$1&amp;足元帳!AW230,"")</f>
        <v/>
      </c>
      <c r="W230" s="125" t="str">
        <f>IF(足元帳!AX230="","",足元帳!AX230)</f>
        <v/>
      </c>
      <c r="X230" s="125">
        <f>足元帳!BJ230</f>
        <v>0</v>
      </c>
    </row>
    <row r="231" spans="1:24" ht="13.15" customHeight="1">
      <c r="A231" s="126">
        <v>230</v>
      </c>
      <c r="B231" s="127" t="str">
        <f>IF(足元帳!K231="","",精算表!$W$1)</f>
        <v/>
      </c>
      <c r="C231" s="128" t="str">
        <f>IF(足元帳!K231="","",IF(足元帳!AY231=2,"R","N"))</f>
        <v/>
      </c>
      <c r="D231" s="128" t="str">
        <f>IF(足元帳!K231="","",IF(足元帳!AZ231=1,"姫",IF(足元帳!AZ231=2,"本指名",IF(足元帳!AZ231=3,"NET",IF(足元帳!AZ231=4,"写真","")))))</f>
        <v/>
      </c>
      <c r="E231" s="128" t="str">
        <f>IF(足元帳!K231="","",足元帳!K231)</f>
        <v/>
      </c>
      <c r="F231" s="128" t="str">
        <f>IF(足元帳!K231="","",IF(足元帳!BB231=1,45,IF(足元帳!BB231=2,60,IF(足元帳!BB231=3,75,IF(足元帳!BB231=4,90,IF(足元帳!BB231=5,120,IF(足元帳!BB231=6,150,IF(足元帳!BB231=7,180,""))))))))</f>
        <v/>
      </c>
      <c r="G231" s="128" t="str">
        <f>IF(足元帳!K231="","",足元帳!A231)</f>
        <v/>
      </c>
      <c r="H231" s="125" t="str">
        <f>IF(足元帳!AP231="","",$H$1)</f>
        <v/>
      </c>
      <c r="I231" s="125" t="str">
        <f>IF(足元帳!AQ231="","",$I$1)</f>
        <v/>
      </c>
      <c r="J231" s="125" t="str">
        <f>IF(足元帳!AR231="","",$J$1)</f>
        <v/>
      </c>
      <c r="K231" s="125" t="str">
        <f>IF(足元帳!AS231="","",$K$1)</f>
        <v/>
      </c>
      <c r="L231" s="291" t="str">
        <f>IF(COUNTIF(足元帳!AT231,"*複合*"),"複合","")</f>
        <v/>
      </c>
      <c r="M231" s="291" t="str">
        <f>IF(COUNTIF(足元帳!AT231,"*店頭本指名*"),"店頭本指名","")</f>
        <v/>
      </c>
      <c r="N231" s="125" t="str">
        <f>IF(足元帳!U231="","",足元帳!U231)</f>
        <v/>
      </c>
      <c r="O231" s="125" t="str">
        <f>IF(足元帳!V231="","",足元帳!V231)</f>
        <v/>
      </c>
      <c r="P231" s="125" t="str">
        <f>IF(足元帳!W231="","",足元帳!W231)</f>
        <v/>
      </c>
      <c r="Q231" s="125" t="str">
        <f>IF(足元帳!X231="","",足元帳!X231)</f>
        <v/>
      </c>
      <c r="R231" s="125" t="str">
        <f>IF(足元帳!Y231="","",足元帳!Y231)</f>
        <v/>
      </c>
      <c r="S231" s="125" t="str">
        <f>IF(足元帳!Z231="","",足元帳!Z231)</f>
        <v/>
      </c>
      <c r="T231" s="125" t="str">
        <f>IF(足元帳!AT231="","",足元帳!AT231)</f>
        <v/>
      </c>
      <c r="U231" s="125" t="str">
        <f>IF(足元帳!AH231="●",足元帳!$AH$1&amp;足元帳!AW231,"")</f>
        <v/>
      </c>
      <c r="V231" s="125" t="str">
        <f>IF(足元帳!AI231="●",足元帳!$AI$1&amp;足元帳!AW231,"")</f>
        <v/>
      </c>
      <c r="W231" s="125" t="str">
        <f>IF(足元帳!AX231="","",足元帳!AX231)</f>
        <v/>
      </c>
      <c r="X231" s="125">
        <f>足元帳!BJ231</f>
        <v>0</v>
      </c>
    </row>
    <row r="232" spans="1:24" ht="13.15" customHeight="1">
      <c r="A232" s="126">
        <v>231</v>
      </c>
      <c r="B232" s="127" t="str">
        <f>IF(足元帳!K232="","",精算表!$W$1)</f>
        <v/>
      </c>
      <c r="C232" s="128" t="str">
        <f>IF(足元帳!K232="","",IF(足元帳!AY232=2,"R","N"))</f>
        <v/>
      </c>
      <c r="D232" s="128" t="str">
        <f>IF(足元帳!K232="","",IF(足元帳!AZ232=1,"姫",IF(足元帳!AZ232=2,"本指名",IF(足元帳!AZ232=3,"NET",IF(足元帳!AZ232=4,"写真","")))))</f>
        <v/>
      </c>
      <c r="E232" s="128" t="str">
        <f>IF(足元帳!K232="","",足元帳!K232)</f>
        <v/>
      </c>
      <c r="F232" s="128" t="str">
        <f>IF(足元帳!K232="","",IF(足元帳!BB232=1,45,IF(足元帳!BB232=2,60,IF(足元帳!BB232=3,75,IF(足元帳!BB232=4,90,IF(足元帳!BB232=5,120,IF(足元帳!BB232=6,150,IF(足元帳!BB232=7,180,""))))))))</f>
        <v/>
      </c>
      <c r="G232" s="128" t="str">
        <f>IF(足元帳!K232="","",足元帳!A232)</f>
        <v/>
      </c>
      <c r="H232" s="125" t="str">
        <f>IF(足元帳!AP232="","",$H$1)</f>
        <v/>
      </c>
      <c r="I232" s="125" t="str">
        <f>IF(足元帳!AQ232="","",$I$1)</f>
        <v/>
      </c>
      <c r="J232" s="125" t="str">
        <f>IF(足元帳!AR232="","",$J$1)</f>
        <v/>
      </c>
      <c r="K232" s="125" t="str">
        <f>IF(足元帳!AS232="","",$K$1)</f>
        <v/>
      </c>
      <c r="L232" s="291" t="str">
        <f>IF(COUNTIF(足元帳!AT232,"*複合*"),"複合","")</f>
        <v/>
      </c>
      <c r="M232" s="291" t="str">
        <f>IF(COUNTIF(足元帳!AT232,"*店頭本指名*"),"店頭本指名","")</f>
        <v/>
      </c>
      <c r="N232" s="125" t="str">
        <f>IF(足元帳!U232="","",足元帳!U232)</f>
        <v/>
      </c>
      <c r="O232" s="125" t="str">
        <f>IF(足元帳!V232="","",足元帳!V232)</f>
        <v/>
      </c>
      <c r="P232" s="125" t="str">
        <f>IF(足元帳!W232="","",足元帳!W232)</f>
        <v/>
      </c>
      <c r="Q232" s="125" t="str">
        <f>IF(足元帳!X232="","",足元帳!X232)</f>
        <v/>
      </c>
      <c r="R232" s="125" t="str">
        <f>IF(足元帳!Y232="","",足元帳!Y232)</f>
        <v/>
      </c>
      <c r="S232" s="125" t="str">
        <f>IF(足元帳!Z232="","",足元帳!Z232)</f>
        <v/>
      </c>
      <c r="T232" s="125" t="str">
        <f>IF(足元帳!AT232="","",足元帳!AT232)</f>
        <v/>
      </c>
      <c r="U232" s="125" t="str">
        <f>IF(足元帳!AH232="●",足元帳!$AH$1&amp;足元帳!AW232,"")</f>
        <v/>
      </c>
      <c r="V232" s="125" t="str">
        <f>IF(足元帳!AI232="●",足元帳!$AI$1&amp;足元帳!AW232,"")</f>
        <v/>
      </c>
      <c r="W232" s="125" t="str">
        <f>IF(足元帳!AX232="","",足元帳!AX232)</f>
        <v/>
      </c>
      <c r="X232" s="125">
        <f>足元帳!BJ232</f>
        <v>0</v>
      </c>
    </row>
    <row r="233" spans="1:24" ht="13.15" customHeight="1">
      <c r="A233" s="126">
        <v>232</v>
      </c>
      <c r="B233" s="127" t="str">
        <f>IF(足元帳!K233="","",精算表!$W$1)</f>
        <v/>
      </c>
      <c r="C233" s="128" t="str">
        <f>IF(足元帳!K233="","",IF(足元帳!AY233=2,"R","N"))</f>
        <v/>
      </c>
      <c r="D233" s="128" t="str">
        <f>IF(足元帳!K233="","",IF(足元帳!AZ233=1,"姫",IF(足元帳!AZ233=2,"本指名",IF(足元帳!AZ233=3,"NET",IF(足元帳!AZ233=4,"写真","")))))</f>
        <v/>
      </c>
      <c r="E233" s="128" t="str">
        <f>IF(足元帳!K233="","",足元帳!K233)</f>
        <v/>
      </c>
      <c r="F233" s="128" t="str">
        <f>IF(足元帳!K233="","",IF(足元帳!BB233=1,45,IF(足元帳!BB233=2,60,IF(足元帳!BB233=3,75,IF(足元帳!BB233=4,90,IF(足元帳!BB233=5,120,IF(足元帳!BB233=6,150,IF(足元帳!BB233=7,180,""))))))))</f>
        <v/>
      </c>
      <c r="G233" s="128" t="str">
        <f>IF(足元帳!K233="","",足元帳!A233)</f>
        <v/>
      </c>
      <c r="H233" s="125" t="str">
        <f>IF(足元帳!AP233="","",$H$1)</f>
        <v/>
      </c>
      <c r="I233" s="125" t="str">
        <f>IF(足元帳!AQ233="","",$I$1)</f>
        <v/>
      </c>
      <c r="J233" s="125" t="str">
        <f>IF(足元帳!AR233="","",$J$1)</f>
        <v/>
      </c>
      <c r="K233" s="125" t="str">
        <f>IF(足元帳!AS233="","",$K$1)</f>
        <v/>
      </c>
      <c r="L233" s="291" t="str">
        <f>IF(COUNTIF(足元帳!AT233,"*複合*"),"複合","")</f>
        <v/>
      </c>
      <c r="M233" s="291" t="str">
        <f>IF(COUNTIF(足元帳!AT233,"*店頭本指名*"),"店頭本指名","")</f>
        <v/>
      </c>
      <c r="N233" s="125" t="str">
        <f>IF(足元帳!U233="","",足元帳!U233)</f>
        <v/>
      </c>
      <c r="O233" s="125" t="str">
        <f>IF(足元帳!V233="","",足元帳!V233)</f>
        <v/>
      </c>
      <c r="P233" s="125" t="str">
        <f>IF(足元帳!W233="","",足元帳!W233)</f>
        <v/>
      </c>
      <c r="Q233" s="125" t="str">
        <f>IF(足元帳!X233="","",足元帳!X233)</f>
        <v/>
      </c>
      <c r="R233" s="125" t="str">
        <f>IF(足元帳!Y233="","",足元帳!Y233)</f>
        <v/>
      </c>
      <c r="S233" s="125" t="str">
        <f>IF(足元帳!Z233="","",足元帳!Z233)</f>
        <v/>
      </c>
      <c r="T233" s="125" t="str">
        <f>IF(足元帳!AT233="","",足元帳!AT233)</f>
        <v/>
      </c>
      <c r="U233" s="125" t="str">
        <f>IF(足元帳!AH233="●",足元帳!$AH$1&amp;足元帳!AW233,"")</f>
        <v/>
      </c>
      <c r="V233" s="125" t="str">
        <f>IF(足元帳!AI233="●",足元帳!$AI$1&amp;足元帳!AW233,"")</f>
        <v/>
      </c>
      <c r="W233" s="125" t="str">
        <f>IF(足元帳!AX233="","",足元帳!AX233)</f>
        <v/>
      </c>
      <c r="X233" s="125">
        <f>足元帳!BJ233</f>
        <v>0</v>
      </c>
    </row>
    <row r="234" spans="1:24" ht="13.15" customHeight="1">
      <c r="A234" s="126">
        <v>233</v>
      </c>
      <c r="B234" s="127" t="str">
        <f>IF(足元帳!K234="","",精算表!$W$1)</f>
        <v/>
      </c>
      <c r="C234" s="128" t="str">
        <f>IF(足元帳!K234="","",IF(足元帳!AY234=2,"R","N"))</f>
        <v/>
      </c>
      <c r="D234" s="128" t="str">
        <f>IF(足元帳!K234="","",IF(足元帳!AZ234=1,"姫",IF(足元帳!AZ234=2,"本指名",IF(足元帳!AZ234=3,"NET",IF(足元帳!AZ234=4,"写真","")))))</f>
        <v/>
      </c>
      <c r="E234" s="128" t="str">
        <f>IF(足元帳!K234="","",足元帳!K234)</f>
        <v/>
      </c>
      <c r="F234" s="128" t="str">
        <f>IF(足元帳!K234="","",IF(足元帳!BB234=1,45,IF(足元帳!BB234=2,60,IF(足元帳!BB234=3,75,IF(足元帳!BB234=4,90,IF(足元帳!BB234=5,120,IF(足元帳!BB234=6,150,IF(足元帳!BB234=7,180,""))))))))</f>
        <v/>
      </c>
      <c r="G234" s="128" t="str">
        <f>IF(足元帳!K234="","",足元帳!A234)</f>
        <v/>
      </c>
      <c r="H234" s="125" t="str">
        <f>IF(足元帳!AP234="","",$H$1)</f>
        <v/>
      </c>
      <c r="I234" s="125" t="str">
        <f>IF(足元帳!AQ234="","",$I$1)</f>
        <v/>
      </c>
      <c r="J234" s="125" t="str">
        <f>IF(足元帳!AR234="","",$J$1)</f>
        <v/>
      </c>
      <c r="K234" s="125" t="str">
        <f>IF(足元帳!AS234="","",$K$1)</f>
        <v/>
      </c>
      <c r="L234" s="291" t="str">
        <f>IF(COUNTIF(足元帳!AT234,"*複合*"),"複合","")</f>
        <v/>
      </c>
      <c r="M234" s="291" t="str">
        <f>IF(COUNTIF(足元帳!AT234,"*店頭本指名*"),"店頭本指名","")</f>
        <v/>
      </c>
      <c r="N234" s="125" t="str">
        <f>IF(足元帳!U234="","",足元帳!U234)</f>
        <v/>
      </c>
      <c r="O234" s="125" t="str">
        <f>IF(足元帳!V234="","",足元帳!V234)</f>
        <v/>
      </c>
      <c r="P234" s="125" t="str">
        <f>IF(足元帳!W234="","",足元帳!W234)</f>
        <v/>
      </c>
      <c r="Q234" s="125" t="str">
        <f>IF(足元帳!X234="","",足元帳!X234)</f>
        <v/>
      </c>
      <c r="R234" s="125" t="str">
        <f>IF(足元帳!Y234="","",足元帳!Y234)</f>
        <v/>
      </c>
      <c r="S234" s="125" t="str">
        <f>IF(足元帳!Z234="","",足元帳!Z234)</f>
        <v/>
      </c>
      <c r="T234" s="125" t="str">
        <f>IF(足元帳!AT234="","",足元帳!AT234)</f>
        <v/>
      </c>
      <c r="U234" s="125" t="str">
        <f>IF(足元帳!AH234="●",足元帳!$AH$1&amp;足元帳!AW234,"")</f>
        <v/>
      </c>
      <c r="V234" s="125" t="str">
        <f>IF(足元帳!AI234="●",足元帳!$AI$1&amp;足元帳!AW234,"")</f>
        <v/>
      </c>
      <c r="W234" s="125" t="str">
        <f>IF(足元帳!AX234="","",足元帳!AX234)</f>
        <v/>
      </c>
      <c r="X234" s="125">
        <f>足元帳!BJ234</f>
        <v>0</v>
      </c>
    </row>
    <row r="235" spans="1:24" ht="13.15" customHeight="1">
      <c r="A235" s="126">
        <v>234</v>
      </c>
      <c r="B235" s="127" t="str">
        <f>IF(足元帳!K235="","",精算表!$W$1)</f>
        <v/>
      </c>
      <c r="C235" s="128" t="str">
        <f>IF(足元帳!K235="","",IF(足元帳!AY235=2,"R","N"))</f>
        <v/>
      </c>
      <c r="D235" s="128" t="str">
        <f>IF(足元帳!K235="","",IF(足元帳!AZ235=1,"姫",IF(足元帳!AZ235=2,"本指名",IF(足元帳!AZ235=3,"NET",IF(足元帳!AZ235=4,"写真","")))))</f>
        <v/>
      </c>
      <c r="E235" s="128" t="str">
        <f>IF(足元帳!K235="","",足元帳!K235)</f>
        <v/>
      </c>
      <c r="F235" s="128" t="str">
        <f>IF(足元帳!K235="","",IF(足元帳!BB235=1,45,IF(足元帳!BB235=2,60,IF(足元帳!BB235=3,75,IF(足元帳!BB235=4,90,IF(足元帳!BB235=5,120,IF(足元帳!BB235=6,150,IF(足元帳!BB235=7,180,""))))))))</f>
        <v/>
      </c>
      <c r="G235" s="128" t="str">
        <f>IF(足元帳!K235="","",足元帳!A235)</f>
        <v/>
      </c>
      <c r="H235" s="125" t="str">
        <f>IF(足元帳!AP235="","",$H$1)</f>
        <v/>
      </c>
      <c r="I235" s="125" t="str">
        <f>IF(足元帳!AQ235="","",$I$1)</f>
        <v/>
      </c>
      <c r="J235" s="125" t="str">
        <f>IF(足元帳!AR235="","",$J$1)</f>
        <v/>
      </c>
      <c r="K235" s="125" t="str">
        <f>IF(足元帳!AS235="","",$K$1)</f>
        <v/>
      </c>
      <c r="L235" s="291" t="str">
        <f>IF(COUNTIF(足元帳!AT235,"*複合*"),"複合","")</f>
        <v/>
      </c>
      <c r="M235" s="291" t="str">
        <f>IF(COUNTIF(足元帳!AT235,"*店頭本指名*"),"店頭本指名","")</f>
        <v/>
      </c>
      <c r="N235" s="125" t="str">
        <f>IF(足元帳!U235="","",足元帳!U235)</f>
        <v/>
      </c>
      <c r="O235" s="125" t="str">
        <f>IF(足元帳!V235="","",足元帳!V235)</f>
        <v/>
      </c>
      <c r="P235" s="125" t="str">
        <f>IF(足元帳!W235="","",足元帳!W235)</f>
        <v/>
      </c>
      <c r="Q235" s="125" t="str">
        <f>IF(足元帳!X235="","",足元帳!X235)</f>
        <v/>
      </c>
      <c r="R235" s="125" t="str">
        <f>IF(足元帳!Y235="","",足元帳!Y235)</f>
        <v/>
      </c>
      <c r="S235" s="125" t="str">
        <f>IF(足元帳!Z235="","",足元帳!Z235)</f>
        <v/>
      </c>
      <c r="T235" s="125" t="str">
        <f>IF(足元帳!AT235="","",足元帳!AT235)</f>
        <v/>
      </c>
      <c r="U235" s="125" t="str">
        <f>IF(足元帳!AH235="●",足元帳!$AH$1&amp;足元帳!AW235,"")</f>
        <v/>
      </c>
      <c r="V235" s="125" t="str">
        <f>IF(足元帳!AI235="●",足元帳!$AI$1&amp;足元帳!AW235,"")</f>
        <v/>
      </c>
      <c r="W235" s="125" t="str">
        <f>IF(足元帳!AX235="","",足元帳!AX235)</f>
        <v/>
      </c>
      <c r="X235" s="125">
        <f>足元帳!BJ235</f>
        <v>0</v>
      </c>
    </row>
    <row r="236" spans="1:24" ht="13.15" customHeight="1">
      <c r="A236" s="126">
        <v>235</v>
      </c>
      <c r="B236" s="127" t="str">
        <f>IF(足元帳!K236="","",精算表!$W$1)</f>
        <v/>
      </c>
      <c r="C236" s="128" t="str">
        <f>IF(足元帳!K236="","",IF(足元帳!AY236=2,"R","N"))</f>
        <v/>
      </c>
      <c r="D236" s="128" t="str">
        <f>IF(足元帳!K236="","",IF(足元帳!AZ236=1,"姫",IF(足元帳!AZ236=2,"本指名",IF(足元帳!AZ236=3,"NET",IF(足元帳!AZ236=4,"写真","")))))</f>
        <v/>
      </c>
      <c r="E236" s="128" t="str">
        <f>IF(足元帳!K236="","",足元帳!K236)</f>
        <v/>
      </c>
      <c r="F236" s="128" t="str">
        <f>IF(足元帳!K236="","",IF(足元帳!BB236=1,45,IF(足元帳!BB236=2,60,IF(足元帳!BB236=3,75,IF(足元帳!BB236=4,90,IF(足元帳!BB236=5,120,IF(足元帳!BB236=6,150,IF(足元帳!BB236=7,180,""))))))))</f>
        <v/>
      </c>
      <c r="G236" s="128" t="str">
        <f>IF(足元帳!K236="","",足元帳!A236)</f>
        <v/>
      </c>
      <c r="H236" s="125" t="str">
        <f>IF(足元帳!AP236="","",$H$1)</f>
        <v/>
      </c>
      <c r="I236" s="125" t="str">
        <f>IF(足元帳!AQ236="","",$I$1)</f>
        <v/>
      </c>
      <c r="J236" s="125" t="str">
        <f>IF(足元帳!AR236="","",$J$1)</f>
        <v/>
      </c>
      <c r="K236" s="125" t="str">
        <f>IF(足元帳!AS236="","",$K$1)</f>
        <v/>
      </c>
      <c r="L236" s="291" t="str">
        <f>IF(COUNTIF(足元帳!AT236,"*複合*"),"複合","")</f>
        <v/>
      </c>
      <c r="M236" s="291" t="str">
        <f>IF(COUNTIF(足元帳!AT236,"*店頭本指名*"),"店頭本指名","")</f>
        <v/>
      </c>
      <c r="N236" s="125" t="str">
        <f>IF(足元帳!U236="","",足元帳!U236)</f>
        <v/>
      </c>
      <c r="O236" s="125" t="str">
        <f>IF(足元帳!V236="","",足元帳!V236)</f>
        <v/>
      </c>
      <c r="P236" s="125" t="str">
        <f>IF(足元帳!W236="","",足元帳!W236)</f>
        <v/>
      </c>
      <c r="Q236" s="125" t="str">
        <f>IF(足元帳!X236="","",足元帳!X236)</f>
        <v/>
      </c>
      <c r="R236" s="125" t="str">
        <f>IF(足元帳!Y236="","",足元帳!Y236)</f>
        <v/>
      </c>
      <c r="S236" s="125" t="str">
        <f>IF(足元帳!Z236="","",足元帳!Z236)</f>
        <v/>
      </c>
      <c r="T236" s="125" t="str">
        <f>IF(足元帳!AT236="","",足元帳!AT236)</f>
        <v/>
      </c>
      <c r="U236" s="125" t="str">
        <f>IF(足元帳!AH236="●",足元帳!$AH$1&amp;足元帳!AW236,"")</f>
        <v/>
      </c>
      <c r="V236" s="125" t="str">
        <f>IF(足元帳!AI236="●",足元帳!$AI$1&amp;足元帳!AW236,"")</f>
        <v/>
      </c>
      <c r="W236" s="125" t="str">
        <f>IF(足元帳!AX236="","",足元帳!AX236)</f>
        <v/>
      </c>
      <c r="X236" s="125">
        <f>足元帳!BJ236</f>
        <v>0</v>
      </c>
    </row>
    <row r="237" spans="1:24" ht="13.15" customHeight="1">
      <c r="A237" s="126">
        <v>236</v>
      </c>
      <c r="B237" s="127" t="str">
        <f>IF(足元帳!K237="","",精算表!$W$1)</f>
        <v/>
      </c>
      <c r="C237" s="128" t="str">
        <f>IF(足元帳!K237="","",IF(足元帳!AY237=2,"R","N"))</f>
        <v/>
      </c>
      <c r="D237" s="128" t="str">
        <f>IF(足元帳!K237="","",IF(足元帳!AZ237=1,"姫",IF(足元帳!AZ237=2,"本指名",IF(足元帳!AZ237=3,"NET",IF(足元帳!AZ237=4,"写真","")))))</f>
        <v/>
      </c>
      <c r="E237" s="128" t="str">
        <f>IF(足元帳!K237="","",足元帳!K237)</f>
        <v/>
      </c>
      <c r="F237" s="128" t="str">
        <f>IF(足元帳!K237="","",IF(足元帳!BB237=1,45,IF(足元帳!BB237=2,60,IF(足元帳!BB237=3,75,IF(足元帳!BB237=4,90,IF(足元帳!BB237=5,120,IF(足元帳!BB237=6,150,IF(足元帳!BB237=7,180,""))))))))</f>
        <v/>
      </c>
      <c r="G237" s="128" t="str">
        <f>IF(足元帳!K237="","",足元帳!A237)</f>
        <v/>
      </c>
      <c r="H237" s="125" t="str">
        <f>IF(足元帳!AP237="","",$H$1)</f>
        <v/>
      </c>
      <c r="I237" s="125" t="str">
        <f>IF(足元帳!AQ237="","",$I$1)</f>
        <v/>
      </c>
      <c r="J237" s="125" t="str">
        <f>IF(足元帳!AR237="","",$J$1)</f>
        <v/>
      </c>
      <c r="K237" s="125" t="str">
        <f>IF(足元帳!AS237="","",$K$1)</f>
        <v/>
      </c>
      <c r="L237" s="291" t="str">
        <f>IF(COUNTIF(足元帳!AT237,"*複合*"),"複合","")</f>
        <v/>
      </c>
      <c r="M237" s="291" t="str">
        <f>IF(COUNTIF(足元帳!AT237,"*店頭本指名*"),"店頭本指名","")</f>
        <v/>
      </c>
      <c r="N237" s="125" t="str">
        <f>IF(足元帳!U237="","",足元帳!U237)</f>
        <v/>
      </c>
      <c r="O237" s="125" t="str">
        <f>IF(足元帳!V237="","",足元帳!V237)</f>
        <v/>
      </c>
      <c r="P237" s="125" t="str">
        <f>IF(足元帳!W237="","",足元帳!W237)</f>
        <v/>
      </c>
      <c r="Q237" s="125" t="str">
        <f>IF(足元帳!X237="","",足元帳!X237)</f>
        <v/>
      </c>
      <c r="R237" s="125" t="str">
        <f>IF(足元帳!Y237="","",足元帳!Y237)</f>
        <v/>
      </c>
      <c r="S237" s="125" t="str">
        <f>IF(足元帳!Z237="","",足元帳!Z237)</f>
        <v/>
      </c>
      <c r="T237" s="125" t="str">
        <f>IF(足元帳!AT237="","",足元帳!AT237)</f>
        <v/>
      </c>
      <c r="U237" s="125" t="str">
        <f>IF(足元帳!AH237="●",足元帳!$AH$1&amp;足元帳!AW237,"")</f>
        <v/>
      </c>
      <c r="V237" s="125" t="str">
        <f>IF(足元帳!AI237="●",足元帳!$AI$1&amp;足元帳!AW237,"")</f>
        <v/>
      </c>
      <c r="W237" s="125" t="str">
        <f>IF(足元帳!AX237="","",足元帳!AX237)</f>
        <v/>
      </c>
      <c r="X237" s="125">
        <f>足元帳!BJ237</f>
        <v>0</v>
      </c>
    </row>
    <row r="238" spans="1:24" ht="13.15" customHeight="1">
      <c r="A238" s="126">
        <v>237</v>
      </c>
      <c r="B238" s="127" t="str">
        <f>IF(足元帳!K238="","",精算表!$W$1)</f>
        <v/>
      </c>
      <c r="C238" s="128" t="str">
        <f>IF(足元帳!K238="","",IF(足元帳!AY238=2,"R","N"))</f>
        <v/>
      </c>
      <c r="D238" s="128" t="str">
        <f>IF(足元帳!K238="","",IF(足元帳!AZ238=1,"姫",IF(足元帳!AZ238=2,"本指名",IF(足元帳!AZ238=3,"NET",IF(足元帳!AZ238=4,"写真","")))))</f>
        <v/>
      </c>
      <c r="E238" s="128" t="str">
        <f>IF(足元帳!K238="","",足元帳!K238)</f>
        <v/>
      </c>
      <c r="F238" s="128" t="str">
        <f>IF(足元帳!K238="","",IF(足元帳!BB238=1,45,IF(足元帳!BB238=2,60,IF(足元帳!BB238=3,75,IF(足元帳!BB238=4,90,IF(足元帳!BB238=5,120,IF(足元帳!BB238=6,150,IF(足元帳!BB238=7,180,""))))))))</f>
        <v/>
      </c>
      <c r="G238" s="128" t="str">
        <f>IF(足元帳!K238="","",足元帳!A238)</f>
        <v/>
      </c>
      <c r="H238" s="125" t="str">
        <f>IF(足元帳!AP238="","",$H$1)</f>
        <v/>
      </c>
      <c r="I238" s="125" t="str">
        <f>IF(足元帳!AQ238="","",$I$1)</f>
        <v/>
      </c>
      <c r="J238" s="125" t="str">
        <f>IF(足元帳!AR238="","",$J$1)</f>
        <v/>
      </c>
      <c r="K238" s="125" t="str">
        <f>IF(足元帳!AS238="","",$K$1)</f>
        <v/>
      </c>
      <c r="L238" s="291" t="str">
        <f>IF(COUNTIF(足元帳!AT238,"*複合*"),"複合","")</f>
        <v/>
      </c>
      <c r="M238" s="291" t="str">
        <f>IF(COUNTIF(足元帳!AT238,"*店頭本指名*"),"店頭本指名","")</f>
        <v/>
      </c>
      <c r="N238" s="125" t="str">
        <f>IF(足元帳!U238="","",足元帳!U238)</f>
        <v/>
      </c>
      <c r="O238" s="125" t="str">
        <f>IF(足元帳!V238="","",足元帳!V238)</f>
        <v/>
      </c>
      <c r="P238" s="125" t="str">
        <f>IF(足元帳!W238="","",足元帳!W238)</f>
        <v/>
      </c>
      <c r="Q238" s="125" t="str">
        <f>IF(足元帳!X238="","",足元帳!X238)</f>
        <v/>
      </c>
      <c r="R238" s="125" t="str">
        <f>IF(足元帳!Y238="","",足元帳!Y238)</f>
        <v/>
      </c>
      <c r="S238" s="125" t="str">
        <f>IF(足元帳!Z238="","",足元帳!Z238)</f>
        <v/>
      </c>
      <c r="T238" s="125" t="str">
        <f>IF(足元帳!AT238="","",足元帳!AT238)</f>
        <v/>
      </c>
      <c r="U238" s="125" t="str">
        <f>IF(足元帳!AH238="●",足元帳!$AH$1&amp;足元帳!AW238,"")</f>
        <v/>
      </c>
      <c r="V238" s="125" t="str">
        <f>IF(足元帳!AI238="●",足元帳!$AI$1&amp;足元帳!AW238,"")</f>
        <v/>
      </c>
      <c r="W238" s="125" t="str">
        <f>IF(足元帳!AX238="","",足元帳!AX238)</f>
        <v/>
      </c>
      <c r="X238" s="125">
        <f>足元帳!BJ238</f>
        <v>0</v>
      </c>
    </row>
    <row r="239" spans="1:24" ht="13.15" customHeight="1">
      <c r="A239" s="126">
        <v>238</v>
      </c>
      <c r="B239" s="127" t="str">
        <f>IF(足元帳!K239="","",精算表!$W$1)</f>
        <v/>
      </c>
      <c r="C239" s="128" t="str">
        <f>IF(足元帳!K239="","",IF(足元帳!AY239=2,"R","N"))</f>
        <v/>
      </c>
      <c r="D239" s="128" t="str">
        <f>IF(足元帳!K239="","",IF(足元帳!AZ239=1,"姫",IF(足元帳!AZ239=2,"本指名",IF(足元帳!AZ239=3,"NET",IF(足元帳!AZ239=4,"写真","")))))</f>
        <v/>
      </c>
      <c r="E239" s="128" t="str">
        <f>IF(足元帳!K239="","",足元帳!K239)</f>
        <v/>
      </c>
      <c r="F239" s="128" t="str">
        <f>IF(足元帳!K239="","",IF(足元帳!BB239=1,45,IF(足元帳!BB239=2,60,IF(足元帳!BB239=3,75,IF(足元帳!BB239=4,90,IF(足元帳!BB239=5,120,IF(足元帳!BB239=6,150,IF(足元帳!BB239=7,180,""))))))))</f>
        <v/>
      </c>
      <c r="G239" s="128" t="str">
        <f>IF(足元帳!K239="","",足元帳!A239)</f>
        <v/>
      </c>
      <c r="H239" s="125" t="str">
        <f>IF(足元帳!AP239="","",$H$1)</f>
        <v/>
      </c>
      <c r="I239" s="125" t="str">
        <f>IF(足元帳!AQ239="","",$I$1)</f>
        <v/>
      </c>
      <c r="J239" s="125" t="str">
        <f>IF(足元帳!AR239="","",$J$1)</f>
        <v/>
      </c>
      <c r="K239" s="125" t="str">
        <f>IF(足元帳!AS239="","",$K$1)</f>
        <v/>
      </c>
      <c r="L239" s="291" t="str">
        <f>IF(COUNTIF(足元帳!AT239,"*複合*"),"複合","")</f>
        <v/>
      </c>
      <c r="M239" s="291" t="str">
        <f>IF(COUNTIF(足元帳!AT239,"*店頭本指名*"),"店頭本指名","")</f>
        <v/>
      </c>
      <c r="N239" s="125" t="str">
        <f>IF(足元帳!U239="","",足元帳!U239)</f>
        <v/>
      </c>
      <c r="O239" s="125" t="str">
        <f>IF(足元帳!V239="","",足元帳!V239)</f>
        <v/>
      </c>
      <c r="P239" s="125" t="str">
        <f>IF(足元帳!W239="","",足元帳!W239)</f>
        <v/>
      </c>
      <c r="Q239" s="125" t="str">
        <f>IF(足元帳!X239="","",足元帳!X239)</f>
        <v/>
      </c>
      <c r="R239" s="125" t="str">
        <f>IF(足元帳!Y239="","",足元帳!Y239)</f>
        <v/>
      </c>
      <c r="S239" s="125" t="str">
        <f>IF(足元帳!Z239="","",足元帳!Z239)</f>
        <v/>
      </c>
      <c r="T239" s="125" t="str">
        <f>IF(足元帳!AT239="","",足元帳!AT239)</f>
        <v/>
      </c>
      <c r="U239" s="125" t="str">
        <f>IF(足元帳!AH239="●",足元帳!$AH$1&amp;足元帳!AW239,"")</f>
        <v/>
      </c>
      <c r="V239" s="125" t="str">
        <f>IF(足元帳!AI239="●",足元帳!$AI$1&amp;足元帳!AW239,"")</f>
        <v/>
      </c>
      <c r="W239" s="125" t="str">
        <f>IF(足元帳!AX239="","",足元帳!AX239)</f>
        <v/>
      </c>
      <c r="X239" s="125">
        <f>足元帳!BJ239</f>
        <v>0</v>
      </c>
    </row>
    <row r="240" spans="1:24" ht="13.15" customHeight="1">
      <c r="A240" s="126">
        <v>239</v>
      </c>
      <c r="B240" s="127" t="str">
        <f>IF(足元帳!K240="","",精算表!$W$1)</f>
        <v/>
      </c>
      <c r="C240" s="128" t="str">
        <f>IF(足元帳!K240="","",IF(足元帳!AY240=2,"R","N"))</f>
        <v/>
      </c>
      <c r="D240" s="128" t="str">
        <f>IF(足元帳!K240="","",IF(足元帳!AZ240=1,"姫",IF(足元帳!AZ240=2,"本指名",IF(足元帳!AZ240=3,"NET",IF(足元帳!AZ240=4,"写真","")))))</f>
        <v/>
      </c>
      <c r="E240" s="128" t="str">
        <f>IF(足元帳!K240="","",足元帳!K240)</f>
        <v/>
      </c>
      <c r="F240" s="128" t="str">
        <f>IF(足元帳!K240="","",IF(足元帳!BB240=1,45,IF(足元帳!BB240=2,60,IF(足元帳!BB240=3,75,IF(足元帳!BB240=4,90,IF(足元帳!BB240=5,120,IF(足元帳!BB240=6,150,IF(足元帳!BB240=7,180,""))))))))</f>
        <v/>
      </c>
      <c r="G240" s="128" t="str">
        <f>IF(足元帳!K240="","",足元帳!A240)</f>
        <v/>
      </c>
      <c r="H240" s="125" t="str">
        <f>IF(足元帳!AP240="","",$H$1)</f>
        <v/>
      </c>
      <c r="I240" s="125" t="str">
        <f>IF(足元帳!AQ240="","",$I$1)</f>
        <v/>
      </c>
      <c r="J240" s="125" t="str">
        <f>IF(足元帳!AR240="","",$J$1)</f>
        <v/>
      </c>
      <c r="K240" s="125" t="str">
        <f>IF(足元帳!AS240="","",$K$1)</f>
        <v/>
      </c>
      <c r="L240" s="291" t="str">
        <f>IF(COUNTIF(足元帳!AT240,"*複合*"),"複合","")</f>
        <v/>
      </c>
      <c r="M240" s="291" t="str">
        <f>IF(COUNTIF(足元帳!AT240,"*店頭本指名*"),"店頭本指名","")</f>
        <v/>
      </c>
      <c r="N240" s="125" t="str">
        <f>IF(足元帳!U240="","",足元帳!U240)</f>
        <v/>
      </c>
      <c r="O240" s="125" t="str">
        <f>IF(足元帳!V240="","",足元帳!V240)</f>
        <v/>
      </c>
      <c r="P240" s="125" t="str">
        <f>IF(足元帳!W240="","",足元帳!W240)</f>
        <v/>
      </c>
      <c r="Q240" s="125" t="str">
        <f>IF(足元帳!X240="","",足元帳!X240)</f>
        <v/>
      </c>
      <c r="R240" s="125" t="str">
        <f>IF(足元帳!Y240="","",足元帳!Y240)</f>
        <v/>
      </c>
      <c r="S240" s="125" t="str">
        <f>IF(足元帳!Z240="","",足元帳!Z240)</f>
        <v/>
      </c>
      <c r="T240" s="125" t="str">
        <f>IF(足元帳!AT240="","",足元帳!AT240)</f>
        <v/>
      </c>
      <c r="U240" s="125" t="str">
        <f>IF(足元帳!AH240="●",足元帳!$AH$1&amp;足元帳!AW240,"")</f>
        <v/>
      </c>
      <c r="V240" s="125" t="str">
        <f>IF(足元帳!AI240="●",足元帳!$AI$1&amp;足元帳!AW240,"")</f>
        <v/>
      </c>
      <c r="W240" s="125" t="str">
        <f>IF(足元帳!AX240="","",足元帳!AX240)</f>
        <v/>
      </c>
      <c r="X240" s="125">
        <f>足元帳!BJ240</f>
        <v>0</v>
      </c>
    </row>
    <row r="241" spans="1:24" ht="13.15" customHeight="1">
      <c r="A241" s="126">
        <v>240</v>
      </c>
      <c r="B241" s="127" t="str">
        <f>IF(足元帳!K241="","",精算表!$W$1)</f>
        <v/>
      </c>
      <c r="C241" s="128" t="str">
        <f>IF(足元帳!K241="","",IF(足元帳!AY241=2,"R","N"))</f>
        <v/>
      </c>
      <c r="D241" s="128" t="str">
        <f>IF(足元帳!K241="","",IF(足元帳!AZ241=1,"姫",IF(足元帳!AZ241=2,"本指名",IF(足元帳!AZ241=3,"NET",IF(足元帳!AZ241=4,"写真","")))))</f>
        <v/>
      </c>
      <c r="E241" s="128" t="str">
        <f>IF(足元帳!K241="","",足元帳!K241)</f>
        <v/>
      </c>
      <c r="F241" s="128" t="str">
        <f>IF(足元帳!K241="","",IF(足元帳!BB241=1,45,IF(足元帳!BB241=2,60,IF(足元帳!BB241=3,75,IF(足元帳!BB241=4,90,IF(足元帳!BB241=5,120,IF(足元帳!BB241=6,150,IF(足元帳!BB241=7,180,""))))))))</f>
        <v/>
      </c>
      <c r="G241" s="128" t="str">
        <f>IF(足元帳!K241="","",足元帳!A241)</f>
        <v/>
      </c>
      <c r="H241" s="125" t="str">
        <f>IF(足元帳!AP241="","",$H$1)</f>
        <v/>
      </c>
      <c r="I241" s="125" t="str">
        <f>IF(足元帳!AQ241="","",$I$1)</f>
        <v/>
      </c>
      <c r="J241" s="125" t="str">
        <f>IF(足元帳!AR241="","",$J$1)</f>
        <v/>
      </c>
      <c r="K241" s="125" t="str">
        <f>IF(足元帳!AS241="","",$K$1)</f>
        <v/>
      </c>
      <c r="L241" s="291" t="str">
        <f>IF(COUNTIF(足元帳!AT241,"*複合*"),"複合","")</f>
        <v/>
      </c>
      <c r="M241" s="291" t="str">
        <f>IF(COUNTIF(足元帳!AT241,"*店頭本指名*"),"店頭本指名","")</f>
        <v/>
      </c>
      <c r="N241" s="125" t="str">
        <f>IF(足元帳!U241="","",足元帳!U241)</f>
        <v/>
      </c>
      <c r="O241" s="125" t="str">
        <f>IF(足元帳!V241="","",足元帳!V241)</f>
        <v/>
      </c>
      <c r="P241" s="125" t="str">
        <f>IF(足元帳!W241="","",足元帳!W241)</f>
        <v/>
      </c>
      <c r="Q241" s="125" t="str">
        <f>IF(足元帳!X241="","",足元帳!X241)</f>
        <v/>
      </c>
      <c r="R241" s="125" t="str">
        <f>IF(足元帳!Y241="","",足元帳!Y241)</f>
        <v/>
      </c>
      <c r="S241" s="125" t="str">
        <f>IF(足元帳!Z241="","",足元帳!Z241)</f>
        <v/>
      </c>
      <c r="T241" s="125" t="str">
        <f>IF(足元帳!AT241="","",足元帳!AT241)</f>
        <v/>
      </c>
      <c r="U241" s="125" t="str">
        <f>IF(足元帳!AH241="●",足元帳!$AH$1&amp;足元帳!AW241,"")</f>
        <v/>
      </c>
      <c r="V241" s="125" t="str">
        <f>IF(足元帳!AI241="●",足元帳!$AI$1&amp;足元帳!AW241,"")</f>
        <v/>
      </c>
      <c r="W241" s="125" t="str">
        <f>IF(足元帳!AX241="","",足元帳!AX241)</f>
        <v/>
      </c>
      <c r="X241" s="125">
        <f>足元帳!BJ241</f>
        <v>0</v>
      </c>
    </row>
    <row r="242" spans="1:24" ht="13.15" customHeight="1">
      <c r="A242" s="126">
        <v>241</v>
      </c>
      <c r="B242" s="127" t="str">
        <f>IF(足元帳!K242="","",精算表!$W$1)</f>
        <v/>
      </c>
      <c r="C242" s="128" t="str">
        <f>IF(足元帳!K242="","",IF(足元帳!AY242=2,"R","N"))</f>
        <v/>
      </c>
      <c r="D242" s="128" t="str">
        <f>IF(足元帳!K242="","",IF(足元帳!AZ242=1,"姫",IF(足元帳!AZ242=2,"本指名",IF(足元帳!AZ242=3,"NET",IF(足元帳!AZ242=4,"写真","")))))</f>
        <v/>
      </c>
      <c r="E242" s="128" t="str">
        <f>IF(足元帳!K242="","",足元帳!K242)</f>
        <v/>
      </c>
      <c r="F242" s="128" t="str">
        <f>IF(足元帳!K242="","",IF(足元帳!BB242=1,45,IF(足元帳!BB242=2,60,IF(足元帳!BB242=3,75,IF(足元帳!BB242=4,90,IF(足元帳!BB242=5,120,IF(足元帳!BB242=6,150,IF(足元帳!BB242=7,180,""))))))))</f>
        <v/>
      </c>
      <c r="G242" s="128" t="str">
        <f>IF(足元帳!K242="","",足元帳!A242)</f>
        <v/>
      </c>
      <c r="H242" s="125" t="str">
        <f>IF(足元帳!AP242="","",$H$1)</f>
        <v/>
      </c>
      <c r="I242" s="125" t="str">
        <f>IF(足元帳!AQ242="","",$I$1)</f>
        <v/>
      </c>
      <c r="J242" s="125" t="str">
        <f>IF(足元帳!AR242="","",$J$1)</f>
        <v/>
      </c>
      <c r="K242" s="125" t="str">
        <f>IF(足元帳!AS242="","",$K$1)</f>
        <v/>
      </c>
      <c r="L242" s="291" t="str">
        <f>IF(COUNTIF(足元帳!AT242,"*複合*"),"複合","")</f>
        <v/>
      </c>
      <c r="M242" s="291" t="str">
        <f>IF(COUNTIF(足元帳!AT242,"*店頭本指名*"),"店頭本指名","")</f>
        <v/>
      </c>
      <c r="N242" s="125" t="str">
        <f>IF(足元帳!U242="","",足元帳!U242)</f>
        <v/>
      </c>
      <c r="O242" s="125" t="str">
        <f>IF(足元帳!V242="","",足元帳!V242)</f>
        <v/>
      </c>
      <c r="P242" s="125" t="str">
        <f>IF(足元帳!W242="","",足元帳!W242)</f>
        <v/>
      </c>
      <c r="Q242" s="125" t="str">
        <f>IF(足元帳!X242="","",足元帳!X242)</f>
        <v/>
      </c>
      <c r="R242" s="125" t="str">
        <f>IF(足元帳!Y242="","",足元帳!Y242)</f>
        <v/>
      </c>
      <c r="S242" s="125" t="str">
        <f>IF(足元帳!Z242="","",足元帳!Z242)</f>
        <v/>
      </c>
      <c r="T242" s="125" t="str">
        <f>IF(足元帳!AT242="","",足元帳!AT242)</f>
        <v/>
      </c>
      <c r="U242" s="125" t="str">
        <f>IF(足元帳!AH242="●",足元帳!$AH$1&amp;足元帳!AW242,"")</f>
        <v/>
      </c>
      <c r="V242" s="125" t="str">
        <f>IF(足元帳!AI242="●",足元帳!$AI$1&amp;足元帳!AW242,"")</f>
        <v/>
      </c>
      <c r="W242" s="125" t="str">
        <f>IF(足元帳!AX242="","",足元帳!AX242)</f>
        <v/>
      </c>
      <c r="X242" s="125">
        <f>足元帳!BJ242</f>
        <v>0</v>
      </c>
    </row>
    <row r="243" spans="1:24" ht="13.15" customHeight="1">
      <c r="A243" s="126">
        <v>242</v>
      </c>
      <c r="B243" s="127" t="str">
        <f>IF(足元帳!K243="","",精算表!$W$1)</f>
        <v/>
      </c>
      <c r="C243" s="128" t="str">
        <f>IF(足元帳!K243="","",IF(足元帳!AY243=2,"R","N"))</f>
        <v/>
      </c>
      <c r="D243" s="128" t="str">
        <f>IF(足元帳!K243="","",IF(足元帳!AZ243=1,"姫",IF(足元帳!AZ243=2,"本指名",IF(足元帳!AZ243=3,"NET",IF(足元帳!AZ243=4,"写真","")))))</f>
        <v/>
      </c>
      <c r="E243" s="128" t="str">
        <f>IF(足元帳!K243="","",足元帳!K243)</f>
        <v/>
      </c>
      <c r="F243" s="128" t="str">
        <f>IF(足元帳!K243="","",IF(足元帳!BB243=1,45,IF(足元帳!BB243=2,60,IF(足元帳!BB243=3,75,IF(足元帳!BB243=4,90,IF(足元帳!BB243=5,120,IF(足元帳!BB243=6,150,IF(足元帳!BB243=7,180,""))))))))</f>
        <v/>
      </c>
      <c r="G243" s="128" t="str">
        <f>IF(足元帳!K243="","",足元帳!A243)</f>
        <v/>
      </c>
      <c r="H243" s="125" t="str">
        <f>IF(足元帳!AP243="","",$H$1)</f>
        <v/>
      </c>
      <c r="I243" s="125" t="str">
        <f>IF(足元帳!AQ243="","",$I$1)</f>
        <v/>
      </c>
      <c r="J243" s="125" t="str">
        <f>IF(足元帳!AR243="","",$J$1)</f>
        <v/>
      </c>
      <c r="K243" s="125" t="str">
        <f>IF(足元帳!AS243="","",$K$1)</f>
        <v/>
      </c>
      <c r="L243" s="291" t="str">
        <f>IF(COUNTIF(足元帳!AT243,"*複合*"),"複合","")</f>
        <v/>
      </c>
      <c r="M243" s="291" t="str">
        <f>IF(COUNTIF(足元帳!AT243,"*店頭本指名*"),"店頭本指名","")</f>
        <v/>
      </c>
      <c r="N243" s="125" t="str">
        <f>IF(足元帳!U243="","",足元帳!U243)</f>
        <v/>
      </c>
      <c r="O243" s="125" t="str">
        <f>IF(足元帳!V243="","",足元帳!V243)</f>
        <v/>
      </c>
      <c r="P243" s="125" t="str">
        <f>IF(足元帳!W243="","",足元帳!W243)</f>
        <v/>
      </c>
      <c r="Q243" s="125" t="str">
        <f>IF(足元帳!X243="","",足元帳!X243)</f>
        <v/>
      </c>
      <c r="R243" s="125" t="str">
        <f>IF(足元帳!Y243="","",足元帳!Y243)</f>
        <v/>
      </c>
      <c r="S243" s="125" t="str">
        <f>IF(足元帳!Z243="","",足元帳!Z243)</f>
        <v/>
      </c>
      <c r="T243" s="125" t="str">
        <f>IF(足元帳!AT243="","",足元帳!AT243)</f>
        <v/>
      </c>
      <c r="U243" s="125" t="str">
        <f>IF(足元帳!AH243="●",足元帳!$AH$1&amp;足元帳!AW243,"")</f>
        <v/>
      </c>
      <c r="V243" s="125" t="str">
        <f>IF(足元帳!AI243="●",足元帳!$AI$1&amp;足元帳!AW243,"")</f>
        <v/>
      </c>
      <c r="W243" s="125" t="str">
        <f>IF(足元帳!AX243="","",足元帳!AX243)</f>
        <v/>
      </c>
      <c r="X243" s="125">
        <f>足元帳!BJ243</f>
        <v>0</v>
      </c>
    </row>
    <row r="244" spans="1:24" ht="13.15" customHeight="1">
      <c r="A244" s="126">
        <v>243</v>
      </c>
      <c r="B244" s="127" t="str">
        <f>IF(足元帳!K244="","",精算表!$W$1)</f>
        <v/>
      </c>
      <c r="C244" s="128" t="str">
        <f>IF(足元帳!K244="","",IF(足元帳!AY244=2,"R","N"))</f>
        <v/>
      </c>
      <c r="D244" s="128" t="str">
        <f>IF(足元帳!K244="","",IF(足元帳!AZ244=1,"姫",IF(足元帳!AZ244=2,"本指名",IF(足元帳!AZ244=3,"NET",IF(足元帳!AZ244=4,"写真","")))))</f>
        <v/>
      </c>
      <c r="E244" s="128" t="str">
        <f>IF(足元帳!K244="","",足元帳!K244)</f>
        <v/>
      </c>
      <c r="F244" s="128" t="str">
        <f>IF(足元帳!K244="","",IF(足元帳!BB244=1,45,IF(足元帳!BB244=2,60,IF(足元帳!BB244=3,75,IF(足元帳!BB244=4,90,IF(足元帳!BB244=5,120,IF(足元帳!BB244=6,150,IF(足元帳!BB244=7,180,""))))))))</f>
        <v/>
      </c>
      <c r="G244" s="128" t="str">
        <f>IF(足元帳!K244="","",足元帳!A244)</f>
        <v/>
      </c>
      <c r="H244" s="125" t="str">
        <f>IF(足元帳!AP244="","",$H$1)</f>
        <v/>
      </c>
      <c r="I244" s="125" t="str">
        <f>IF(足元帳!AQ244="","",$I$1)</f>
        <v/>
      </c>
      <c r="J244" s="125" t="str">
        <f>IF(足元帳!AR244="","",$J$1)</f>
        <v/>
      </c>
      <c r="K244" s="125" t="str">
        <f>IF(足元帳!AS244="","",$K$1)</f>
        <v/>
      </c>
      <c r="L244" s="291" t="str">
        <f>IF(COUNTIF(足元帳!AT244,"*複合*"),"複合","")</f>
        <v/>
      </c>
      <c r="M244" s="291" t="str">
        <f>IF(COUNTIF(足元帳!AT244,"*店頭本指名*"),"店頭本指名","")</f>
        <v/>
      </c>
      <c r="N244" s="125" t="str">
        <f>IF(足元帳!U244="","",足元帳!U244)</f>
        <v/>
      </c>
      <c r="O244" s="125" t="str">
        <f>IF(足元帳!V244="","",足元帳!V244)</f>
        <v/>
      </c>
      <c r="P244" s="125" t="str">
        <f>IF(足元帳!W244="","",足元帳!W244)</f>
        <v/>
      </c>
      <c r="Q244" s="125" t="str">
        <f>IF(足元帳!X244="","",足元帳!X244)</f>
        <v/>
      </c>
      <c r="R244" s="125" t="str">
        <f>IF(足元帳!Y244="","",足元帳!Y244)</f>
        <v/>
      </c>
      <c r="S244" s="125" t="str">
        <f>IF(足元帳!Z244="","",足元帳!Z244)</f>
        <v/>
      </c>
      <c r="T244" s="125" t="str">
        <f>IF(足元帳!AT244="","",足元帳!AT244)</f>
        <v/>
      </c>
      <c r="U244" s="125" t="str">
        <f>IF(足元帳!AH244="●",足元帳!$AH$1&amp;足元帳!AW244,"")</f>
        <v/>
      </c>
      <c r="V244" s="125" t="str">
        <f>IF(足元帳!AI244="●",足元帳!$AI$1&amp;足元帳!AW244,"")</f>
        <v/>
      </c>
      <c r="W244" s="125" t="str">
        <f>IF(足元帳!AX244="","",足元帳!AX244)</f>
        <v/>
      </c>
      <c r="X244" s="125">
        <f>足元帳!BJ244</f>
        <v>0</v>
      </c>
    </row>
    <row r="245" spans="1:24" ht="13.15" customHeight="1">
      <c r="A245" s="126">
        <v>244</v>
      </c>
      <c r="B245" s="127" t="str">
        <f>IF(足元帳!K245="","",精算表!$W$1)</f>
        <v/>
      </c>
      <c r="C245" s="128" t="str">
        <f>IF(足元帳!K245="","",IF(足元帳!AY245=2,"R","N"))</f>
        <v/>
      </c>
      <c r="D245" s="128" t="str">
        <f>IF(足元帳!K245="","",IF(足元帳!AZ245=1,"姫",IF(足元帳!AZ245=2,"本指名",IF(足元帳!AZ245=3,"NET",IF(足元帳!AZ245=4,"写真","")))))</f>
        <v/>
      </c>
      <c r="E245" s="128" t="str">
        <f>IF(足元帳!K245="","",足元帳!K245)</f>
        <v/>
      </c>
      <c r="F245" s="128" t="str">
        <f>IF(足元帳!K245="","",IF(足元帳!BB245=1,45,IF(足元帳!BB245=2,60,IF(足元帳!BB245=3,75,IF(足元帳!BB245=4,90,IF(足元帳!BB245=5,120,IF(足元帳!BB245=6,150,IF(足元帳!BB245=7,180,""))))))))</f>
        <v/>
      </c>
      <c r="G245" s="128" t="str">
        <f>IF(足元帳!K245="","",足元帳!A245)</f>
        <v/>
      </c>
      <c r="H245" s="125" t="str">
        <f>IF(足元帳!AP245="","",$H$1)</f>
        <v/>
      </c>
      <c r="I245" s="125" t="str">
        <f>IF(足元帳!AQ245="","",$I$1)</f>
        <v/>
      </c>
      <c r="J245" s="125" t="str">
        <f>IF(足元帳!AR245="","",$J$1)</f>
        <v/>
      </c>
      <c r="K245" s="125" t="str">
        <f>IF(足元帳!AS245="","",$K$1)</f>
        <v/>
      </c>
      <c r="L245" s="291" t="str">
        <f>IF(COUNTIF(足元帳!AT245,"*複合*"),"複合","")</f>
        <v/>
      </c>
      <c r="M245" s="291" t="str">
        <f>IF(COUNTIF(足元帳!AT245,"*店頭本指名*"),"店頭本指名","")</f>
        <v/>
      </c>
      <c r="N245" s="125" t="str">
        <f>IF(足元帳!U245="","",足元帳!U245)</f>
        <v/>
      </c>
      <c r="O245" s="125" t="str">
        <f>IF(足元帳!V245="","",足元帳!V245)</f>
        <v/>
      </c>
      <c r="P245" s="125" t="str">
        <f>IF(足元帳!W245="","",足元帳!W245)</f>
        <v/>
      </c>
      <c r="Q245" s="125" t="str">
        <f>IF(足元帳!X245="","",足元帳!X245)</f>
        <v/>
      </c>
      <c r="R245" s="125" t="str">
        <f>IF(足元帳!Y245="","",足元帳!Y245)</f>
        <v/>
      </c>
      <c r="S245" s="125" t="str">
        <f>IF(足元帳!Z245="","",足元帳!Z245)</f>
        <v/>
      </c>
      <c r="T245" s="125" t="str">
        <f>IF(足元帳!AT245="","",足元帳!AT245)</f>
        <v/>
      </c>
      <c r="U245" s="125" t="str">
        <f>IF(足元帳!AH245="●",足元帳!$AH$1&amp;足元帳!AW245,"")</f>
        <v/>
      </c>
      <c r="V245" s="125" t="str">
        <f>IF(足元帳!AI245="●",足元帳!$AI$1&amp;足元帳!AW245,"")</f>
        <v/>
      </c>
      <c r="W245" s="125" t="str">
        <f>IF(足元帳!AX245="","",足元帳!AX245)</f>
        <v/>
      </c>
      <c r="X245" s="125">
        <f>足元帳!BJ245</f>
        <v>0</v>
      </c>
    </row>
    <row r="246" spans="1:24" ht="13.15" customHeight="1">
      <c r="A246" s="126">
        <v>245</v>
      </c>
      <c r="B246" s="127" t="str">
        <f>IF(足元帳!K246="","",精算表!$W$1)</f>
        <v/>
      </c>
      <c r="C246" s="128" t="str">
        <f>IF(足元帳!K246="","",IF(足元帳!AY246=2,"R","N"))</f>
        <v/>
      </c>
      <c r="D246" s="128" t="str">
        <f>IF(足元帳!K246="","",IF(足元帳!AZ246=1,"姫",IF(足元帳!AZ246=2,"本指名",IF(足元帳!AZ246=3,"NET",IF(足元帳!AZ246=4,"写真","")))))</f>
        <v/>
      </c>
      <c r="E246" s="128" t="str">
        <f>IF(足元帳!K246="","",足元帳!K246)</f>
        <v/>
      </c>
      <c r="F246" s="128" t="str">
        <f>IF(足元帳!K246="","",IF(足元帳!BB246=1,45,IF(足元帳!BB246=2,60,IF(足元帳!BB246=3,75,IF(足元帳!BB246=4,90,IF(足元帳!BB246=5,120,IF(足元帳!BB246=6,150,IF(足元帳!BB246=7,180,""))))))))</f>
        <v/>
      </c>
      <c r="G246" s="128" t="str">
        <f>IF(足元帳!K246="","",足元帳!A246)</f>
        <v/>
      </c>
      <c r="H246" s="125" t="str">
        <f>IF(足元帳!AP246="","",$H$1)</f>
        <v/>
      </c>
      <c r="I246" s="125" t="str">
        <f>IF(足元帳!AQ246="","",$I$1)</f>
        <v/>
      </c>
      <c r="J246" s="125" t="str">
        <f>IF(足元帳!AR246="","",$J$1)</f>
        <v/>
      </c>
      <c r="K246" s="125" t="str">
        <f>IF(足元帳!AS246="","",$K$1)</f>
        <v/>
      </c>
      <c r="L246" s="291" t="str">
        <f>IF(COUNTIF(足元帳!AT246,"*複合*"),"複合","")</f>
        <v/>
      </c>
      <c r="M246" s="291" t="str">
        <f>IF(COUNTIF(足元帳!AT246,"*店頭本指名*"),"店頭本指名","")</f>
        <v/>
      </c>
      <c r="N246" s="125" t="str">
        <f>IF(足元帳!U246="","",足元帳!U246)</f>
        <v/>
      </c>
      <c r="O246" s="125" t="str">
        <f>IF(足元帳!V246="","",足元帳!V246)</f>
        <v/>
      </c>
      <c r="P246" s="125" t="str">
        <f>IF(足元帳!W246="","",足元帳!W246)</f>
        <v/>
      </c>
      <c r="Q246" s="125" t="str">
        <f>IF(足元帳!X246="","",足元帳!X246)</f>
        <v/>
      </c>
      <c r="R246" s="125" t="str">
        <f>IF(足元帳!Y246="","",足元帳!Y246)</f>
        <v/>
      </c>
      <c r="S246" s="125" t="str">
        <f>IF(足元帳!Z246="","",足元帳!Z246)</f>
        <v/>
      </c>
      <c r="T246" s="125" t="str">
        <f>IF(足元帳!AT246="","",足元帳!AT246)</f>
        <v/>
      </c>
      <c r="U246" s="125" t="str">
        <f>IF(足元帳!AH246="●",足元帳!$AH$1&amp;足元帳!AW246,"")</f>
        <v/>
      </c>
      <c r="V246" s="125" t="str">
        <f>IF(足元帳!AI246="●",足元帳!$AI$1&amp;足元帳!AW246,"")</f>
        <v/>
      </c>
      <c r="W246" s="125" t="str">
        <f>IF(足元帳!AX246="","",足元帳!AX246)</f>
        <v/>
      </c>
      <c r="X246" s="125">
        <f>足元帳!BJ246</f>
        <v>0</v>
      </c>
    </row>
    <row r="247" spans="1:24" ht="13.15" customHeight="1">
      <c r="A247" s="126">
        <v>246</v>
      </c>
      <c r="B247" s="127" t="str">
        <f>IF(足元帳!K247="","",精算表!$W$1)</f>
        <v/>
      </c>
      <c r="C247" s="128" t="str">
        <f>IF(足元帳!K247="","",IF(足元帳!AY247=2,"R","N"))</f>
        <v/>
      </c>
      <c r="D247" s="128" t="str">
        <f>IF(足元帳!K247="","",IF(足元帳!AZ247=1,"姫",IF(足元帳!AZ247=2,"本指名",IF(足元帳!AZ247=3,"NET",IF(足元帳!AZ247=4,"写真","")))))</f>
        <v/>
      </c>
      <c r="E247" s="128" t="str">
        <f>IF(足元帳!K247="","",足元帳!K247)</f>
        <v/>
      </c>
      <c r="F247" s="128" t="str">
        <f>IF(足元帳!K247="","",IF(足元帳!BB247=1,45,IF(足元帳!BB247=2,60,IF(足元帳!BB247=3,75,IF(足元帳!BB247=4,90,IF(足元帳!BB247=5,120,IF(足元帳!BB247=6,150,IF(足元帳!BB247=7,180,""))))))))</f>
        <v/>
      </c>
      <c r="G247" s="128" t="str">
        <f>IF(足元帳!K247="","",足元帳!A247)</f>
        <v/>
      </c>
      <c r="H247" s="125" t="str">
        <f>IF(足元帳!AP247="","",$H$1)</f>
        <v/>
      </c>
      <c r="I247" s="125" t="str">
        <f>IF(足元帳!AQ247="","",$I$1)</f>
        <v/>
      </c>
      <c r="J247" s="125" t="str">
        <f>IF(足元帳!AR247="","",$J$1)</f>
        <v/>
      </c>
      <c r="K247" s="125" t="str">
        <f>IF(足元帳!AS247="","",$K$1)</f>
        <v/>
      </c>
      <c r="L247" s="291" t="str">
        <f>IF(COUNTIF(足元帳!AT247,"*複合*"),"複合","")</f>
        <v/>
      </c>
      <c r="M247" s="291" t="str">
        <f>IF(COUNTIF(足元帳!AT247,"*店頭本指名*"),"店頭本指名","")</f>
        <v/>
      </c>
      <c r="N247" s="125" t="str">
        <f>IF(足元帳!U247="","",足元帳!U247)</f>
        <v/>
      </c>
      <c r="O247" s="125" t="str">
        <f>IF(足元帳!V247="","",足元帳!V247)</f>
        <v/>
      </c>
      <c r="P247" s="125" t="str">
        <f>IF(足元帳!W247="","",足元帳!W247)</f>
        <v/>
      </c>
      <c r="Q247" s="125" t="str">
        <f>IF(足元帳!X247="","",足元帳!X247)</f>
        <v/>
      </c>
      <c r="R247" s="125" t="str">
        <f>IF(足元帳!Y247="","",足元帳!Y247)</f>
        <v/>
      </c>
      <c r="S247" s="125" t="str">
        <f>IF(足元帳!Z247="","",足元帳!Z247)</f>
        <v/>
      </c>
      <c r="T247" s="125" t="str">
        <f>IF(足元帳!AT247="","",足元帳!AT247)</f>
        <v/>
      </c>
      <c r="U247" s="125" t="str">
        <f>IF(足元帳!AH247="●",足元帳!$AH$1&amp;足元帳!AW247,"")</f>
        <v/>
      </c>
      <c r="V247" s="125" t="str">
        <f>IF(足元帳!AI247="●",足元帳!$AI$1&amp;足元帳!AW247,"")</f>
        <v/>
      </c>
      <c r="W247" s="125" t="str">
        <f>IF(足元帳!AX247="","",足元帳!AX247)</f>
        <v/>
      </c>
      <c r="X247" s="125">
        <f>足元帳!BJ247</f>
        <v>0</v>
      </c>
    </row>
    <row r="248" spans="1:24" ht="13.15" customHeight="1">
      <c r="A248" s="126">
        <v>247</v>
      </c>
      <c r="B248" s="127" t="str">
        <f>IF(足元帳!K248="","",精算表!$W$1)</f>
        <v/>
      </c>
      <c r="C248" s="128" t="str">
        <f>IF(足元帳!K248="","",IF(足元帳!AY248=2,"R","N"))</f>
        <v/>
      </c>
      <c r="D248" s="128" t="str">
        <f>IF(足元帳!K248="","",IF(足元帳!AZ248=1,"姫",IF(足元帳!AZ248=2,"本指名",IF(足元帳!AZ248=3,"NET",IF(足元帳!AZ248=4,"写真","")))))</f>
        <v/>
      </c>
      <c r="E248" s="128" t="str">
        <f>IF(足元帳!K248="","",足元帳!K248)</f>
        <v/>
      </c>
      <c r="F248" s="128" t="str">
        <f>IF(足元帳!K248="","",IF(足元帳!BB248=1,45,IF(足元帳!BB248=2,60,IF(足元帳!BB248=3,75,IF(足元帳!BB248=4,90,IF(足元帳!BB248=5,120,IF(足元帳!BB248=6,150,IF(足元帳!BB248=7,180,""))))))))</f>
        <v/>
      </c>
      <c r="G248" s="128" t="str">
        <f>IF(足元帳!K248="","",足元帳!A248)</f>
        <v/>
      </c>
      <c r="H248" s="125" t="str">
        <f>IF(足元帳!AP248="","",$H$1)</f>
        <v/>
      </c>
      <c r="I248" s="125" t="str">
        <f>IF(足元帳!AQ248="","",$I$1)</f>
        <v/>
      </c>
      <c r="J248" s="125" t="str">
        <f>IF(足元帳!AR248="","",$J$1)</f>
        <v/>
      </c>
      <c r="K248" s="125" t="str">
        <f>IF(足元帳!AS248="","",$K$1)</f>
        <v/>
      </c>
      <c r="L248" s="291" t="str">
        <f>IF(COUNTIF(足元帳!AT248,"*複合*"),"複合","")</f>
        <v/>
      </c>
      <c r="M248" s="291" t="str">
        <f>IF(COUNTIF(足元帳!AT248,"*店頭本指名*"),"店頭本指名","")</f>
        <v/>
      </c>
      <c r="N248" s="125" t="str">
        <f>IF(足元帳!U248="","",足元帳!U248)</f>
        <v/>
      </c>
      <c r="O248" s="125" t="str">
        <f>IF(足元帳!V248="","",足元帳!V248)</f>
        <v/>
      </c>
      <c r="P248" s="125" t="str">
        <f>IF(足元帳!W248="","",足元帳!W248)</f>
        <v/>
      </c>
      <c r="Q248" s="125" t="str">
        <f>IF(足元帳!X248="","",足元帳!X248)</f>
        <v/>
      </c>
      <c r="R248" s="125" t="str">
        <f>IF(足元帳!Y248="","",足元帳!Y248)</f>
        <v/>
      </c>
      <c r="S248" s="125" t="str">
        <f>IF(足元帳!Z248="","",足元帳!Z248)</f>
        <v/>
      </c>
      <c r="T248" s="125" t="str">
        <f>IF(足元帳!AT248="","",足元帳!AT248)</f>
        <v/>
      </c>
      <c r="U248" s="125" t="str">
        <f>IF(足元帳!AH248="●",足元帳!$AH$1&amp;足元帳!AW248,"")</f>
        <v/>
      </c>
      <c r="V248" s="125" t="str">
        <f>IF(足元帳!AI248="●",足元帳!$AI$1&amp;足元帳!AW248,"")</f>
        <v/>
      </c>
      <c r="W248" s="125" t="str">
        <f>IF(足元帳!AX248="","",足元帳!AX248)</f>
        <v/>
      </c>
      <c r="X248" s="125">
        <f>足元帳!BJ248</f>
        <v>0</v>
      </c>
    </row>
    <row r="249" spans="1:24" ht="13.15" customHeight="1">
      <c r="A249" s="126">
        <v>248</v>
      </c>
      <c r="B249" s="127" t="str">
        <f>IF(足元帳!K249="","",精算表!$W$1)</f>
        <v/>
      </c>
      <c r="C249" s="128" t="str">
        <f>IF(足元帳!K249="","",IF(足元帳!AY249=2,"R","N"))</f>
        <v/>
      </c>
      <c r="D249" s="128" t="str">
        <f>IF(足元帳!K249="","",IF(足元帳!AZ249=1,"姫",IF(足元帳!AZ249=2,"本指名",IF(足元帳!AZ249=3,"NET",IF(足元帳!AZ249=4,"写真","")))))</f>
        <v/>
      </c>
      <c r="E249" s="128" t="str">
        <f>IF(足元帳!K249="","",足元帳!K249)</f>
        <v/>
      </c>
      <c r="F249" s="128" t="str">
        <f>IF(足元帳!K249="","",IF(足元帳!BB249=1,45,IF(足元帳!BB249=2,60,IF(足元帳!BB249=3,75,IF(足元帳!BB249=4,90,IF(足元帳!BB249=5,120,IF(足元帳!BB249=6,150,IF(足元帳!BB249=7,180,""))))))))</f>
        <v/>
      </c>
      <c r="G249" s="128" t="str">
        <f>IF(足元帳!K249="","",足元帳!A249)</f>
        <v/>
      </c>
      <c r="H249" s="125" t="str">
        <f>IF(足元帳!AP249="","",$H$1)</f>
        <v/>
      </c>
      <c r="I249" s="125" t="str">
        <f>IF(足元帳!AQ249="","",$I$1)</f>
        <v/>
      </c>
      <c r="J249" s="125" t="str">
        <f>IF(足元帳!AR249="","",$J$1)</f>
        <v/>
      </c>
      <c r="K249" s="125" t="str">
        <f>IF(足元帳!AS249="","",$K$1)</f>
        <v/>
      </c>
      <c r="L249" s="291" t="str">
        <f>IF(COUNTIF(足元帳!AT249,"*複合*"),"複合","")</f>
        <v/>
      </c>
      <c r="M249" s="291" t="str">
        <f>IF(COUNTIF(足元帳!AT249,"*店頭本指名*"),"店頭本指名","")</f>
        <v/>
      </c>
      <c r="N249" s="125" t="str">
        <f>IF(足元帳!U249="","",足元帳!U249)</f>
        <v/>
      </c>
      <c r="O249" s="125" t="str">
        <f>IF(足元帳!V249="","",足元帳!V249)</f>
        <v/>
      </c>
      <c r="P249" s="125" t="str">
        <f>IF(足元帳!W249="","",足元帳!W249)</f>
        <v/>
      </c>
      <c r="Q249" s="125" t="str">
        <f>IF(足元帳!X249="","",足元帳!X249)</f>
        <v/>
      </c>
      <c r="R249" s="125" t="str">
        <f>IF(足元帳!Y249="","",足元帳!Y249)</f>
        <v/>
      </c>
      <c r="S249" s="125" t="str">
        <f>IF(足元帳!Z249="","",足元帳!Z249)</f>
        <v/>
      </c>
      <c r="T249" s="125" t="str">
        <f>IF(足元帳!AT249="","",足元帳!AT249)</f>
        <v/>
      </c>
      <c r="U249" s="125" t="str">
        <f>IF(足元帳!AH249="●",足元帳!$AH$1&amp;足元帳!AW249,"")</f>
        <v/>
      </c>
      <c r="V249" s="125" t="str">
        <f>IF(足元帳!AI249="●",足元帳!$AI$1&amp;足元帳!AW249,"")</f>
        <v/>
      </c>
      <c r="W249" s="125" t="str">
        <f>IF(足元帳!AX249="","",足元帳!AX249)</f>
        <v/>
      </c>
      <c r="X249" s="125">
        <f>足元帳!BJ249</f>
        <v>0</v>
      </c>
    </row>
    <row r="250" spans="1:24" ht="13.15" customHeight="1">
      <c r="A250" s="126">
        <v>249</v>
      </c>
      <c r="B250" s="127" t="str">
        <f>IF(足元帳!K250="","",精算表!$W$1)</f>
        <v/>
      </c>
      <c r="C250" s="128" t="str">
        <f>IF(足元帳!K250="","",IF(足元帳!AY250=2,"R","N"))</f>
        <v/>
      </c>
      <c r="D250" s="128" t="str">
        <f>IF(足元帳!K250="","",IF(足元帳!AZ250=1,"姫",IF(足元帳!AZ250=2,"本指名",IF(足元帳!AZ250=3,"NET",IF(足元帳!AZ250=4,"写真","")))))</f>
        <v/>
      </c>
      <c r="E250" s="128" t="str">
        <f>IF(足元帳!K250="","",足元帳!K250)</f>
        <v/>
      </c>
      <c r="F250" s="128" t="str">
        <f>IF(足元帳!K250="","",IF(足元帳!BB250=1,45,IF(足元帳!BB250=2,60,IF(足元帳!BB250=3,75,IF(足元帳!BB250=4,90,IF(足元帳!BB250=5,120,IF(足元帳!BB250=6,150,IF(足元帳!BB250=7,180,""))))))))</f>
        <v/>
      </c>
      <c r="G250" s="128" t="str">
        <f>IF(足元帳!K250="","",足元帳!A250)</f>
        <v/>
      </c>
      <c r="H250" s="125" t="str">
        <f>IF(足元帳!AP250="","",$H$1)</f>
        <v/>
      </c>
      <c r="I250" s="125" t="str">
        <f>IF(足元帳!AQ250="","",$I$1)</f>
        <v/>
      </c>
      <c r="J250" s="125" t="str">
        <f>IF(足元帳!AR250="","",$J$1)</f>
        <v/>
      </c>
      <c r="K250" s="125" t="str">
        <f>IF(足元帳!AS250="","",$K$1)</f>
        <v/>
      </c>
      <c r="L250" s="291" t="str">
        <f>IF(COUNTIF(足元帳!AT250,"*複合*"),"複合","")</f>
        <v/>
      </c>
      <c r="M250" s="291" t="str">
        <f>IF(COUNTIF(足元帳!AT250,"*店頭本指名*"),"店頭本指名","")</f>
        <v/>
      </c>
      <c r="N250" s="125" t="str">
        <f>IF(足元帳!U250="","",足元帳!U250)</f>
        <v/>
      </c>
      <c r="O250" s="125" t="str">
        <f>IF(足元帳!V250="","",足元帳!V250)</f>
        <v/>
      </c>
      <c r="P250" s="125" t="str">
        <f>IF(足元帳!W250="","",足元帳!W250)</f>
        <v/>
      </c>
      <c r="Q250" s="125" t="str">
        <f>IF(足元帳!X250="","",足元帳!X250)</f>
        <v/>
      </c>
      <c r="R250" s="125" t="str">
        <f>IF(足元帳!Y250="","",足元帳!Y250)</f>
        <v/>
      </c>
      <c r="S250" s="125" t="str">
        <f>IF(足元帳!Z250="","",足元帳!Z250)</f>
        <v/>
      </c>
      <c r="T250" s="125" t="str">
        <f>IF(足元帳!AT250="","",足元帳!AT250)</f>
        <v/>
      </c>
      <c r="U250" s="125" t="str">
        <f>IF(足元帳!AH250="●",足元帳!$AH$1&amp;足元帳!AW250,"")</f>
        <v/>
      </c>
      <c r="V250" s="125" t="str">
        <f>IF(足元帳!AI250="●",足元帳!$AI$1&amp;足元帳!AW250,"")</f>
        <v/>
      </c>
      <c r="W250" s="125" t="str">
        <f>IF(足元帳!AX250="","",足元帳!AX250)</f>
        <v/>
      </c>
      <c r="X250" s="125">
        <f>足元帳!BJ250</f>
        <v>0</v>
      </c>
    </row>
    <row r="251" spans="1:24" ht="13.15" customHeight="1">
      <c r="A251" s="126">
        <v>250</v>
      </c>
      <c r="B251" s="127" t="str">
        <f>IF(足元帳!K251="","",精算表!$W$1)</f>
        <v/>
      </c>
      <c r="C251" s="128" t="str">
        <f>IF(足元帳!K251="","",IF(足元帳!AY251=2,"R","N"))</f>
        <v/>
      </c>
      <c r="D251" s="128" t="str">
        <f>IF(足元帳!K251="","",IF(足元帳!AZ251=1,"姫",IF(足元帳!AZ251=2,"本指名",IF(足元帳!AZ251=3,"NET",IF(足元帳!AZ251=4,"写真","")))))</f>
        <v/>
      </c>
      <c r="E251" s="128" t="str">
        <f>IF(足元帳!K251="","",足元帳!K251)</f>
        <v/>
      </c>
      <c r="F251" s="128" t="str">
        <f>IF(足元帳!K251="","",IF(足元帳!BB251=1,45,IF(足元帳!BB251=2,60,IF(足元帳!BB251=3,75,IF(足元帳!BB251=4,90,IF(足元帳!BB251=5,120,IF(足元帳!BB251=6,150,IF(足元帳!BB251=7,180,""))))))))</f>
        <v/>
      </c>
      <c r="G251" s="128" t="str">
        <f>IF(足元帳!K251="","",足元帳!A251)</f>
        <v/>
      </c>
      <c r="H251" s="125" t="str">
        <f>IF(足元帳!AP251="","",$H$1)</f>
        <v/>
      </c>
      <c r="I251" s="125" t="str">
        <f>IF(足元帳!AQ251="","",$I$1)</f>
        <v/>
      </c>
      <c r="J251" s="125" t="str">
        <f>IF(足元帳!AR251="","",$J$1)</f>
        <v/>
      </c>
      <c r="K251" s="125" t="str">
        <f>IF(足元帳!AS251="","",$K$1)</f>
        <v/>
      </c>
      <c r="L251" s="291" t="str">
        <f>IF(COUNTIF(足元帳!AT251,"*複合*"),"複合","")</f>
        <v/>
      </c>
      <c r="M251" s="291" t="str">
        <f>IF(COUNTIF(足元帳!AT251,"*店頭本指名*"),"店頭本指名","")</f>
        <v/>
      </c>
      <c r="N251" s="125" t="str">
        <f>IF(足元帳!U251="","",足元帳!U251)</f>
        <v/>
      </c>
      <c r="O251" s="125" t="str">
        <f>IF(足元帳!V251="","",足元帳!V251)</f>
        <v/>
      </c>
      <c r="P251" s="125" t="str">
        <f>IF(足元帳!W251="","",足元帳!W251)</f>
        <v/>
      </c>
      <c r="Q251" s="125" t="str">
        <f>IF(足元帳!X251="","",足元帳!X251)</f>
        <v/>
      </c>
      <c r="R251" s="125" t="str">
        <f>IF(足元帳!Y251="","",足元帳!Y251)</f>
        <v/>
      </c>
      <c r="S251" s="125" t="str">
        <f>IF(足元帳!Z251="","",足元帳!Z251)</f>
        <v/>
      </c>
      <c r="T251" s="125" t="str">
        <f>IF(足元帳!AT251="","",足元帳!AT251)</f>
        <v/>
      </c>
      <c r="U251" s="125" t="str">
        <f>IF(足元帳!AH251="●",足元帳!$AH$1&amp;足元帳!AW251,"")</f>
        <v/>
      </c>
      <c r="V251" s="125" t="str">
        <f>IF(足元帳!AI251="●",足元帳!$AI$1&amp;足元帳!AW251,"")</f>
        <v/>
      </c>
      <c r="W251" s="125" t="str">
        <f>IF(足元帳!AX251="","",足元帳!AX251)</f>
        <v/>
      </c>
      <c r="X251" s="125">
        <f>足元帳!BJ251</f>
        <v>0</v>
      </c>
    </row>
    <row r="252" spans="1:24" ht="13.15" customHeight="1">
      <c r="A252" s="126">
        <v>251</v>
      </c>
      <c r="B252" s="127" t="str">
        <f>IF(足元帳!K252="","",精算表!$W$1)</f>
        <v/>
      </c>
      <c r="C252" s="128" t="str">
        <f>IF(足元帳!K252="","",IF(足元帳!AY252=2,"R","N"))</f>
        <v/>
      </c>
      <c r="D252" s="128" t="str">
        <f>IF(足元帳!K252="","",IF(足元帳!AZ252=1,"姫",IF(足元帳!AZ252=2,"本指名",IF(足元帳!AZ252=3,"NET",IF(足元帳!AZ252=4,"写真","")))))</f>
        <v/>
      </c>
      <c r="E252" s="128" t="str">
        <f>IF(足元帳!K252="","",足元帳!K252)</f>
        <v/>
      </c>
      <c r="F252" s="128" t="str">
        <f>IF(足元帳!K252="","",IF(足元帳!BB252=1,45,IF(足元帳!BB252=2,60,IF(足元帳!BB252=3,75,IF(足元帳!BB252=4,90,IF(足元帳!BB252=5,120,IF(足元帳!BB252=6,150,IF(足元帳!BB252=7,180,""))))))))</f>
        <v/>
      </c>
      <c r="G252" s="128" t="str">
        <f>IF(足元帳!K252="","",足元帳!A252)</f>
        <v/>
      </c>
      <c r="H252" s="125" t="str">
        <f>IF(足元帳!AP252="","",$H$1)</f>
        <v/>
      </c>
      <c r="I252" s="125" t="str">
        <f>IF(足元帳!AQ252="","",$I$1)</f>
        <v/>
      </c>
      <c r="J252" s="125" t="str">
        <f>IF(足元帳!AR252="","",$J$1)</f>
        <v/>
      </c>
      <c r="K252" s="125" t="str">
        <f>IF(足元帳!AS252="","",$K$1)</f>
        <v/>
      </c>
      <c r="L252" s="291" t="str">
        <f>IF(COUNTIF(足元帳!AT252,"*複合*"),"複合","")</f>
        <v/>
      </c>
      <c r="M252" s="291" t="str">
        <f>IF(COUNTIF(足元帳!AT252,"*店頭本指名*"),"店頭本指名","")</f>
        <v/>
      </c>
      <c r="N252" s="125" t="str">
        <f>IF(足元帳!U252="","",足元帳!U252)</f>
        <v/>
      </c>
      <c r="O252" s="125" t="str">
        <f>IF(足元帳!V252="","",足元帳!V252)</f>
        <v/>
      </c>
      <c r="P252" s="125" t="str">
        <f>IF(足元帳!W252="","",足元帳!W252)</f>
        <v/>
      </c>
      <c r="Q252" s="125" t="str">
        <f>IF(足元帳!X252="","",足元帳!X252)</f>
        <v/>
      </c>
      <c r="R252" s="125" t="str">
        <f>IF(足元帳!Y252="","",足元帳!Y252)</f>
        <v/>
      </c>
      <c r="S252" s="125" t="str">
        <f>IF(足元帳!Z252="","",足元帳!Z252)</f>
        <v/>
      </c>
      <c r="T252" s="125" t="str">
        <f>IF(足元帳!AT252="","",足元帳!AT252)</f>
        <v/>
      </c>
      <c r="U252" s="125" t="str">
        <f>IF(足元帳!AH252="●",足元帳!$AH$1&amp;足元帳!AW252,"")</f>
        <v/>
      </c>
      <c r="V252" s="125" t="str">
        <f>IF(足元帳!AI252="●",足元帳!$AI$1&amp;足元帳!AW252,"")</f>
        <v/>
      </c>
      <c r="W252" s="125" t="str">
        <f>IF(足元帳!AX252="","",足元帳!AX252)</f>
        <v/>
      </c>
      <c r="X252" s="125">
        <f>足元帳!BJ252</f>
        <v>0</v>
      </c>
    </row>
    <row r="253" spans="1:24" ht="13.15" customHeight="1">
      <c r="A253" s="126">
        <v>252</v>
      </c>
      <c r="B253" s="127" t="str">
        <f>IF(足元帳!K253="","",精算表!$W$1)</f>
        <v/>
      </c>
      <c r="C253" s="128" t="str">
        <f>IF(足元帳!K253="","",IF(足元帳!AY253=2,"R","N"))</f>
        <v/>
      </c>
      <c r="D253" s="128" t="str">
        <f>IF(足元帳!K253="","",IF(足元帳!AZ253=1,"姫",IF(足元帳!AZ253=2,"本指名",IF(足元帳!AZ253=3,"NET",IF(足元帳!AZ253=4,"写真","")))))</f>
        <v/>
      </c>
      <c r="E253" s="128" t="str">
        <f>IF(足元帳!K253="","",足元帳!K253)</f>
        <v/>
      </c>
      <c r="F253" s="128" t="str">
        <f>IF(足元帳!K253="","",IF(足元帳!BB253=1,45,IF(足元帳!BB253=2,60,IF(足元帳!BB253=3,75,IF(足元帳!BB253=4,90,IF(足元帳!BB253=5,120,IF(足元帳!BB253=6,150,IF(足元帳!BB253=7,180,""))))))))</f>
        <v/>
      </c>
      <c r="G253" s="128" t="str">
        <f>IF(足元帳!K253="","",足元帳!A253)</f>
        <v/>
      </c>
      <c r="H253" s="125" t="str">
        <f>IF(足元帳!AP253="","",$H$1)</f>
        <v/>
      </c>
      <c r="I253" s="125" t="str">
        <f>IF(足元帳!AQ253="","",$I$1)</f>
        <v/>
      </c>
      <c r="J253" s="125" t="str">
        <f>IF(足元帳!AR253="","",$J$1)</f>
        <v/>
      </c>
      <c r="K253" s="125" t="str">
        <f>IF(足元帳!AS253="","",$K$1)</f>
        <v/>
      </c>
      <c r="L253" s="291" t="str">
        <f>IF(COUNTIF(足元帳!AT253,"*複合*"),"複合","")</f>
        <v/>
      </c>
      <c r="M253" s="291" t="str">
        <f>IF(COUNTIF(足元帳!AT253,"*店頭本指名*"),"店頭本指名","")</f>
        <v/>
      </c>
      <c r="N253" s="125" t="str">
        <f>IF(足元帳!U253="","",足元帳!U253)</f>
        <v/>
      </c>
      <c r="O253" s="125" t="str">
        <f>IF(足元帳!V253="","",足元帳!V253)</f>
        <v/>
      </c>
      <c r="P253" s="125" t="str">
        <f>IF(足元帳!W253="","",足元帳!W253)</f>
        <v/>
      </c>
      <c r="Q253" s="125" t="str">
        <f>IF(足元帳!X253="","",足元帳!X253)</f>
        <v/>
      </c>
      <c r="R253" s="125" t="str">
        <f>IF(足元帳!Y253="","",足元帳!Y253)</f>
        <v/>
      </c>
      <c r="S253" s="125" t="str">
        <f>IF(足元帳!Z253="","",足元帳!Z253)</f>
        <v/>
      </c>
      <c r="T253" s="125" t="str">
        <f>IF(足元帳!AT253="","",足元帳!AT253)</f>
        <v/>
      </c>
      <c r="U253" s="125" t="str">
        <f>IF(足元帳!AH253="●",足元帳!$AH$1&amp;足元帳!AW253,"")</f>
        <v/>
      </c>
      <c r="V253" s="125" t="str">
        <f>IF(足元帳!AI253="●",足元帳!$AI$1&amp;足元帳!AW253,"")</f>
        <v/>
      </c>
      <c r="W253" s="125" t="str">
        <f>IF(足元帳!AX253="","",足元帳!AX253)</f>
        <v/>
      </c>
      <c r="X253" s="125">
        <f>足元帳!BJ253</f>
        <v>0</v>
      </c>
    </row>
    <row r="254" spans="1:24" ht="13.15" customHeight="1">
      <c r="A254" s="126">
        <v>253</v>
      </c>
      <c r="B254" s="127" t="str">
        <f>IF(足元帳!K254="","",精算表!$W$1)</f>
        <v/>
      </c>
      <c r="C254" s="128" t="str">
        <f>IF(足元帳!K254="","",IF(足元帳!AY254=2,"R","N"))</f>
        <v/>
      </c>
      <c r="D254" s="128" t="str">
        <f>IF(足元帳!K254="","",IF(足元帳!AZ254=1,"姫",IF(足元帳!AZ254=2,"本指名",IF(足元帳!AZ254=3,"NET",IF(足元帳!AZ254=4,"写真","")))))</f>
        <v/>
      </c>
      <c r="E254" s="128" t="str">
        <f>IF(足元帳!K254="","",足元帳!K254)</f>
        <v/>
      </c>
      <c r="F254" s="128" t="str">
        <f>IF(足元帳!K254="","",IF(足元帳!BB254=1,45,IF(足元帳!BB254=2,60,IF(足元帳!BB254=3,75,IF(足元帳!BB254=4,90,IF(足元帳!BB254=5,120,IF(足元帳!BB254=6,150,IF(足元帳!BB254=7,180,""))))))))</f>
        <v/>
      </c>
      <c r="G254" s="128" t="str">
        <f>IF(足元帳!K254="","",足元帳!A254)</f>
        <v/>
      </c>
      <c r="H254" s="125" t="str">
        <f>IF(足元帳!AP254="","",$H$1)</f>
        <v/>
      </c>
      <c r="I254" s="125" t="str">
        <f>IF(足元帳!AQ254="","",$I$1)</f>
        <v/>
      </c>
      <c r="J254" s="125" t="str">
        <f>IF(足元帳!AR254="","",$J$1)</f>
        <v/>
      </c>
      <c r="K254" s="125" t="str">
        <f>IF(足元帳!AS254="","",$K$1)</f>
        <v/>
      </c>
      <c r="L254" s="291" t="str">
        <f>IF(COUNTIF(足元帳!AT254,"*複合*"),"複合","")</f>
        <v/>
      </c>
      <c r="M254" s="291" t="str">
        <f>IF(COUNTIF(足元帳!AT254,"*店頭本指名*"),"店頭本指名","")</f>
        <v/>
      </c>
      <c r="N254" s="125" t="str">
        <f>IF(足元帳!U254="","",足元帳!U254)</f>
        <v/>
      </c>
      <c r="O254" s="125" t="str">
        <f>IF(足元帳!V254="","",足元帳!V254)</f>
        <v/>
      </c>
      <c r="P254" s="125" t="str">
        <f>IF(足元帳!W254="","",足元帳!W254)</f>
        <v/>
      </c>
      <c r="Q254" s="125" t="str">
        <f>IF(足元帳!X254="","",足元帳!X254)</f>
        <v/>
      </c>
      <c r="R254" s="125" t="str">
        <f>IF(足元帳!Y254="","",足元帳!Y254)</f>
        <v/>
      </c>
      <c r="S254" s="125" t="str">
        <f>IF(足元帳!Z254="","",足元帳!Z254)</f>
        <v/>
      </c>
      <c r="T254" s="125" t="str">
        <f>IF(足元帳!AT254="","",足元帳!AT254)</f>
        <v/>
      </c>
      <c r="U254" s="125" t="str">
        <f>IF(足元帳!AH254="●",足元帳!$AH$1&amp;足元帳!AW254,"")</f>
        <v/>
      </c>
      <c r="V254" s="125" t="str">
        <f>IF(足元帳!AI254="●",足元帳!$AI$1&amp;足元帳!AW254,"")</f>
        <v/>
      </c>
      <c r="W254" s="125" t="str">
        <f>IF(足元帳!AX254="","",足元帳!AX254)</f>
        <v/>
      </c>
      <c r="X254" s="125">
        <f>足元帳!BJ254</f>
        <v>0</v>
      </c>
    </row>
    <row r="255" spans="1:24" ht="13.15" customHeight="1">
      <c r="A255" s="126">
        <v>254</v>
      </c>
      <c r="B255" s="127" t="str">
        <f>IF(足元帳!K255="","",精算表!$W$1)</f>
        <v/>
      </c>
      <c r="C255" s="128" t="str">
        <f>IF(足元帳!K255="","",IF(足元帳!AY255=2,"R","N"))</f>
        <v/>
      </c>
      <c r="D255" s="128" t="str">
        <f>IF(足元帳!K255="","",IF(足元帳!AZ255=1,"姫",IF(足元帳!AZ255=2,"本指名",IF(足元帳!AZ255=3,"NET",IF(足元帳!AZ255=4,"写真","")))))</f>
        <v/>
      </c>
      <c r="E255" s="128" t="str">
        <f>IF(足元帳!K255="","",足元帳!K255)</f>
        <v/>
      </c>
      <c r="F255" s="128" t="str">
        <f>IF(足元帳!K255="","",IF(足元帳!BB255=1,45,IF(足元帳!BB255=2,60,IF(足元帳!BB255=3,75,IF(足元帳!BB255=4,90,IF(足元帳!BB255=5,120,IF(足元帳!BB255=6,150,IF(足元帳!BB255=7,180,""))))))))</f>
        <v/>
      </c>
      <c r="G255" s="128" t="str">
        <f>IF(足元帳!K255="","",足元帳!A255)</f>
        <v/>
      </c>
      <c r="H255" s="125" t="str">
        <f>IF(足元帳!AP255="","",$H$1)</f>
        <v/>
      </c>
      <c r="I255" s="125" t="str">
        <f>IF(足元帳!AQ255="","",$I$1)</f>
        <v/>
      </c>
      <c r="J255" s="125" t="str">
        <f>IF(足元帳!AR255="","",$J$1)</f>
        <v/>
      </c>
      <c r="K255" s="125" t="str">
        <f>IF(足元帳!AS255="","",$K$1)</f>
        <v/>
      </c>
      <c r="L255" s="291" t="str">
        <f>IF(COUNTIF(足元帳!AT255,"*複合*"),"複合","")</f>
        <v/>
      </c>
      <c r="M255" s="291" t="str">
        <f>IF(COUNTIF(足元帳!AT255,"*店頭本指名*"),"店頭本指名","")</f>
        <v/>
      </c>
      <c r="N255" s="125" t="str">
        <f>IF(足元帳!U255="","",足元帳!U255)</f>
        <v/>
      </c>
      <c r="O255" s="125" t="str">
        <f>IF(足元帳!V255="","",足元帳!V255)</f>
        <v/>
      </c>
      <c r="P255" s="125" t="str">
        <f>IF(足元帳!W255="","",足元帳!W255)</f>
        <v/>
      </c>
      <c r="Q255" s="125" t="str">
        <f>IF(足元帳!X255="","",足元帳!X255)</f>
        <v/>
      </c>
      <c r="R255" s="125" t="str">
        <f>IF(足元帳!Y255="","",足元帳!Y255)</f>
        <v/>
      </c>
      <c r="S255" s="125" t="str">
        <f>IF(足元帳!Z255="","",足元帳!Z255)</f>
        <v/>
      </c>
      <c r="T255" s="125" t="str">
        <f>IF(足元帳!AT255="","",足元帳!AT255)</f>
        <v/>
      </c>
      <c r="U255" s="125" t="str">
        <f>IF(足元帳!AH255="●",足元帳!$AH$1&amp;足元帳!AW255,"")</f>
        <v/>
      </c>
      <c r="V255" s="125" t="str">
        <f>IF(足元帳!AI255="●",足元帳!$AI$1&amp;足元帳!AW255,"")</f>
        <v/>
      </c>
      <c r="W255" s="125" t="str">
        <f>IF(足元帳!AX255="","",足元帳!AX255)</f>
        <v/>
      </c>
      <c r="X255" s="125">
        <f>足元帳!BJ255</f>
        <v>0</v>
      </c>
    </row>
    <row r="256" spans="1:24" ht="13.15" customHeight="1">
      <c r="A256" s="126">
        <v>255</v>
      </c>
      <c r="B256" s="127" t="str">
        <f>IF(足元帳!K256="","",精算表!$W$1)</f>
        <v/>
      </c>
      <c r="C256" s="128" t="str">
        <f>IF(足元帳!K256="","",IF(足元帳!AY256=2,"R","N"))</f>
        <v/>
      </c>
      <c r="D256" s="128" t="str">
        <f>IF(足元帳!K256="","",IF(足元帳!AZ256=1,"姫",IF(足元帳!AZ256=2,"本指名",IF(足元帳!AZ256=3,"NET",IF(足元帳!AZ256=4,"写真","")))))</f>
        <v/>
      </c>
      <c r="E256" s="128" t="str">
        <f>IF(足元帳!K256="","",足元帳!K256)</f>
        <v/>
      </c>
      <c r="F256" s="128" t="str">
        <f>IF(足元帳!K256="","",IF(足元帳!BB256=1,45,IF(足元帳!BB256=2,60,IF(足元帳!BB256=3,75,IF(足元帳!BB256=4,90,IF(足元帳!BB256=5,120,IF(足元帳!BB256=6,150,IF(足元帳!BB256=7,180,""))))))))</f>
        <v/>
      </c>
      <c r="G256" s="128" t="str">
        <f>IF(足元帳!K256="","",足元帳!A256)</f>
        <v/>
      </c>
      <c r="H256" s="125" t="str">
        <f>IF(足元帳!AP256="","",$H$1)</f>
        <v/>
      </c>
      <c r="I256" s="125" t="str">
        <f>IF(足元帳!AQ256="","",$I$1)</f>
        <v/>
      </c>
      <c r="J256" s="125" t="str">
        <f>IF(足元帳!AR256="","",$J$1)</f>
        <v/>
      </c>
      <c r="K256" s="125" t="str">
        <f>IF(足元帳!AS256="","",$K$1)</f>
        <v/>
      </c>
      <c r="L256" s="291" t="str">
        <f>IF(COUNTIF(足元帳!AT256,"*複合*"),"複合","")</f>
        <v/>
      </c>
      <c r="M256" s="291" t="str">
        <f>IF(COUNTIF(足元帳!AT256,"*店頭本指名*"),"店頭本指名","")</f>
        <v/>
      </c>
      <c r="N256" s="125" t="str">
        <f>IF(足元帳!U256="","",足元帳!U256)</f>
        <v/>
      </c>
      <c r="O256" s="125" t="str">
        <f>IF(足元帳!V256="","",足元帳!V256)</f>
        <v/>
      </c>
      <c r="P256" s="125" t="str">
        <f>IF(足元帳!W256="","",足元帳!W256)</f>
        <v/>
      </c>
      <c r="Q256" s="125" t="str">
        <f>IF(足元帳!X256="","",足元帳!X256)</f>
        <v/>
      </c>
      <c r="R256" s="125" t="str">
        <f>IF(足元帳!Y256="","",足元帳!Y256)</f>
        <v/>
      </c>
      <c r="S256" s="125" t="str">
        <f>IF(足元帳!Z256="","",足元帳!Z256)</f>
        <v/>
      </c>
      <c r="T256" s="125" t="str">
        <f>IF(足元帳!AT256="","",足元帳!AT256)</f>
        <v/>
      </c>
      <c r="U256" s="125" t="str">
        <f>IF(足元帳!AH256="●",足元帳!$AH$1&amp;足元帳!AW256,"")</f>
        <v/>
      </c>
      <c r="V256" s="125" t="str">
        <f>IF(足元帳!AI256="●",足元帳!$AI$1&amp;足元帳!AW256,"")</f>
        <v/>
      </c>
      <c r="W256" s="125" t="str">
        <f>IF(足元帳!AX256="","",足元帳!AX256)</f>
        <v/>
      </c>
      <c r="X256" s="125">
        <f>足元帳!BJ256</f>
        <v>0</v>
      </c>
    </row>
    <row r="257" spans="1:24" ht="13.15" customHeight="1">
      <c r="A257" s="126">
        <v>256</v>
      </c>
      <c r="B257" s="127" t="str">
        <f>IF(足元帳!K257="","",精算表!$W$1)</f>
        <v/>
      </c>
      <c r="C257" s="128" t="str">
        <f>IF(足元帳!K257="","",IF(足元帳!AY257=2,"R","N"))</f>
        <v/>
      </c>
      <c r="D257" s="128" t="str">
        <f>IF(足元帳!K257="","",IF(足元帳!AZ257=1,"姫",IF(足元帳!AZ257=2,"本指名",IF(足元帳!AZ257=3,"NET",IF(足元帳!AZ257=4,"写真","")))))</f>
        <v/>
      </c>
      <c r="E257" s="128" t="str">
        <f>IF(足元帳!K257="","",足元帳!K257)</f>
        <v/>
      </c>
      <c r="F257" s="128" t="str">
        <f>IF(足元帳!K257="","",IF(足元帳!BB257=1,45,IF(足元帳!BB257=2,60,IF(足元帳!BB257=3,75,IF(足元帳!BB257=4,90,IF(足元帳!BB257=5,120,IF(足元帳!BB257=6,150,IF(足元帳!BB257=7,180,""))))))))</f>
        <v/>
      </c>
      <c r="G257" s="128" t="str">
        <f>IF(足元帳!K257="","",足元帳!A257)</f>
        <v/>
      </c>
      <c r="H257" s="125" t="str">
        <f>IF(足元帳!AP257="","",$H$1)</f>
        <v/>
      </c>
      <c r="I257" s="125" t="str">
        <f>IF(足元帳!AQ257="","",$I$1)</f>
        <v/>
      </c>
      <c r="J257" s="125" t="str">
        <f>IF(足元帳!AR257="","",$J$1)</f>
        <v/>
      </c>
      <c r="K257" s="125" t="str">
        <f>IF(足元帳!AS257="","",$K$1)</f>
        <v/>
      </c>
      <c r="L257" s="291" t="str">
        <f>IF(COUNTIF(足元帳!AT257,"*複合*"),"複合","")</f>
        <v/>
      </c>
      <c r="M257" s="291" t="str">
        <f>IF(COUNTIF(足元帳!AT257,"*店頭本指名*"),"店頭本指名","")</f>
        <v/>
      </c>
      <c r="N257" s="125" t="str">
        <f>IF(足元帳!U257="","",足元帳!U257)</f>
        <v/>
      </c>
      <c r="O257" s="125" t="str">
        <f>IF(足元帳!V257="","",足元帳!V257)</f>
        <v/>
      </c>
      <c r="P257" s="125" t="str">
        <f>IF(足元帳!W257="","",足元帳!W257)</f>
        <v/>
      </c>
      <c r="Q257" s="125" t="str">
        <f>IF(足元帳!X257="","",足元帳!X257)</f>
        <v/>
      </c>
      <c r="R257" s="125" t="str">
        <f>IF(足元帳!Y257="","",足元帳!Y257)</f>
        <v/>
      </c>
      <c r="S257" s="125" t="str">
        <f>IF(足元帳!Z257="","",足元帳!Z257)</f>
        <v/>
      </c>
      <c r="T257" s="125" t="str">
        <f>IF(足元帳!AT257="","",足元帳!AT257)</f>
        <v/>
      </c>
      <c r="U257" s="125" t="str">
        <f>IF(足元帳!AH257="●",足元帳!$AH$1&amp;足元帳!AW257,"")</f>
        <v/>
      </c>
      <c r="V257" s="125" t="str">
        <f>IF(足元帳!AI257="●",足元帳!$AI$1&amp;足元帳!AW257,"")</f>
        <v/>
      </c>
      <c r="W257" s="125" t="str">
        <f>IF(足元帳!AX257="","",足元帳!AX257)</f>
        <v/>
      </c>
      <c r="X257" s="125">
        <f>足元帳!BJ257</f>
        <v>0</v>
      </c>
    </row>
    <row r="258" spans="1:24" ht="13.15" customHeight="1">
      <c r="A258" s="126">
        <v>257</v>
      </c>
      <c r="B258" s="127" t="str">
        <f>IF(足元帳!K258="","",精算表!$W$1)</f>
        <v/>
      </c>
      <c r="C258" s="128" t="str">
        <f>IF(足元帳!K258="","",IF(足元帳!AY258=2,"R","N"))</f>
        <v/>
      </c>
      <c r="D258" s="128" t="str">
        <f>IF(足元帳!K258="","",IF(足元帳!AZ258=1,"姫",IF(足元帳!AZ258=2,"本指名",IF(足元帳!AZ258=3,"NET",IF(足元帳!AZ258=4,"写真","")))))</f>
        <v/>
      </c>
      <c r="E258" s="128" t="str">
        <f>IF(足元帳!K258="","",足元帳!K258)</f>
        <v/>
      </c>
      <c r="F258" s="128" t="str">
        <f>IF(足元帳!K258="","",IF(足元帳!BB258=1,45,IF(足元帳!BB258=2,60,IF(足元帳!BB258=3,75,IF(足元帳!BB258=4,90,IF(足元帳!BB258=5,120,IF(足元帳!BB258=6,150,IF(足元帳!BB258=7,180,""))))))))</f>
        <v/>
      </c>
      <c r="G258" s="128" t="str">
        <f>IF(足元帳!K258="","",足元帳!A258)</f>
        <v/>
      </c>
      <c r="H258" s="125" t="str">
        <f>IF(足元帳!AP258="","",$H$1)</f>
        <v/>
      </c>
      <c r="I258" s="125" t="str">
        <f>IF(足元帳!AQ258="","",$I$1)</f>
        <v/>
      </c>
      <c r="J258" s="125" t="str">
        <f>IF(足元帳!AR258="","",$J$1)</f>
        <v/>
      </c>
      <c r="K258" s="125" t="str">
        <f>IF(足元帳!AS258="","",$K$1)</f>
        <v/>
      </c>
      <c r="L258" s="291" t="str">
        <f>IF(COUNTIF(足元帳!AT258,"*複合*"),"複合","")</f>
        <v/>
      </c>
      <c r="M258" s="291" t="str">
        <f>IF(COUNTIF(足元帳!AT258,"*店頭本指名*"),"店頭本指名","")</f>
        <v/>
      </c>
      <c r="N258" s="125" t="str">
        <f>IF(足元帳!U258="","",足元帳!U258)</f>
        <v/>
      </c>
      <c r="O258" s="125" t="str">
        <f>IF(足元帳!V258="","",足元帳!V258)</f>
        <v/>
      </c>
      <c r="P258" s="125" t="str">
        <f>IF(足元帳!W258="","",足元帳!W258)</f>
        <v/>
      </c>
      <c r="Q258" s="125" t="str">
        <f>IF(足元帳!X258="","",足元帳!X258)</f>
        <v/>
      </c>
      <c r="R258" s="125" t="str">
        <f>IF(足元帳!Y258="","",足元帳!Y258)</f>
        <v/>
      </c>
      <c r="S258" s="125" t="str">
        <f>IF(足元帳!Z258="","",足元帳!Z258)</f>
        <v/>
      </c>
      <c r="T258" s="125" t="str">
        <f>IF(足元帳!AT258="","",足元帳!AT258)</f>
        <v/>
      </c>
      <c r="U258" s="125" t="str">
        <f>IF(足元帳!AH258="●",足元帳!$AH$1&amp;足元帳!AW258,"")</f>
        <v/>
      </c>
      <c r="V258" s="125" t="str">
        <f>IF(足元帳!AI258="●",足元帳!$AI$1&amp;足元帳!AW258,"")</f>
        <v/>
      </c>
      <c r="W258" s="125" t="str">
        <f>IF(足元帳!AX258="","",足元帳!AX258)</f>
        <v/>
      </c>
      <c r="X258" s="125">
        <f>足元帳!BJ258</f>
        <v>0</v>
      </c>
    </row>
  </sheetData>
  <sheetProtection sheet="1" objects="1" scenarios="1"/>
  <mergeCells count="48">
    <mergeCell ref="AB29:AC29"/>
    <mergeCell ref="AB96:AC97"/>
    <mergeCell ref="AU98:AV98"/>
    <mergeCell ref="AU99:AV99"/>
    <mergeCell ref="AU100:AV100"/>
    <mergeCell ref="AX102:AY102"/>
    <mergeCell ref="AH2:AH3"/>
    <mergeCell ref="AH4:AH5"/>
    <mergeCell ref="AH19:AH20"/>
    <mergeCell ref="AH21:AH22"/>
    <mergeCell ref="AH32:AH33"/>
    <mergeCell ref="AK96:AQ96"/>
    <mergeCell ref="AD96:AJ96"/>
    <mergeCell ref="AU96:AW96"/>
    <mergeCell ref="AU97:AV97"/>
    <mergeCell ref="AR98:AT98"/>
    <mergeCell ref="AX100:AY100"/>
    <mergeCell ref="AR96:AT97"/>
    <mergeCell ref="Z56:AA56"/>
    <mergeCell ref="AH34:AH35"/>
    <mergeCell ref="Z57:AA57"/>
    <mergeCell ref="AB63:AC63"/>
    <mergeCell ref="AB62:AC62"/>
    <mergeCell ref="AB57:AG60"/>
    <mergeCell ref="AB102:AC102"/>
    <mergeCell ref="AR102:AT102"/>
    <mergeCell ref="AU102:AV102"/>
    <mergeCell ref="BA96:BC96"/>
    <mergeCell ref="AX96:AY97"/>
    <mergeCell ref="AX98:AY98"/>
    <mergeCell ref="AX99:AY99"/>
    <mergeCell ref="AB101:AC101"/>
    <mergeCell ref="AR101:AT101"/>
    <mergeCell ref="AX101:AY101"/>
    <mergeCell ref="AU101:AV101"/>
    <mergeCell ref="AB98:AC98"/>
    <mergeCell ref="AB99:AC99"/>
    <mergeCell ref="AB100:AC100"/>
    <mergeCell ref="AR99:AT99"/>
    <mergeCell ref="AR100:AT100"/>
    <mergeCell ref="AX105:AY105"/>
    <mergeCell ref="AB106:AC106"/>
    <mergeCell ref="AR106:AT106"/>
    <mergeCell ref="AU106:AV106"/>
    <mergeCell ref="AX106:AY106"/>
    <mergeCell ref="AB105:AC105"/>
    <mergeCell ref="AR105:AT105"/>
    <mergeCell ref="AU105:AV105"/>
  </mergeCells>
  <phoneticPr fontId="4"/>
  <dataValidations count="2">
    <dataValidation imeMode="off" allowBlank="1" showInputMessage="1" showErrorMessage="1" sqref="F1:F258"/>
    <dataValidation imeMode="fullKatakana" allowBlank="1" showInputMessage="1" showErrorMessage="1" sqref="E1"/>
  </dataValidations>
  <pageMargins left="0.7" right="0.7" top="0.75" bottom="0.75" header="0.3" footer="0.3"/>
  <pageSetup paperSize="9" scale="23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CF276"/>
  <sheetViews>
    <sheetView view="pageBreakPreview" zoomScaleNormal="100" zoomScaleSheetLayoutView="100" workbookViewId="0">
      <selection activeCell="D4" sqref="D4"/>
    </sheetView>
  </sheetViews>
  <sheetFormatPr defaultColWidth="2.625" defaultRowHeight="22.5" customHeight="1"/>
  <cols>
    <col min="1" max="10" width="2.625" style="113"/>
    <col min="11" max="12" width="2.625" style="113" customWidth="1"/>
    <col min="13" max="16" width="2.625" style="113"/>
    <col min="17" max="17" width="2.625" style="113" customWidth="1"/>
    <col min="18" max="18" width="2.625" style="113"/>
    <col min="19" max="19" width="2.625" style="113" customWidth="1"/>
    <col min="20" max="20" width="2.625" style="113"/>
    <col min="21" max="21" width="2.625" style="113" customWidth="1"/>
    <col min="22" max="22" width="2.625" style="113"/>
    <col min="23" max="23" width="2.625" style="113" customWidth="1"/>
    <col min="24" max="26" width="2.625" style="113"/>
    <col min="27" max="27" width="4.125" style="113" customWidth="1"/>
    <col min="28" max="28" width="6" style="113" customWidth="1"/>
    <col min="29" max="31" width="2.625" style="113"/>
    <col min="32" max="32" width="2.625" style="113" customWidth="1"/>
    <col min="33" max="39" width="2.625" style="113"/>
    <col min="40" max="40" width="2.625" style="113" customWidth="1"/>
    <col min="41" max="44" width="2.625" style="113"/>
    <col min="45" max="45" width="2.625" style="123"/>
    <col min="46" max="46" width="2.625" style="113" customWidth="1"/>
    <col min="47" max="49" width="2.625" style="113"/>
    <col min="50" max="53" width="2.625" style="113" hidden="1" customWidth="1"/>
    <col min="54" max="55" width="0" style="113" hidden="1" customWidth="1"/>
    <col min="56" max="16384" width="2.625" style="113"/>
  </cols>
  <sheetData>
    <row r="1" spans="1:84" ht="35.1" customHeight="1">
      <c r="A1" s="652" t="s">
        <v>420</v>
      </c>
      <c r="B1" s="652"/>
      <c r="C1" s="652"/>
      <c r="D1" s="652"/>
      <c r="E1" s="652"/>
      <c r="F1" s="652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652"/>
      <c r="T1" s="652"/>
      <c r="U1" s="652"/>
      <c r="V1" s="652"/>
      <c r="W1" s="652"/>
      <c r="X1" s="652"/>
      <c r="Y1" s="652"/>
      <c r="Z1" s="652"/>
      <c r="AA1" s="652"/>
      <c r="AB1" s="652"/>
      <c r="AC1" s="652"/>
      <c r="AD1" s="652"/>
      <c r="AE1" s="113" t="s">
        <v>297</v>
      </c>
      <c r="AF1" s="113" t="str">
        <f>TEXT(精算表!W1,"yyyy")</f>
        <v>2019</v>
      </c>
      <c r="AH1" s="113" t="s">
        <v>143</v>
      </c>
      <c r="AI1" s="113">
        <f>MONTH(精算表!W1)</f>
        <v>10</v>
      </c>
      <c r="AL1" s="113" t="s">
        <v>144</v>
      </c>
      <c r="AN1" s="113">
        <f>DAY(精算表!W1)</f>
        <v>17</v>
      </c>
      <c r="AP1" s="113" t="s">
        <v>145</v>
      </c>
      <c r="AT1" s="113">
        <f>IF(O274&gt;0,276,IF(O228&gt;0,230,IF(O182&gt;0,184,IF(O136&gt;0,138,IF(O90&gt;0,92,IF(O44&gt;0,46,""))))))</f>
        <v>46</v>
      </c>
      <c r="AX1" s="328"/>
      <c r="AY1" s="328">
        <v>45</v>
      </c>
      <c r="AZ1" s="328">
        <v>60</v>
      </c>
      <c r="BA1" s="328">
        <v>75</v>
      </c>
      <c r="BB1" s="328">
        <v>90</v>
      </c>
      <c r="BC1" s="328">
        <v>120</v>
      </c>
      <c r="BD1" s="328"/>
    </row>
    <row r="2" spans="1:84" ht="35.1" customHeight="1" thickBot="1">
      <c r="A2" s="652"/>
      <c r="B2" s="652"/>
      <c r="C2" s="652"/>
      <c r="D2" s="652"/>
      <c r="E2" s="652"/>
      <c r="F2" s="652"/>
      <c r="G2" s="652"/>
      <c r="H2" s="652"/>
      <c r="I2" s="652"/>
      <c r="J2" s="652"/>
      <c r="K2" s="652"/>
      <c r="L2" s="652"/>
      <c r="M2" s="652"/>
      <c r="N2" s="652"/>
      <c r="O2" s="652"/>
      <c r="P2" s="652"/>
      <c r="Q2" s="652"/>
      <c r="R2" s="652"/>
      <c r="S2" s="652"/>
      <c r="T2" s="652"/>
      <c r="U2" s="652"/>
      <c r="V2" s="652"/>
      <c r="W2" s="652"/>
      <c r="X2" s="652"/>
      <c r="Y2" s="652"/>
      <c r="Z2" s="652"/>
      <c r="AA2" s="652"/>
      <c r="AB2" s="652"/>
      <c r="AC2" s="652"/>
      <c r="AD2" s="652"/>
      <c r="AE2" s="300"/>
      <c r="AF2" s="300"/>
      <c r="AG2" s="300"/>
      <c r="AH2" s="300"/>
      <c r="AI2" s="300"/>
      <c r="AJ2" s="300"/>
      <c r="AK2" s="300"/>
      <c r="AL2" s="300"/>
      <c r="AM2" s="300"/>
      <c r="AN2" s="300"/>
      <c r="AO2" s="300"/>
      <c r="AP2" s="300"/>
      <c r="AQ2" s="300"/>
      <c r="AX2" s="328" t="s">
        <v>295</v>
      </c>
      <c r="AY2" s="328"/>
      <c r="AZ2" s="328" t="s">
        <v>400</v>
      </c>
      <c r="BA2" s="328" t="s">
        <v>402</v>
      </c>
      <c r="BB2" s="328" t="s">
        <v>401</v>
      </c>
      <c r="BC2" s="328" t="s">
        <v>401</v>
      </c>
      <c r="BD2" s="328"/>
      <c r="BE2" s="653" t="s">
        <v>422</v>
      </c>
      <c r="BF2" s="654"/>
      <c r="BG2" s="654"/>
      <c r="BH2" s="654"/>
      <c r="BI2" s="654"/>
      <c r="BJ2" s="654"/>
      <c r="BK2" s="654"/>
      <c r="BL2" s="654"/>
      <c r="BM2" s="654"/>
      <c r="BN2" s="654"/>
      <c r="BO2" s="654"/>
      <c r="BP2" s="654"/>
      <c r="BQ2" s="654"/>
      <c r="BR2" s="654"/>
      <c r="BS2" s="654"/>
      <c r="BT2" s="654"/>
      <c r="BU2" s="654"/>
      <c r="BV2" s="654"/>
      <c r="BW2" s="654"/>
      <c r="BX2" s="654"/>
      <c r="BY2" s="654"/>
      <c r="BZ2" s="654"/>
      <c r="CA2" s="654"/>
      <c r="CB2" s="654"/>
      <c r="CC2" s="654"/>
      <c r="CD2" s="654"/>
      <c r="CE2" s="654"/>
      <c r="CF2" s="654"/>
    </row>
    <row r="3" spans="1:84" ht="23.45" customHeight="1" thickBot="1">
      <c r="A3" s="580" t="s">
        <v>146</v>
      </c>
      <c r="B3" s="581"/>
      <c r="C3" s="582" t="s">
        <v>147</v>
      </c>
      <c r="D3" s="581"/>
      <c r="E3" s="582" t="s">
        <v>6</v>
      </c>
      <c r="F3" s="581"/>
      <c r="G3" s="664" t="s">
        <v>148</v>
      </c>
      <c r="H3" s="664"/>
      <c r="I3" s="664"/>
      <c r="J3" s="664"/>
      <c r="K3" s="664" t="s">
        <v>180</v>
      </c>
      <c r="L3" s="664"/>
      <c r="M3" s="664"/>
      <c r="N3" s="582" t="s">
        <v>181</v>
      </c>
      <c r="O3" s="583"/>
      <c r="P3" s="583"/>
      <c r="Q3" s="583"/>
      <c r="R3" s="583"/>
      <c r="S3" s="581"/>
      <c r="T3" s="582" t="s">
        <v>2</v>
      </c>
      <c r="U3" s="583"/>
      <c r="V3" s="581"/>
      <c r="W3" s="582" t="s">
        <v>383</v>
      </c>
      <c r="X3" s="583"/>
      <c r="Y3" s="581"/>
      <c r="Z3" s="582" t="s">
        <v>182</v>
      </c>
      <c r="AA3" s="581"/>
      <c r="AB3" s="582" t="s">
        <v>151</v>
      </c>
      <c r="AC3" s="583"/>
      <c r="AD3" s="583"/>
      <c r="AE3" s="583"/>
      <c r="AF3" s="583"/>
      <c r="AG3" s="583"/>
      <c r="AH3" s="583"/>
      <c r="AI3" s="583"/>
      <c r="AJ3" s="583"/>
      <c r="AK3" s="583"/>
      <c r="AL3" s="583"/>
      <c r="AM3" s="583"/>
      <c r="AN3" s="583"/>
      <c r="AO3" s="583"/>
      <c r="AP3" s="583"/>
      <c r="AQ3" s="584"/>
      <c r="AT3" s="114"/>
      <c r="AX3" s="328" t="s">
        <v>296</v>
      </c>
      <c r="AY3" s="328"/>
      <c r="AZ3" s="328" t="s">
        <v>400</v>
      </c>
      <c r="BA3" s="328" t="s">
        <v>404</v>
      </c>
      <c r="BB3" s="328" t="s">
        <v>402</v>
      </c>
      <c r="BC3" s="328" t="s">
        <v>401</v>
      </c>
      <c r="BD3" s="328"/>
    </row>
    <row r="4" spans="1:84" ht="23.45" customHeight="1">
      <c r="A4" s="667">
        <v>1</v>
      </c>
      <c r="B4" s="661"/>
      <c r="C4" s="120" t="str">
        <f>IF(足元帳!AY2=1,"N",IF(足元帳!AY2=2,"R",""))</f>
        <v/>
      </c>
      <c r="D4" s="241" t="str">
        <f>IF(足元帳!AZ2&gt;0,VLOOKUP(足元帳!AZ2,管理シート!$R$4:$V$12,5,FALSE),"")</f>
        <v/>
      </c>
      <c r="E4" s="661" t="str">
        <f>IF(足元帳!J2="","",足元帳!J2)</f>
        <v/>
      </c>
      <c r="F4" s="661"/>
      <c r="G4" s="661" t="str">
        <f>IF(足元帳!K2="","",足元帳!K2)</f>
        <v/>
      </c>
      <c r="H4" s="661"/>
      <c r="I4" s="661"/>
      <c r="J4" s="661"/>
      <c r="K4" s="661" t="str">
        <f>IF(足元帳!BB2&gt;0,VLOOKUP(足元帳!BB2,管理シート!$R$4:$W$12,4,FALSE),"")</f>
        <v/>
      </c>
      <c r="L4" s="661"/>
      <c r="M4" s="661"/>
      <c r="N4" s="661" t="str">
        <f>IF(足元帳!U2="","",足元帳!U2)&amp;IF(足元帳!V2="","",足元帳!V2)&amp;IF(足元帳!W2="","",足元帳!W2)&amp;IF(足元帳!X2="","",足元帳!X2)&amp;IF(足元帳!Y2="","",足元帳!Y2)&amp;IF(足元帳!Z2="","",足元帳!Z2)</f>
        <v/>
      </c>
      <c r="O4" s="661"/>
      <c r="P4" s="661"/>
      <c r="Q4" s="661"/>
      <c r="R4" s="661"/>
      <c r="S4" s="661"/>
      <c r="T4" s="661" t="str">
        <f ca="1">IFERROR(INDEX(管理シート!$CB$3:$CK$24,MATCH(W4,管理シート!$CB$3:$CB$24,0),MATCH(K4,管理シート!$CB$3:$CM$3,0)),"")</f>
        <v/>
      </c>
      <c r="U4" s="661"/>
      <c r="V4" s="661"/>
      <c r="W4" s="635" t="str">
        <f ca="1">IF(ISERROR(MATCH("●",足元帳!AA2:AJ2,0)),"",INDIRECT("足元帳!R1C"&amp;MATCH("●",足元帳!AA2:AJ2,0)+26,FALSE))</f>
        <v/>
      </c>
      <c r="X4" s="636"/>
      <c r="Y4" s="649"/>
      <c r="Z4" s="661" t="str">
        <f>IF(足元帳!AL2="","","○")</f>
        <v/>
      </c>
      <c r="AA4" s="661"/>
      <c r="AB4" s="635" t="str">
        <f>IF(足元帳!AM2="","","現金カード払い"&amp;足元帳!AM2&amp;"  ")&amp;IF(足元帳!AP2="","",足元帳!AP2&amp;"　")&amp;IF(足元帳!AQ2="","",足元帳!AQ2&amp;"　")&amp;IF(足元帳!AR2="","",足元帳!AR2&amp;"　")&amp;IF(足元帳!AS2="","",足元帳!AS2&amp;"　")&amp;IF(足元帳!AT2="","",足元帳!AT2&amp;"　")&amp;IF(足元帳!AN2="","","LOVE×2")&amp;IF(足元帳!AJ2="","","MM"&amp;足元帳!AJ2)&amp;IF(足元帳!AW2="","",W4&amp;"利用"&amp;足元帳!AW2)&amp;IF(足元帳!AX2="",""," 優待券配布"&amp;足元帳!AX2)&amp;IF(足元帳!AU2="","","メルマガ")</f>
        <v/>
      </c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62"/>
      <c r="AR4" s="113" t="str">
        <f>IF(足元帳!A2="","",足元帳!A2)</f>
        <v/>
      </c>
      <c r="AS4" s="123">
        <f>COUNTIF(AR$4:AR4,AR4)</f>
        <v>1</v>
      </c>
      <c r="AX4" s="328" t="s">
        <v>254</v>
      </c>
      <c r="AY4" s="328"/>
      <c r="AZ4" s="328" t="s">
        <v>406</v>
      </c>
      <c r="BA4" s="328" t="s">
        <v>407</v>
      </c>
      <c r="BB4" s="328" t="s">
        <v>408</v>
      </c>
      <c r="BC4" s="328" t="s">
        <v>410</v>
      </c>
      <c r="BD4" s="328"/>
    </row>
    <row r="5" spans="1:84" ht="23.45" customHeight="1">
      <c r="A5" s="586">
        <f>A4+1</f>
        <v>2</v>
      </c>
      <c r="B5" s="566"/>
      <c r="C5" s="73" t="str">
        <f>IF(足元帳!AY3=1,"N",IF(足元帳!AY3=2,"R",""))</f>
        <v/>
      </c>
      <c r="D5" s="74" t="str">
        <f>IF(足元帳!AZ3&gt;0,VLOOKUP(足元帳!AZ3,管理シート!$R$4:$V$12,5,FALSE),"")</f>
        <v/>
      </c>
      <c r="E5" s="587" t="str">
        <f>IF(足元帳!J3="","",足元帳!J3)</f>
        <v/>
      </c>
      <c r="F5" s="566"/>
      <c r="G5" s="587" t="str">
        <f>IF(足元帳!K3="","",足元帳!K3)</f>
        <v/>
      </c>
      <c r="H5" s="565"/>
      <c r="I5" s="565"/>
      <c r="J5" s="566"/>
      <c r="K5" s="587" t="str">
        <f>IF(足元帳!BB3&gt;0,VLOOKUP(足元帳!BB3,管理シート!$R$4:$W$12,4,FALSE),"")</f>
        <v/>
      </c>
      <c r="L5" s="565"/>
      <c r="M5" s="566"/>
      <c r="N5" s="587" t="str">
        <f>IF(足元帳!U3="","",足元帳!U3)&amp;IF(足元帳!V3="","",足元帳!V3)&amp;IF(足元帳!W3="","",足元帳!W3)&amp;IF(足元帳!X3="","",足元帳!X3)&amp;IF(足元帳!Y3="","",足元帳!Y3)&amp;IF(足元帳!Z3="","",足元帳!Z3)</f>
        <v/>
      </c>
      <c r="O5" s="565"/>
      <c r="P5" s="565"/>
      <c r="Q5" s="565"/>
      <c r="R5" s="565"/>
      <c r="S5" s="566"/>
      <c r="T5" s="661" t="str">
        <f ca="1">IFERROR(INDEX(管理シート!$CB$3:$CK$24,MATCH(W5,管理シート!$CB$3:$CB$24,0),MATCH(K5,管理シート!$CB$3:$CM$3,0)),"")</f>
        <v/>
      </c>
      <c r="U5" s="661"/>
      <c r="V5" s="661"/>
      <c r="W5" s="587" t="str">
        <f ca="1">IF(ISERROR(MATCH("●",足元帳!AA3:AJ3,0)),"",INDIRECT("足元帳!R1C"&amp;MATCH("●",足元帳!AA3:AJ3,0)+26,FALSE))</f>
        <v/>
      </c>
      <c r="X5" s="565"/>
      <c r="Y5" s="566"/>
      <c r="Z5" s="587" t="str">
        <f>IF(足元帳!AL3="","","○")</f>
        <v/>
      </c>
      <c r="AA5" s="566"/>
      <c r="AB5" s="587" t="str">
        <f>IF(足元帳!AM3="","","現金カード払い"&amp;足元帳!AM3&amp;"  ")&amp;IF(足元帳!AP3="","",足元帳!AP3&amp;"　")&amp;IF(足元帳!AQ3="","",足元帳!AQ3&amp;"　")&amp;IF(足元帳!AR3="","",足元帳!AR3&amp;"　")&amp;IF(足元帳!AS3="","",足元帳!AS3&amp;"　")&amp;IF(足元帳!AT3="","",足元帳!AT3&amp;"　")&amp;IF(足元帳!AN3="","","LOVE×2")&amp;IF(足元帳!AJ3="","","MM"&amp;足元帳!AJ3)&amp;IF(足元帳!AW3="","",W5&amp;"利用"&amp;足元帳!AW3)&amp;IF(足元帳!AX3="",""," 優待券配布"&amp;足元帳!AX3)&amp;IF(足元帳!AU3="","","メルマガ")</f>
        <v/>
      </c>
      <c r="AC5" s="565"/>
      <c r="AD5" s="565"/>
      <c r="AE5" s="565"/>
      <c r="AF5" s="565"/>
      <c r="AG5" s="565"/>
      <c r="AH5" s="565"/>
      <c r="AI5" s="565"/>
      <c r="AJ5" s="565"/>
      <c r="AK5" s="565"/>
      <c r="AL5" s="565"/>
      <c r="AM5" s="565"/>
      <c r="AN5" s="565"/>
      <c r="AO5" s="565"/>
      <c r="AP5" s="565"/>
      <c r="AQ5" s="588"/>
      <c r="AR5" s="113" t="str">
        <f>IF(足元帳!A3="","",足元帳!A3)</f>
        <v/>
      </c>
      <c r="AS5" s="123">
        <f>COUNTIF(AR$4:AR5,AR5)</f>
        <v>2</v>
      </c>
      <c r="AX5" s="328" t="s">
        <v>391</v>
      </c>
      <c r="AY5" s="328"/>
      <c r="AZ5" s="328" t="s">
        <v>405</v>
      </c>
      <c r="BA5" s="328" t="s">
        <v>403</v>
      </c>
      <c r="BB5" s="328" t="s">
        <v>399</v>
      </c>
      <c r="BC5" s="328" t="s">
        <v>409</v>
      </c>
      <c r="BD5" s="328"/>
    </row>
    <row r="6" spans="1:84" ht="23.45" customHeight="1">
      <c r="A6" s="586">
        <f t="shared" ref="A6:A43" si="0">A5+1</f>
        <v>3</v>
      </c>
      <c r="B6" s="566"/>
      <c r="C6" s="73" t="str">
        <f>IF(足元帳!AY4=1,"N",IF(足元帳!AY4=2,"R",""))</f>
        <v/>
      </c>
      <c r="D6" s="74" t="str">
        <f>IF(足元帳!AZ4&gt;0,VLOOKUP(足元帳!AZ4,管理シート!$R$4:$V$12,5,FALSE),"")</f>
        <v/>
      </c>
      <c r="E6" s="587" t="str">
        <f>IF(足元帳!J4="","",足元帳!J4)</f>
        <v/>
      </c>
      <c r="F6" s="566"/>
      <c r="G6" s="587" t="str">
        <f>IF(足元帳!K4="","",足元帳!K4)</f>
        <v/>
      </c>
      <c r="H6" s="565"/>
      <c r="I6" s="565"/>
      <c r="J6" s="566"/>
      <c r="K6" s="587" t="str">
        <f>IF(足元帳!BB4&gt;0,VLOOKUP(足元帳!BB4,管理シート!$R$4:$W$12,4,FALSE),"")</f>
        <v/>
      </c>
      <c r="L6" s="565"/>
      <c r="M6" s="566"/>
      <c r="N6" s="587" t="str">
        <f>IF(足元帳!U4="","",足元帳!U4)&amp;IF(足元帳!V4="","",足元帳!V4)&amp;IF(足元帳!W4="","",足元帳!W4)&amp;IF(足元帳!X4="","",足元帳!X4)&amp;IF(足元帳!Y4="","",足元帳!Y4)&amp;IF(足元帳!Z4="","",足元帳!Z4)</f>
        <v/>
      </c>
      <c r="O6" s="565"/>
      <c r="P6" s="565"/>
      <c r="Q6" s="565"/>
      <c r="R6" s="565"/>
      <c r="S6" s="566"/>
      <c r="T6" s="661" t="str">
        <f ca="1">IFERROR(INDEX(管理シート!$CB$3:$CK$24,MATCH(W6,管理シート!$CB$3:$CB$24,0),MATCH(K6,管理シート!$CB$3:$CM$3,0)),"")</f>
        <v/>
      </c>
      <c r="U6" s="661"/>
      <c r="V6" s="661"/>
      <c r="W6" s="587" t="str">
        <f ca="1">IF(ISERROR(MATCH("●",足元帳!AA4:AJ4,0)),"",INDIRECT("足元帳!R1C"&amp;MATCH("●",足元帳!AA4:AJ4,0)+26,FALSE))</f>
        <v/>
      </c>
      <c r="X6" s="565"/>
      <c r="Y6" s="566"/>
      <c r="Z6" s="587" t="str">
        <f>IF(足元帳!AL4="","","○")</f>
        <v/>
      </c>
      <c r="AA6" s="566"/>
      <c r="AB6" s="587" t="str">
        <f>IF(足元帳!AM4="","","現金カード払い"&amp;足元帳!AM4&amp;"  ")&amp;IF(足元帳!AP4="","",足元帳!AP4&amp;"　")&amp;IF(足元帳!AQ4="","",足元帳!AQ4&amp;"　")&amp;IF(足元帳!AR4="","",足元帳!AR4&amp;"　")&amp;IF(足元帳!AS4="","",足元帳!AS4&amp;"　")&amp;IF(足元帳!AT4="","",足元帳!AT4&amp;"　")&amp;IF(足元帳!AN4="","","LOVE×2")&amp;IF(足元帳!AJ4="","","MM"&amp;足元帳!AJ4)&amp;IF(足元帳!AW4="","",W6&amp;"利用"&amp;足元帳!AW4)&amp;IF(足元帳!AX4="",""," 優待券配布"&amp;足元帳!AX4)&amp;IF(足元帳!AU4="","","メルマガ")</f>
        <v/>
      </c>
      <c r="AC6" s="565"/>
      <c r="AD6" s="565"/>
      <c r="AE6" s="565"/>
      <c r="AF6" s="565"/>
      <c r="AG6" s="565"/>
      <c r="AH6" s="565"/>
      <c r="AI6" s="565"/>
      <c r="AJ6" s="565"/>
      <c r="AK6" s="565"/>
      <c r="AL6" s="565"/>
      <c r="AM6" s="565"/>
      <c r="AN6" s="565"/>
      <c r="AO6" s="565"/>
      <c r="AP6" s="565"/>
      <c r="AQ6" s="588"/>
      <c r="AR6" s="113" t="str">
        <f>IF(足元帳!A4="","",足元帳!A4)</f>
        <v/>
      </c>
      <c r="AS6" s="123">
        <f>COUNTIF(AR$4:AR6,AR6)</f>
        <v>3</v>
      </c>
      <c r="AX6" s="328" t="s">
        <v>326</v>
      </c>
      <c r="AY6" s="328" t="s">
        <v>411</v>
      </c>
      <c r="AZ6" s="328" t="s">
        <v>412</v>
      </c>
      <c r="BA6" s="328" t="s">
        <v>406</v>
      </c>
      <c r="BB6" s="328" t="s">
        <v>407</v>
      </c>
      <c r="BC6" s="328" t="s">
        <v>408</v>
      </c>
      <c r="BD6" s="328"/>
      <c r="BH6" s="113" t="e">
        <f ca="1">MATCH(W4,管理シート!CB4:CB24,0)</f>
        <v>#N/A</v>
      </c>
    </row>
    <row r="7" spans="1:84" ht="23.45" customHeight="1">
      <c r="A7" s="586">
        <f t="shared" si="0"/>
        <v>4</v>
      </c>
      <c r="B7" s="566"/>
      <c r="C7" s="73" t="str">
        <f>IF(足元帳!AY5=1,"N",IF(足元帳!AY5=2,"R",""))</f>
        <v/>
      </c>
      <c r="D7" s="74" t="str">
        <f>IF(足元帳!AZ5&gt;0,VLOOKUP(足元帳!AZ5,管理シート!$R$4:$V$12,5,FALSE),"")</f>
        <v/>
      </c>
      <c r="E7" s="587" t="str">
        <f>IF(足元帳!J5="","",足元帳!J5)</f>
        <v/>
      </c>
      <c r="F7" s="566"/>
      <c r="G7" s="587" t="str">
        <f>IF(足元帳!K5="","",足元帳!K5)</f>
        <v/>
      </c>
      <c r="H7" s="565"/>
      <c r="I7" s="565"/>
      <c r="J7" s="566"/>
      <c r="K7" s="587" t="str">
        <f>IF(足元帳!BB5&gt;0,VLOOKUP(足元帳!BB5,管理シート!$R$4:$W$12,4,FALSE),"")</f>
        <v/>
      </c>
      <c r="L7" s="565"/>
      <c r="M7" s="566"/>
      <c r="N7" s="587" t="str">
        <f>IF(足元帳!U5="","",足元帳!U5)&amp;IF(足元帳!V5="","",足元帳!V5)&amp;IF(足元帳!W5="","",足元帳!W5)&amp;IF(足元帳!X5="","",足元帳!X5)&amp;IF(足元帳!Y5="","",足元帳!Y5)&amp;IF(足元帳!Z5="","",足元帳!Z5)</f>
        <v/>
      </c>
      <c r="O7" s="565"/>
      <c r="P7" s="565"/>
      <c r="Q7" s="565"/>
      <c r="R7" s="565"/>
      <c r="S7" s="566"/>
      <c r="T7" s="661" t="str">
        <f ca="1">IFERROR(INDEX(管理シート!$CB$3:$CK$24,MATCH(W7,管理シート!$CB$3:$CB$24,0),MATCH(K7,管理シート!$CB$3:$CM$3,0)),"")</f>
        <v/>
      </c>
      <c r="U7" s="661"/>
      <c r="V7" s="661"/>
      <c r="W7" s="587" t="str">
        <f ca="1">IF(ISERROR(MATCH("●",足元帳!AA5:AJ5,0)),"",INDIRECT("足元帳!R1C"&amp;MATCH("●",足元帳!AA5:AJ5,0)+26,FALSE))</f>
        <v/>
      </c>
      <c r="X7" s="565"/>
      <c r="Y7" s="566"/>
      <c r="Z7" s="587" t="str">
        <f>IF(足元帳!AL5="","","○")</f>
        <v/>
      </c>
      <c r="AA7" s="566"/>
      <c r="AB7" s="587" t="str">
        <f>IF(足元帳!AM5="","","現金カード払い"&amp;足元帳!AM5&amp;"  ")&amp;IF(足元帳!AP5="","",足元帳!AP5&amp;"　")&amp;IF(足元帳!AQ5="","",足元帳!AQ5&amp;"　")&amp;IF(足元帳!AR5="","",足元帳!AR5&amp;"　")&amp;IF(足元帳!AS5="","",足元帳!AS5&amp;"　")&amp;IF(足元帳!AT5="","",足元帳!AT5&amp;"　")&amp;IF(足元帳!AN5="","","LOVE×2")&amp;IF(足元帳!AJ5="","","MM"&amp;足元帳!AJ5)&amp;IF(足元帳!AW5="","",W7&amp;"利用"&amp;足元帳!AW5)&amp;IF(足元帳!AX5="",""," 優待券配布"&amp;足元帳!AX5)&amp;IF(足元帳!AU5="","","メルマガ")</f>
        <v/>
      </c>
      <c r="AC7" s="565"/>
      <c r="AD7" s="565"/>
      <c r="AE7" s="565"/>
      <c r="AF7" s="565"/>
      <c r="AG7" s="565"/>
      <c r="AH7" s="565"/>
      <c r="AI7" s="565"/>
      <c r="AJ7" s="565"/>
      <c r="AK7" s="565"/>
      <c r="AL7" s="565"/>
      <c r="AM7" s="565"/>
      <c r="AN7" s="565"/>
      <c r="AO7" s="565"/>
      <c r="AP7" s="565"/>
      <c r="AQ7" s="588"/>
      <c r="AR7" s="113" t="str">
        <f>IF(足元帳!A5="","",足元帳!A5)</f>
        <v/>
      </c>
      <c r="AS7" s="123">
        <f>COUNTIF(AR$4:AR7,AR7)</f>
        <v>4</v>
      </c>
      <c r="AX7" s="328" t="s">
        <v>389</v>
      </c>
      <c r="AY7" s="328" t="s">
        <v>327</v>
      </c>
      <c r="AZ7" s="328" t="s">
        <v>327</v>
      </c>
      <c r="BA7" s="328" t="s">
        <v>327</v>
      </c>
      <c r="BB7" s="328" t="s">
        <v>327</v>
      </c>
      <c r="BC7" s="328" t="s">
        <v>327</v>
      </c>
      <c r="BD7" s="328"/>
    </row>
    <row r="8" spans="1:84" ht="23.45" customHeight="1">
      <c r="A8" s="586">
        <f t="shared" si="0"/>
        <v>5</v>
      </c>
      <c r="B8" s="566"/>
      <c r="C8" s="73" t="str">
        <f>IF(足元帳!AY6=1,"N",IF(足元帳!AY6=2,"R",""))</f>
        <v/>
      </c>
      <c r="D8" s="74" t="str">
        <f>IF(足元帳!AZ6&gt;0,VLOOKUP(足元帳!AZ6,管理シート!$R$4:$V$12,5,FALSE),"")</f>
        <v/>
      </c>
      <c r="E8" s="587" t="str">
        <f>IF(足元帳!J6="","",足元帳!J6)</f>
        <v/>
      </c>
      <c r="F8" s="566"/>
      <c r="G8" s="587" t="str">
        <f>IF(足元帳!K6="","",足元帳!K6)</f>
        <v/>
      </c>
      <c r="H8" s="565"/>
      <c r="I8" s="565"/>
      <c r="J8" s="566"/>
      <c r="K8" s="587" t="str">
        <f>IF(足元帳!BB6&gt;0,VLOOKUP(足元帳!BB6,管理シート!$R$4:$W$12,4,FALSE),"")</f>
        <v/>
      </c>
      <c r="L8" s="565"/>
      <c r="M8" s="566"/>
      <c r="N8" s="587" t="str">
        <f>IF(足元帳!U6="","",足元帳!U6)&amp;IF(足元帳!V6="","",足元帳!V6)&amp;IF(足元帳!W6="","",足元帳!W6)&amp;IF(足元帳!X6="","",足元帳!X6)&amp;IF(足元帳!Y6="","",足元帳!Y6)&amp;IF(足元帳!Z6="","",足元帳!Z6)</f>
        <v/>
      </c>
      <c r="O8" s="565"/>
      <c r="P8" s="565"/>
      <c r="Q8" s="565"/>
      <c r="R8" s="565"/>
      <c r="S8" s="566"/>
      <c r="T8" s="661" t="str">
        <f ca="1">IFERROR(INDEX(管理シート!$CB$3:$CK$24,MATCH(W8,管理シート!$CB$3:$CB$24,0),MATCH(K8,管理シート!$CB$3:$CM$3,0)),"")</f>
        <v/>
      </c>
      <c r="U8" s="661"/>
      <c r="V8" s="661"/>
      <c r="W8" s="587" t="str">
        <f ca="1">IF(ISERROR(MATCH("●",足元帳!AA6:AJ6,0)),"",INDIRECT("足元帳!R1C"&amp;MATCH("●",足元帳!AA6:AJ6,0)+26,FALSE))</f>
        <v/>
      </c>
      <c r="X8" s="565"/>
      <c r="Y8" s="566"/>
      <c r="Z8" s="587" t="str">
        <f>IF(足元帳!AL6="","","○")</f>
        <v/>
      </c>
      <c r="AA8" s="566"/>
      <c r="AB8" s="587" t="str">
        <f>IF(足元帳!AM6="","","現金カード払い"&amp;足元帳!AM6&amp;"  ")&amp;IF(足元帳!AP6="","",足元帳!AP6&amp;"　")&amp;IF(足元帳!AQ6="","",足元帳!AQ6&amp;"　")&amp;IF(足元帳!AR6="","",足元帳!AR6&amp;"　")&amp;IF(足元帳!AS6="","",足元帳!AS6&amp;"　")&amp;IF(足元帳!AT6="","",足元帳!AT6&amp;"　")&amp;IF(足元帳!AN6="","","LOVE×2")&amp;IF(足元帳!AJ6="","","MM"&amp;足元帳!AJ6)&amp;IF(足元帳!AW6="","",W8&amp;"利用"&amp;足元帳!AW6)&amp;IF(足元帳!AX6="",""," 優待券配布"&amp;足元帳!AX6)&amp;IF(足元帳!AU6="","","メルマガ")</f>
        <v/>
      </c>
      <c r="AC8" s="565"/>
      <c r="AD8" s="565"/>
      <c r="AE8" s="565"/>
      <c r="AF8" s="565"/>
      <c r="AG8" s="565"/>
      <c r="AH8" s="565"/>
      <c r="AI8" s="565"/>
      <c r="AJ8" s="565"/>
      <c r="AK8" s="565"/>
      <c r="AL8" s="565"/>
      <c r="AM8" s="565"/>
      <c r="AN8" s="565"/>
      <c r="AO8" s="565"/>
      <c r="AP8" s="565"/>
      <c r="AQ8" s="588"/>
      <c r="AR8" s="113" t="str">
        <f>IF(足元帳!A6="","",足元帳!A6)</f>
        <v/>
      </c>
      <c r="AS8" s="123">
        <f>COUNTIF(AR$4:AR8,AR8)</f>
        <v>5</v>
      </c>
      <c r="AX8" s="328" t="s">
        <v>327</v>
      </c>
      <c r="AY8" s="328" t="s">
        <v>327</v>
      </c>
      <c r="AZ8" s="328" t="s">
        <v>327</v>
      </c>
      <c r="BA8" s="328" t="s">
        <v>327</v>
      </c>
      <c r="BB8" s="328" t="s">
        <v>327</v>
      </c>
      <c r="BC8" s="328" t="s">
        <v>327</v>
      </c>
      <c r="BD8" s="328"/>
    </row>
    <row r="9" spans="1:84" ht="23.45" customHeight="1">
      <c r="A9" s="586">
        <f t="shared" si="0"/>
        <v>6</v>
      </c>
      <c r="B9" s="566"/>
      <c r="C9" s="73" t="str">
        <f>IF(足元帳!AY7=1,"N",IF(足元帳!AY7=2,"R",""))</f>
        <v/>
      </c>
      <c r="D9" s="74" t="str">
        <f>IF(足元帳!AZ7&gt;0,VLOOKUP(足元帳!AZ7,管理シート!$R$4:$V$12,5,FALSE),"")</f>
        <v/>
      </c>
      <c r="E9" s="587" t="str">
        <f>IF(足元帳!J7="","",足元帳!J7)</f>
        <v/>
      </c>
      <c r="F9" s="566"/>
      <c r="G9" s="587" t="str">
        <f>IF(足元帳!K7="","",足元帳!K7)</f>
        <v/>
      </c>
      <c r="H9" s="565"/>
      <c r="I9" s="565"/>
      <c r="J9" s="566"/>
      <c r="K9" s="587" t="str">
        <f>IF(足元帳!BB7&gt;0,VLOOKUP(足元帳!BB7,管理シート!$R$4:$W$12,4,FALSE),"")</f>
        <v/>
      </c>
      <c r="L9" s="565"/>
      <c r="M9" s="566"/>
      <c r="N9" s="587" t="str">
        <f>IF(足元帳!U7="","",足元帳!U7)&amp;IF(足元帳!V7="","",足元帳!V7)&amp;IF(足元帳!W7="","",足元帳!W7)&amp;IF(足元帳!X7="","",足元帳!X7)&amp;IF(足元帳!Y7="","",足元帳!Y7)&amp;IF(足元帳!Z7="","",足元帳!Z7)</f>
        <v/>
      </c>
      <c r="O9" s="565"/>
      <c r="P9" s="565"/>
      <c r="Q9" s="565"/>
      <c r="R9" s="565"/>
      <c r="S9" s="566"/>
      <c r="T9" s="661" t="str">
        <f ca="1">IFERROR(INDEX(管理シート!$CB$3:$CK$24,MATCH(W9,管理シート!$CB$3:$CB$24,0),MATCH(K9,管理シート!$CB$3:$CM$3,0)),"")</f>
        <v/>
      </c>
      <c r="U9" s="661"/>
      <c r="V9" s="661"/>
      <c r="W9" s="587" t="str">
        <f ca="1">IF(ISERROR(MATCH("●",足元帳!AA7:AJ7,0)),"",INDIRECT("足元帳!R1C"&amp;MATCH("●",足元帳!AA7:AJ7,0)+26,FALSE))</f>
        <v/>
      </c>
      <c r="X9" s="565"/>
      <c r="Y9" s="566"/>
      <c r="Z9" s="587" t="str">
        <f>IF(足元帳!AL7="","","○")</f>
        <v/>
      </c>
      <c r="AA9" s="566"/>
      <c r="AB9" s="587" t="str">
        <f>IF(足元帳!AM7="","","現金カード払い"&amp;足元帳!AM7&amp;"  ")&amp;IF(足元帳!AP7="","",足元帳!AP7&amp;"　")&amp;IF(足元帳!AQ7="","",足元帳!AQ7&amp;"　")&amp;IF(足元帳!AR7="","",足元帳!AR7&amp;"　")&amp;IF(足元帳!AS7="","",足元帳!AS7&amp;"　")&amp;IF(足元帳!AT7="","",足元帳!AT7&amp;"　")&amp;IF(足元帳!AN7="","","LOVE×2")&amp;IF(足元帳!AJ7="","","MM"&amp;足元帳!AJ7)&amp;IF(足元帳!AW7="","",W9&amp;"利用"&amp;足元帳!AW7)&amp;IF(足元帳!AX7="",""," 優待券配布"&amp;足元帳!AX7)&amp;IF(足元帳!AU7="","","メルマガ")</f>
        <v/>
      </c>
      <c r="AC9" s="565"/>
      <c r="AD9" s="565"/>
      <c r="AE9" s="565"/>
      <c r="AF9" s="565"/>
      <c r="AG9" s="565"/>
      <c r="AH9" s="565"/>
      <c r="AI9" s="565"/>
      <c r="AJ9" s="565"/>
      <c r="AK9" s="565"/>
      <c r="AL9" s="565"/>
      <c r="AM9" s="565"/>
      <c r="AN9" s="565"/>
      <c r="AO9" s="565"/>
      <c r="AP9" s="565"/>
      <c r="AQ9" s="588"/>
      <c r="AR9" s="113" t="str">
        <f>IF(足元帳!A7="","",足元帳!A7)</f>
        <v/>
      </c>
      <c r="AS9" s="123">
        <f>COUNTIF(AR$4:AR9,AR9)</f>
        <v>6</v>
      </c>
      <c r="AX9" s="328" t="s">
        <v>396</v>
      </c>
      <c r="AY9" s="328"/>
      <c r="AZ9" s="328" t="s">
        <v>413</v>
      </c>
      <c r="BA9" s="328" t="s">
        <v>411</v>
      </c>
      <c r="BB9" s="328" t="s">
        <v>412</v>
      </c>
      <c r="BC9" s="328" t="s">
        <v>412</v>
      </c>
      <c r="BD9" s="328"/>
    </row>
    <row r="10" spans="1:84" ht="23.45" customHeight="1">
      <c r="A10" s="586">
        <f t="shared" si="0"/>
        <v>7</v>
      </c>
      <c r="B10" s="566"/>
      <c r="C10" s="73" t="str">
        <f>IF(足元帳!AY8=1,"N",IF(足元帳!AY8=2,"R",""))</f>
        <v/>
      </c>
      <c r="D10" s="74" t="str">
        <f>IF(足元帳!AZ8&gt;0,VLOOKUP(足元帳!AZ8,管理シート!$R$4:$V$12,5,FALSE),"")</f>
        <v/>
      </c>
      <c r="E10" s="587" t="str">
        <f>IF(足元帳!J8="","",足元帳!J8)</f>
        <v/>
      </c>
      <c r="F10" s="566"/>
      <c r="G10" s="587" t="str">
        <f>IF(足元帳!K8="","",足元帳!K8)</f>
        <v/>
      </c>
      <c r="H10" s="565"/>
      <c r="I10" s="565"/>
      <c r="J10" s="566"/>
      <c r="K10" s="587" t="str">
        <f>IF(足元帳!BB8&gt;0,VLOOKUP(足元帳!BB8,管理シート!$R$4:$W$12,4,FALSE),"")</f>
        <v/>
      </c>
      <c r="L10" s="565"/>
      <c r="M10" s="566"/>
      <c r="N10" s="587" t="str">
        <f>IF(足元帳!U8="","",足元帳!U8)&amp;IF(足元帳!V8="","",足元帳!V8)&amp;IF(足元帳!W8="","",足元帳!W8)&amp;IF(足元帳!X8="","",足元帳!X8)&amp;IF(足元帳!Y8="","",足元帳!Y8)&amp;IF(足元帳!Z8="","",足元帳!Z8)</f>
        <v/>
      </c>
      <c r="O10" s="565"/>
      <c r="P10" s="565"/>
      <c r="Q10" s="565"/>
      <c r="R10" s="565"/>
      <c r="S10" s="566"/>
      <c r="T10" s="661" t="str">
        <f ca="1">IFERROR(INDEX(管理シート!$CB$3:$CK$24,MATCH(W10,管理シート!$CB$3:$CB$24,0),MATCH(K10,管理シート!$CB$3:$CM$3,0)),"")</f>
        <v/>
      </c>
      <c r="U10" s="661"/>
      <c r="V10" s="661"/>
      <c r="W10" s="587" t="str">
        <f ca="1">IF(ISERROR(MATCH("●",足元帳!AA8:AJ8,0)),"",INDIRECT("足元帳!R1C"&amp;MATCH("●",足元帳!AA8:AJ8,0)+26,FALSE))</f>
        <v/>
      </c>
      <c r="X10" s="565"/>
      <c r="Y10" s="566"/>
      <c r="Z10" s="587" t="str">
        <f>IF(足元帳!AL8="","","○")</f>
        <v/>
      </c>
      <c r="AA10" s="566"/>
      <c r="AB10" s="587" t="str">
        <f>IF(足元帳!AM8="","","現金カード払い"&amp;足元帳!AM8&amp;"  ")&amp;IF(足元帳!AP8="","",足元帳!AP8&amp;"　")&amp;IF(足元帳!AQ8="","",足元帳!AQ8&amp;"　")&amp;IF(足元帳!AR8="","",足元帳!AR8&amp;"　")&amp;IF(足元帳!AS8="","",足元帳!AS8&amp;"　")&amp;IF(足元帳!AT8="","",足元帳!AT8&amp;"　")&amp;IF(足元帳!AN8="","","LOVE×2")&amp;IF(足元帳!AJ8="","","MM"&amp;足元帳!AJ8)&amp;IF(足元帳!AW8="","",W10&amp;"利用"&amp;足元帳!AW8)&amp;IF(足元帳!AX8="",""," 優待券配布"&amp;足元帳!AX8)&amp;IF(足元帳!AU8="","","メルマガ")</f>
        <v/>
      </c>
      <c r="AC10" s="565"/>
      <c r="AD10" s="565"/>
      <c r="AE10" s="565"/>
      <c r="AF10" s="565"/>
      <c r="AG10" s="565"/>
      <c r="AH10" s="565"/>
      <c r="AI10" s="565"/>
      <c r="AJ10" s="565"/>
      <c r="AK10" s="565"/>
      <c r="AL10" s="565"/>
      <c r="AM10" s="565"/>
      <c r="AN10" s="565"/>
      <c r="AO10" s="565"/>
      <c r="AP10" s="565"/>
      <c r="AQ10" s="588"/>
      <c r="AR10" s="113" t="str">
        <f>IF(足元帳!A8="","",足元帳!A8)</f>
        <v/>
      </c>
      <c r="AS10" s="123">
        <f>COUNTIF(AR$4:AR10,AR10)</f>
        <v>7</v>
      </c>
      <c r="AX10" s="113" t="s">
        <v>397</v>
      </c>
      <c r="AZ10" s="113" t="s">
        <v>413</v>
      </c>
      <c r="BA10" s="113" t="s">
        <v>411</v>
      </c>
      <c r="BB10" s="113" t="s">
        <v>412</v>
      </c>
      <c r="BC10" s="113" t="s">
        <v>412</v>
      </c>
    </row>
    <row r="11" spans="1:84" ht="23.45" customHeight="1">
      <c r="A11" s="586">
        <f t="shared" si="0"/>
        <v>8</v>
      </c>
      <c r="B11" s="566"/>
      <c r="C11" s="73" t="str">
        <f>IF(足元帳!AY9=1,"N",IF(足元帳!AY9=2,"R",""))</f>
        <v/>
      </c>
      <c r="D11" s="74" t="str">
        <f>IF(足元帳!AZ9&gt;0,VLOOKUP(足元帳!AZ9,管理シート!$R$4:$V$12,5,FALSE),"")</f>
        <v/>
      </c>
      <c r="E11" s="587" t="str">
        <f>IF(足元帳!J9="","",足元帳!J9)</f>
        <v/>
      </c>
      <c r="F11" s="566"/>
      <c r="G11" s="587" t="str">
        <f>IF(足元帳!K9="","",足元帳!K9)</f>
        <v/>
      </c>
      <c r="H11" s="565"/>
      <c r="I11" s="565"/>
      <c r="J11" s="566"/>
      <c r="K11" s="587" t="str">
        <f>IF(足元帳!BB9&gt;0,VLOOKUP(足元帳!BB9,管理シート!$R$4:$W$12,4,FALSE),"")</f>
        <v/>
      </c>
      <c r="L11" s="565"/>
      <c r="M11" s="566"/>
      <c r="N11" s="587" t="str">
        <f>IF(足元帳!U9="","",足元帳!U9)&amp;IF(足元帳!V9="","",足元帳!V9)&amp;IF(足元帳!W9="","",足元帳!W9)&amp;IF(足元帳!X9="","",足元帳!X9)&amp;IF(足元帳!Y9="","",足元帳!Y9)&amp;IF(足元帳!Z9="","",足元帳!Z9)</f>
        <v/>
      </c>
      <c r="O11" s="565"/>
      <c r="P11" s="565"/>
      <c r="Q11" s="565"/>
      <c r="R11" s="565"/>
      <c r="S11" s="566"/>
      <c r="T11" s="661" t="str">
        <f ca="1">IFERROR(INDEX(管理シート!$CB$3:$CK$24,MATCH(W11,管理シート!$CB$3:$CB$24,0),MATCH(K11,管理シート!$CB$3:$CM$3,0)),"")</f>
        <v/>
      </c>
      <c r="U11" s="661"/>
      <c r="V11" s="661"/>
      <c r="W11" s="587" t="str">
        <f ca="1">IF(ISERROR(MATCH("●",足元帳!AA9:AJ9,0)),"",INDIRECT("足元帳!R1C"&amp;MATCH("●",足元帳!AA9:AJ9,0)+26,FALSE))</f>
        <v/>
      </c>
      <c r="X11" s="565"/>
      <c r="Y11" s="566"/>
      <c r="Z11" s="587" t="str">
        <f>IF(足元帳!AL9="","","○")</f>
        <v/>
      </c>
      <c r="AA11" s="566"/>
      <c r="AB11" s="587" t="str">
        <f>IF(足元帳!AM9="","","現金カード払い"&amp;足元帳!AM9&amp;"  ")&amp;IF(足元帳!AP9="","",足元帳!AP9&amp;"　")&amp;IF(足元帳!AQ9="","",足元帳!AQ9&amp;"　")&amp;IF(足元帳!AR9="","",足元帳!AR9&amp;"　")&amp;IF(足元帳!AS9="","",足元帳!AS9&amp;"　")&amp;IF(足元帳!AT9="","",足元帳!AT9&amp;"　")&amp;IF(足元帳!AN9="","","LOVE×2")&amp;IF(足元帳!AJ9="","","MM"&amp;足元帳!AJ9)&amp;IF(足元帳!AW9="","",W11&amp;"利用"&amp;足元帳!AW9)&amp;IF(足元帳!AX9="",""," 優待券配布"&amp;足元帳!AX9)&amp;IF(足元帳!AU9="","","メルマガ")</f>
        <v/>
      </c>
      <c r="AC11" s="565"/>
      <c r="AD11" s="565"/>
      <c r="AE11" s="565"/>
      <c r="AF11" s="565"/>
      <c r="AG11" s="565"/>
      <c r="AH11" s="565"/>
      <c r="AI11" s="565"/>
      <c r="AJ11" s="565"/>
      <c r="AK11" s="565"/>
      <c r="AL11" s="565"/>
      <c r="AM11" s="565"/>
      <c r="AN11" s="565"/>
      <c r="AO11" s="565"/>
      <c r="AP11" s="565"/>
      <c r="AQ11" s="588"/>
      <c r="AR11" s="113" t="str">
        <f>IF(足元帳!A9="","",足元帳!A9)</f>
        <v/>
      </c>
      <c r="AS11" s="123">
        <f>COUNTIF(AR$4:AR11,AR11)</f>
        <v>8</v>
      </c>
    </row>
    <row r="12" spans="1:84" ht="23.45" customHeight="1">
      <c r="A12" s="586">
        <f t="shared" si="0"/>
        <v>9</v>
      </c>
      <c r="B12" s="566"/>
      <c r="C12" s="73" t="str">
        <f>IF(足元帳!AY10=1,"N",IF(足元帳!AY10=2,"R",""))</f>
        <v/>
      </c>
      <c r="D12" s="74" t="str">
        <f>IF(足元帳!AZ10&gt;0,VLOOKUP(足元帳!AZ10,管理シート!$R$4:$V$12,5,FALSE),"")</f>
        <v/>
      </c>
      <c r="E12" s="587" t="str">
        <f>IF(足元帳!J10="","",足元帳!J10)</f>
        <v/>
      </c>
      <c r="F12" s="566"/>
      <c r="G12" s="587" t="str">
        <f>IF(足元帳!K10="","",足元帳!K10)</f>
        <v/>
      </c>
      <c r="H12" s="565"/>
      <c r="I12" s="565"/>
      <c r="J12" s="566"/>
      <c r="K12" s="587" t="str">
        <f>IF(足元帳!BB10&gt;0,VLOOKUP(足元帳!BB10,管理シート!$R$4:$W$12,4,FALSE),"")</f>
        <v/>
      </c>
      <c r="L12" s="565"/>
      <c r="M12" s="566"/>
      <c r="N12" s="587" t="str">
        <f>IF(足元帳!U10="","",足元帳!U10)&amp;IF(足元帳!V10="","",足元帳!V10)&amp;IF(足元帳!W10="","",足元帳!W10)&amp;IF(足元帳!X10="","",足元帳!X10)&amp;IF(足元帳!Y10="","",足元帳!Y10)&amp;IF(足元帳!Z10="","",足元帳!Z10)</f>
        <v/>
      </c>
      <c r="O12" s="565"/>
      <c r="P12" s="565"/>
      <c r="Q12" s="565"/>
      <c r="R12" s="565"/>
      <c r="S12" s="566"/>
      <c r="T12" s="661" t="str">
        <f ca="1">IFERROR(INDEX(管理シート!$CB$3:$CK$24,MATCH(W12,管理シート!$CB$3:$CB$24,0),MATCH(K12,管理シート!$CB$3:$CM$3,0)),"")</f>
        <v/>
      </c>
      <c r="U12" s="661"/>
      <c r="V12" s="661"/>
      <c r="W12" s="587" t="str">
        <f ca="1">IF(ISERROR(MATCH("●",足元帳!AA10:AJ10,0)),"",INDIRECT("足元帳!R1C"&amp;MATCH("●",足元帳!AA10:AJ10,0)+26,FALSE))</f>
        <v/>
      </c>
      <c r="X12" s="565"/>
      <c r="Y12" s="566"/>
      <c r="Z12" s="587" t="str">
        <f>IF(足元帳!AL10="","","○")</f>
        <v/>
      </c>
      <c r="AA12" s="566"/>
      <c r="AB12" s="587" t="str">
        <f>IF(足元帳!AM10="","","現金カード払い"&amp;足元帳!AM10&amp;"  ")&amp;IF(足元帳!AP10="","",足元帳!AP10&amp;"　")&amp;IF(足元帳!AQ10="","",足元帳!AQ10&amp;"　")&amp;IF(足元帳!AR10="","",足元帳!AR10&amp;"　")&amp;IF(足元帳!AS10="","",足元帳!AS10&amp;"　")&amp;IF(足元帳!AT10="","",足元帳!AT10&amp;"　")&amp;IF(足元帳!AN10="","","LOVE×2")&amp;IF(足元帳!AJ10="","","MM"&amp;足元帳!AJ10)&amp;IF(足元帳!AW10="","",W12&amp;"利用"&amp;足元帳!AW10)&amp;IF(足元帳!AX10="",""," 優待券配布"&amp;足元帳!AX10)&amp;IF(足元帳!AU10="","","メルマガ")</f>
        <v/>
      </c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5"/>
      <c r="AP12" s="565"/>
      <c r="AQ12" s="588"/>
      <c r="AR12" s="113" t="str">
        <f>IF(足元帳!A10="","",足元帳!A10)</f>
        <v/>
      </c>
      <c r="AS12" s="123">
        <f>COUNTIF(AR$4:AR12,AR12)</f>
        <v>9</v>
      </c>
    </row>
    <row r="13" spans="1:84" ht="23.45" customHeight="1">
      <c r="A13" s="586">
        <f t="shared" si="0"/>
        <v>10</v>
      </c>
      <c r="B13" s="566"/>
      <c r="C13" s="73" t="str">
        <f>IF(足元帳!AY11=1,"N",IF(足元帳!AY11=2,"R",""))</f>
        <v/>
      </c>
      <c r="D13" s="74" t="str">
        <f>IF(足元帳!AZ11&gt;0,VLOOKUP(足元帳!AZ11,管理シート!$R$4:$V$12,5,FALSE),"")</f>
        <v/>
      </c>
      <c r="E13" s="587" t="str">
        <f>IF(足元帳!J11="","",足元帳!J11)</f>
        <v/>
      </c>
      <c r="F13" s="566"/>
      <c r="G13" s="587" t="str">
        <f>IF(足元帳!K11="","",足元帳!K11)</f>
        <v/>
      </c>
      <c r="H13" s="565"/>
      <c r="I13" s="565"/>
      <c r="J13" s="566"/>
      <c r="K13" s="587" t="str">
        <f>IF(足元帳!BB11&gt;0,VLOOKUP(足元帳!BB11,管理シート!$R$4:$W$12,4,FALSE),"")</f>
        <v/>
      </c>
      <c r="L13" s="565"/>
      <c r="M13" s="566"/>
      <c r="N13" s="587" t="str">
        <f>IF(足元帳!U11="","",足元帳!U11)&amp;IF(足元帳!V11="","",足元帳!V11)&amp;IF(足元帳!W11="","",足元帳!W11)&amp;IF(足元帳!X11="","",足元帳!X11)&amp;IF(足元帳!Y11="","",足元帳!Y11)&amp;IF(足元帳!Z11="","",足元帳!Z11)</f>
        <v/>
      </c>
      <c r="O13" s="565"/>
      <c r="P13" s="565"/>
      <c r="Q13" s="565"/>
      <c r="R13" s="565"/>
      <c r="S13" s="566"/>
      <c r="T13" s="661" t="str">
        <f ca="1">IFERROR(INDEX(管理シート!$CB$3:$CK$24,MATCH(W13,管理シート!$CB$3:$CB$24,0),MATCH(K13,管理シート!$CB$3:$CM$3,0)),"")</f>
        <v/>
      </c>
      <c r="U13" s="661"/>
      <c r="V13" s="661"/>
      <c r="W13" s="587" t="str">
        <f ca="1">IF(ISERROR(MATCH("●",足元帳!AA11:AJ11,0)),"",INDIRECT("足元帳!R1C"&amp;MATCH("●",足元帳!AA11:AJ11,0)+26,FALSE))</f>
        <v/>
      </c>
      <c r="X13" s="565"/>
      <c r="Y13" s="566"/>
      <c r="Z13" s="587" t="str">
        <f>IF(足元帳!AL11="","","○")</f>
        <v/>
      </c>
      <c r="AA13" s="566"/>
      <c r="AB13" s="587" t="str">
        <f>IF(足元帳!AM11="","","現金カード払い"&amp;足元帳!AM11&amp;"  ")&amp;IF(足元帳!AP11="","",足元帳!AP11&amp;"　")&amp;IF(足元帳!AQ11="","",足元帳!AQ11&amp;"　")&amp;IF(足元帳!AR11="","",足元帳!AR11&amp;"　")&amp;IF(足元帳!AS11="","",足元帳!AS11&amp;"　")&amp;IF(足元帳!AT11="","",足元帳!AT11&amp;"　")&amp;IF(足元帳!AN11="","","LOVE×2")&amp;IF(足元帳!AJ11="","","MM"&amp;足元帳!AJ11)&amp;IF(足元帳!AW11="","",W13&amp;"利用"&amp;足元帳!AW11)&amp;IF(足元帳!AX11="",""," 優待券配布"&amp;足元帳!AX11)&amp;IF(足元帳!AU11="","","メルマガ")</f>
        <v/>
      </c>
      <c r="AC13" s="565"/>
      <c r="AD13" s="565"/>
      <c r="AE13" s="565"/>
      <c r="AF13" s="565"/>
      <c r="AG13" s="565"/>
      <c r="AH13" s="565"/>
      <c r="AI13" s="565"/>
      <c r="AJ13" s="565"/>
      <c r="AK13" s="565"/>
      <c r="AL13" s="565"/>
      <c r="AM13" s="565"/>
      <c r="AN13" s="565"/>
      <c r="AO13" s="565"/>
      <c r="AP13" s="565"/>
      <c r="AQ13" s="588"/>
      <c r="AR13" s="113" t="str">
        <f>IF(足元帳!A11="","",足元帳!A11)</f>
        <v/>
      </c>
      <c r="AS13" s="123">
        <f>COUNTIF(AR$4:AR13,AR13)</f>
        <v>10</v>
      </c>
    </row>
    <row r="14" spans="1:84" ht="23.45" customHeight="1">
      <c r="A14" s="586">
        <f t="shared" si="0"/>
        <v>11</v>
      </c>
      <c r="B14" s="566"/>
      <c r="C14" s="73" t="str">
        <f>IF(足元帳!AY12=1,"N",IF(足元帳!AY12=2,"R",""))</f>
        <v/>
      </c>
      <c r="D14" s="74" t="str">
        <f>IF(足元帳!AZ12&gt;0,VLOOKUP(足元帳!AZ12,管理シート!$R$4:$V$12,5,FALSE),"")</f>
        <v/>
      </c>
      <c r="E14" s="587" t="str">
        <f>IF(足元帳!J12="","",足元帳!J12)</f>
        <v/>
      </c>
      <c r="F14" s="566"/>
      <c r="G14" s="587" t="str">
        <f>IF(足元帳!K12="","",足元帳!K12)</f>
        <v/>
      </c>
      <c r="H14" s="565"/>
      <c r="I14" s="565"/>
      <c r="J14" s="566"/>
      <c r="K14" s="587" t="str">
        <f>IF(足元帳!BB12&gt;0,VLOOKUP(足元帳!BB12,管理シート!$R$4:$W$12,4,FALSE),"")</f>
        <v/>
      </c>
      <c r="L14" s="565"/>
      <c r="M14" s="566"/>
      <c r="N14" s="587" t="str">
        <f>IF(足元帳!U12="","",足元帳!U12)&amp;IF(足元帳!V12="","",足元帳!V12)&amp;IF(足元帳!W12="","",足元帳!W12)&amp;IF(足元帳!X12="","",足元帳!X12)&amp;IF(足元帳!Y12="","",足元帳!Y12)&amp;IF(足元帳!Z12="","",足元帳!Z12)</f>
        <v/>
      </c>
      <c r="O14" s="565"/>
      <c r="P14" s="565"/>
      <c r="Q14" s="565"/>
      <c r="R14" s="565"/>
      <c r="S14" s="566"/>
      <c r="T14" s="661" t="str">
        <f ca="1">IFERROR(INDEX(管理シート!$CB$3:$CK$24,MATCH(W14,管理シート!$CB$3:$CB$24,0),MATCH(K14,管理シート!$CB$3:$CM$3,0)),"")</f>
        <v/>
      </c>
      <c r="U14" s="661"/>
      <c r="V14" s="661"/>
      <c r="W14" s="587" t="str">
        <f ca="1">IF(ISERROR(MATCH("●",足元帳!AA12:AJ12,0)),"",INDIRECT("足元帳!R1C"&amp;MATCH("●",足元帳!AA12:AJ12,0)+26,FALSE))</f>
        <v/>
      </c>
      <c r="X14" s="565"/>
      <c r="Y14" s="566"/>
      <c r="Z14" s="587" t="str">
        <f>IF(足元帳!AL12="","","○")</f>
        <v/>
      </c>
      <c r="AA14" s="566"/>
      <c r="AB14" s="587" t="str">
        <f>IF(足元帳!AM12="","","現金カード払い"&amp;足元帳!AM12&amp;"  ")&amp;IF(足元帳!AP12="","",足元帳!AP12&amp;"　")&amp;IF(足元帳!AQ12="","",足元帳!AQ12&amp;"　")&amp;IF(足元帳!AR12="","",足元帳!AR12&amp;"　")&amp;IF(足元帳!AS12="","",足元帳!AS12&amp;"　")&amp;IF(足元帳!AT12="","",足元帳!AT12&amp;"　")&amp;IF(足元帳!AN12="","","LOVE×2")&amp;IF(足元帳!AJ12="","","MM"&amp;足元帳!AJ12)&amp;IF(足元帳!AW12="","",W14&amp;"利用"&amp;足元帳!AW12)&amp;IF(足元帳!AX12="",""," 優待券配布"&amp;足元帳!AX12)&amp;IF(足元帳!AU12="","","メルマガ")</f>
        <v/>
      </c>
      <c r="AC14" s="565"/>
      <c r="AD14" s="565"/>
      <c r="AE14" s="565"/>
      <c r="AF14" s="565"/>
      <c r="AG14" s="565"/>
      <c r="AH14" s="565"/>
      <c r="AI14" s="565"/>
      <c r="AJ14" s="565"/>
      <c r="AK14" s="565"/>
      <c r="AL14" s="565"/>
      <c r="AM14" s="565"/>
      <c r="AN14" s="565"/>
      <c r="AO14" s="565"/>
      <c r="AP14" s="565"/>
      <c r="AQ14" s="588"/>
      <c r="AR14" s="113" t="str">
        <f>IF(足元帳!A12="","",足元帳!A12)</f>
        <v/>
      </c>
      <c r="AS14" s="123">
        <f>COUNTIF(AR$4:AR14,AR14)</f>
        <v>11</v>
      </c>
    </row>
    <row r="15" spans="1:84" ht="23.45" customHeight="1">
      <c r="A15" s="586">
        <f t="shared" si="0"/>
        <v>12</v>
      </c>
      <c r="B15" s="566"/>
      <c r="C15" s="73" t="str">
        <f>IF(足元帳!AY13=1,"N",IF(足元帳!AY13=2,"R",""))</f>
        <v/>
      </c>
      <c r="D15" s="74" t="str">
        <f>IF(足元帳!AZ13&gt;0,VLOOKUP(足元帳!AZ13,管理シート!$R$4:$V$12,5,FALSE),"")</f>
        <v/>
      </c>
      <c r="E15" s="587" t="str">
        <f>IF(足元帳!J13="","",足元帳!J13)</f>
        <v/>
      </c>
      <c r="F15" s="566"/>
      <c r="G15" s="587" t="str">
        <f>IF(足元帳!K13="","",足元帳!K13)</f>
        <v/>
      </c>
      <c r="H15" s="565"/>
      <c r="I15" s="565"/>
      <c r="J15" s="566"/>
      <c r="K15" s="587" t="str">
        <f>IF(足元帳!BB13&gt;0,VLOOKUP(足元帳!BB13,管理シート!$R$4:$W$12,4,FALSE),"")</f>
        <v/>
      </c>
      <c r="L15" s="565"/>
      <c r="M15" s="566"/>
      <c r="N15" s="587" t="str">
        <f>IF(足元帳!U13="","",足元帳!U13)&amp;IF(足元帳!V13="","",足元帳!V13)&amp;IF(足元帳!W13="","",足元帳!W13)&amp;IF(足元帳!X13="","",足元帳!X13)&amp;IF(足元帳!Y13="","",足元帳!Y13)&amp;IF(足元帳!Z13="","",足元帳!Z13)</f>
        <v/>
      </c>
      <c r="O15" s="565"/>
      <c r="P15" s="565"/>
      <c r="Q15" s="565"/>
      <c r="R15" s="565"/>
      <c r="S15" s="566"/>
      <c r="T15" s="661" t="str">
        <f ca="1">IFERROR(INDEX(管理シート!$CB$3:$CK$24,MATCH(W15,管理シート!$CB$3:$CB$24,0),MATCH(K15,管理シート!$CB$3:$CM$3,0)),"")</f>
        <v/>
      </c>
      <c r="U15" s="661"/>
      <c r="V15" s="661"/>
      <c r="W15" s="587" t="str">
        <f ca="1">IF(ISERROR(MATCH("●",足元帳!AA13:AJ13,0)),"",INDIRECT("足元帳!R1C"&amp;MATCH("●",足元帳!AA13:AJ13,0)+26,FALSE))</f>
        <v/>
      </c>
      <c r="X15" s="565"/>
      <c r="Y15" s="566"/>
      <c r="Z15" s="587" t="str">
        <f>IF(足元帳!AL13="","","○")</f>
        <v/>
      </c>
      <c r="AA15" s="566"/>
      <c r="AB15" s="587" t="str">
        <f>IF(足元帳!AM13="","","現金カード払い"&amp;足元帳!AM13&amp;"  ")&amp;IF(足元帳!AP13="","",足元帳!AP13&amp;"　")&amp;IF(足元帳!AQ13="","",足元帳!AQ13&amp;"　")&amp;IF(足元帳!AR13="","",足元帳!AR13&amp;"　")&amp;IF(足元帳!AS13="","",足元帳!AS13&amp;"　")&amp;IF(足元帳!AT13="","",足元帳!AT13&amp;"　")&amp;IF(足元帳!AN13="","","LOVE×2")&amp;IF(足元帳!AJ13="","","MM"&amp;足元帳!AJ13)&amp;IF(足元帳!AW13="","",W15&amp;"利用"&amp;足元帳!AW13)&amp;IF(足元帳!AX13="",""," 優待券配布"&amp;足元帳!AX13)&amp;IF(足元帳!AU13="","","メルマガ")</f>
        <v/>
      </c>
      <c r="AC15" s="565"/>
      <c r="AD15" s="565"/>
      <c r="AE15" s="565"/>
      <c r="AF15" s="565"/>
      <c r="AG15" s="565"/>
      <c r="AH15" s="565"/>
      <c r="AI15" s="565"/>
      <c r="AJ15" s="565"/>
      <c r="AK15" s="565"/>
      <c r="AL15" s="565"/>
      <c r="AM15" s="565"/>
      <c r="AN15" s="565"/>
      <c r="AO15" s="565"/>
      <c r="AP15" s="565"/>
      <c r="AQ15" s="588"/>
      <c r="AR15" s="113" t="str">
        <f>IF(足元帳!A13="","",足元帳!A13)</f>
        <v/>
      </c>
      <c r="AS15" s="123">
        <f>COUNTIF(AR$4:AR15,AR15)</f>
        <v>12</v>
      </c>
    </row>
    <row r="16" spans="1:84" ht="23.45" customHeight="1">
      <c r="A16" s="586">
        <f t="shared" si="0"/>
        <v>13</v>
      </c>
      <c r="B16" s="566"/>
      <c r="C16" s="73" t="str">
        <f>IF(足元帳!AY14=1,"N",IF(足元帳!AY14=2,"R",""))</f>
        <v/>
      </c>
      <c r="D16" s="74" t="str">
        <f>IF(足元帳!AZ14&gt;0,VLOOKUP(足元帳!AZ14,管理シート!$R$4:$V$12,5,FALSE),"")</f>
        <v/>
      </c>
      <c r="E16" s="587" t="str">
        <f>IF(足元帳!J14="","",足元帳!J14)</f>
        <v/>
      </c>
      <c r="F16" s="566"/>
      <c r="G16" s="587" t="str">
        <f>IF(足元帳!K14="","",足元帳!K14)</f>
        <v/>
      </c>
      <c r="H16" s="565"/>
      <c r="I16" s="565"/>
      <c r="J16" s="566"/>
      <c r="K16" s="587" t="str">
        <f>IF(足元帳!BB14&gt;0,VLOOKUP(足元帳!BB14,管理シート!$R$4:$W$12,4,FALSE),"")</f>
        <v/>
      </c>
      <c r="L16" s="565"/>
      <c r="M16" s="566"/>
      <c r="N16" s="587" t="str">
        <f>IF(足元帳!U14="","",足元帳!U14)&amp;IF(足元帳!V14="","",足元帳!V14)&amp;IF(足元帳!W14="","",足元帳!W14)&amp;IF(足元帳!X14="","",足元帳!X14)&amp;IF(足元帳!Y14="","",足元帳!Y14)&amp;IF(足元帳!Z14="","",足元帳!Z14)</f>
        <v/>
      </c>
      <c r="O16" s="565"/>
      <c r="P16" s="565"/>
      <c r="Q16" s="565"/>
      <c r="R16" s="565"/>
      <c r="S16" s="566"/>
      <c r="T16" s="661" t="str">
        <f ca="1">IFERROR(INDEX(管理シート!$CB$3:$CK$24,MATCH(W16,管理シート!$CB$3:$CB$24,0),MATCH(K16,管理シート!$CB$3:$CM$3,0)),"")</f>
        <v/>
      </c>
      <c r="U16" s="661"/>
      <c r="V16" s="661"/>
      <c r="W16" s="587" t="str">
        <f ca="1">IF(ISERROR(MATCH("●",足元帳!AA14:AJ14,0)),"",INDIRECT("足元帳!R1C"&amp;MATCH("●",足元帳!AA14:AJ14,0)+26,FALSE))</f>
        <v/>
      </c>
      <c r="X16" s="565"/>
      <c r="Y16" s="566"/>
      <c r="Z16" s="587" t="str">
        <f>IF(足元帳!AL14="","","○")</f>
        <v/>
      </c>
      <c r="AA16" s="566"/>
      <c r="AB16" s="587" t="str">
        <f>IF(足元帳!AM14="","","現金カード払い"&amp;足元帳!AM14&amp;"  ")&amp;IF(足元帳!AP14="","",足元帳!AP14&amp;"　")&amp;IF(足元帳!AQ14="","",足元帳!AQ14&amp;"　")&amp;IF(足元帳!AR14="","",足元帳!AR14&amp;"　")&amp;IF(足元帳!AS14="","",足元帳!AS14&amp;"　")&amp;IF(足元帳!AT14="","",足元帳!AT14&amp;"　")&amp;IF(足元帳!AN14="","","LOVE×2")&amp;IF(足元帳!AJ14="","","MM"&amp;足元帳!AJ14)&amp;IF(足元帳!AW14="","",W16&amp;"利用"&amp;足元帳!AW14)&amp;IF(足元帳!AX14="",""," 優待券配布"&amp;足元帳!AX14)&amp;IF(足元帳!AU14="","","メルマガ")</f>
        <v/>
      </c>
      <c r="AC16" s="565"/>
      <c r="AD16" s="565"/>
      <c r="AE16" s="565"/>
      <c r="AF16" s="565"/>
      <c r="AG16" s="565"/>
      <c r="AH16" s="565"/>
      <c r="AI16" s="565"/>
      <c r="AJ16" s="565"/>
      <c r="AK16" s="565"/>
      <c r="AL16" s="565"/>
      <c r="AM16" s="565"/>
      <c r="AN16" s="565"/>
      <c r="AO16" s="565"/>
      <c r="AP16" s="565"/>
      <c r="AQ16" s="588"/>
      <c r="AR16" s="113" t="str">
        <f>IF(足元帳!A14="","",足元帳!A14)</f>
        <v/>
      </c>
      <c r="AS16" s="123">
        <f>COUNTIF(AR$4:AR16,AR16)</f>
        <v>13</v>
      </c>
    </row>
    <row r="17" spans="1:45" ht="23.45" customHeight="1">
      <c r="A17" s="586">
        <f t="shared" si="0"/>
        <v>14</v>
      </c>
      <c r="B17" s="566"/>
      <c r="C17" s="73" t="str">
        <f>IF(足元帳!AY15=1,"N",IF(足元帳!AY15=2,"R",""))</f>
        <v/>
      </c>
      <c r="D17" s="74" t="str">
        <f>IF(足元帳!AZ15&gt;0,VLOOKUP(足元帳!AZ15,管理シート!$R$4:$V$12,5,FALSE),"")</f>
        <v/>
      </c>
      <c r="E17" s="587" t="str">
        <f>IF(足元帳!J15="","",足元帳!J15)</f>
        <v/>
      </c>
      <c r="F17" s="566"/>
      <c r="G17" s="587" t="str">
        <f>IF(足元帳!K15="","",足元帳!K15)</f>
        <v/>
      </c>
      <c r="H17" s="565"/>
      <c r="I17" s="565"/>
      <c r="J17" s="566"/>
      <c r="K17" s="587" t="str">
        <f>IF(足元帳!BB15&gt;0,VLOOKUP(足元帳!BB15,管理シート!$R$4:$W$12,4,FALSE),"")</f>
        <v/>
      </c>
      <c r="L17" s="565"/>
      <c r="M17" s="566"/>
      <c r="N17" s="587" t="str">
        <f>IF(足元帳!U15="","",足元帳!U15)&amp;IF(足元帳!V15="","",足元帳!V15)&amp;IF(足元帳!W15="","",足元帳!W15)&amp;IF(足元帳!X15="","",足元帳!X15)&amp;IF(足元帳!Y15="","",足元帳!Y15)&amp;IF(足元帳!Z15="","",足元帳!Z15)</f>
        <v/>
      </c>
      <c r="O17" s="565"/>
      <c r="P17" s="565"/>
      <c r="Q17" s="565"/>
      <c r="R17" s="565"/>
      <c r="S17" s="566"/>
      <c r="T17" s="661" t="str">
        <f ca="1">IFERROR(INDEX(管理シート!$CB$3:$CK$24,MATCH(W17,管理シート!$CB$3:$CB$24,0),MATCH(K17,管理シート!$CB$3:$CM$3,0)),"")</f>
        <v/>
      </c>
      <c r="U17" s="661"/>
      <c r="V17" s="661"/>
      <c r="W17" s="587" t="str">
        <f ca="1">IF(ISERROR(MATCH("●",足元帳!AA15:AJ15,0)),"",INDIRECT("足元帳!R1C"&amp;MATCH("●",足元帳!AA15:AJ15,0)+26,FALSE))</f>
        <v/>
      </c>
      <c r="X17" s="565"/>
      <c r="Y17" s="566"/>
      <c r="Z17" s="587" t="str">
        <f>IF(足元帳!AL15="","","○")</f>
        <v/>
      </c>
      <c r="AA17" s="566"/>
      <c r="AB17" s="587" t="str">
        <f>IF(足元帳!AM15="","","現金カード払い"&amp;足元帳!AM15&amp;"  ")&amp;IF(足元帳!AP15="","",足元帳!AP15&amp;"　")&amp;IF(足元帳!AQ15="","",足元帳!AQ15&amp;"　")&amp;IF(足元帳!AR15="","",足元帳!AR15&amp;"　")&amp;IF(足元帳!AS15="","",足元帳!AS15&amp;"　")&amp;IF(足元帳!AT15="","",足元帳!AT15&amp;"　")&amp;IF(足元帳!AN15="","","LOVE×2")&amp;IF(足元帳!AJ15="","","MM"&amp;足元帳!AJ15)&amp;IF(足元帳!AW15="","",W17&amp;"利用"&amp;足元帳!AW15)&amp;IF(足元帳!AX15="",""," 優待券配布"&amp;足元帳!AX15)&amp;IF(足元帳!AU15="","","メルマガ")</f>
        <v/>
      </c>
      <c r="AC17" s="565"/>
      <c r="AD17" s="565"/>
      <c r="AE17" s="565"/>
      <c r="AF17" s="565"/>
      <c r="AG17" s="565"/>
      <c r="AH17" s="565"/>
      <c r="AI17" s="565"/>
      <c r="AJ17" s="565"/>
      <c r="AK17" s="565"/>
      <c r="AL17" s="565"/>
      <c r="AM17" s="565"/>
      <c r="AN17" s="565"/>
      <c r="AO17" s="565"/>
      <c r="AP17" s="565"/>
      <c r="AQ17" s="588"/>
      <c r="AR17" s="113" t="str">
        <f>IF(足元帳!A15="","",足元帳!A15)</f>
        <v/>
      </c>
      <c r="AS17" s="123">
        <f>COUNTIF(AR$4:AR17,AR17)</f>
        <v>14</v>
      </c>
    </row>
    <row r="18" spans="1:45" ht="23.45" customHeight="1">
      <c r="A18" s="586">
        <f t="shared" si="0"/>
        <v>15</v>
      </c>
      <c r="B18" s="566"/>
      <c r="C18" s="73" t="str">
        <f>IF(足元帳!AY16=1,"N",IF(足元帳!AY16=2,"R",""))</f>
        <v/>
      </c>
      <c r="D18" s="74" t="str">
        <f>IF(足元帳!AZ16&gt;0,VLOOKUP(足元帳!AZ16,管理シート!$R$4:$V$12,5,FALSE),"")</f>
        <v/>
      </c>
      <c r="E18" s="587" t="str">
        <f>IF(足元帳!J16="","",足元帳!J16)</f>
        <v/>
      </c>
      <c r="F18" s="566"/>
      <c r="G18" s="587" t="str">
        <f>IF(足元帳!K16="","",足元帳!K16)</f>
        <v/>
      </c>
      <c r="H18" s="565"/>
      <c r="I18" s="565"/>
      <c r="J18" s="566"/>
      <c r="K18" s="587" t="str">
        <f>IF(足元帳!BB16&gt;0,VLOOKUP(足元帳!BB16,管理シート!$R$4:$W$12,4,FALSE),"")</f>
        <v/>
      </c>
      <c r="L18" s="565"/>
      <c r="M18" s="566"/>
      <c r="N18" s="587" t="str">
        <f>IF(足元帳!U16="","",足元帳!U16)&amp;IF(足元帳!V16="","",足元帳!V16)&amp;IF(足元帳!W16="","",足元帳!W16)&amp;IF(足元帳!X16="","",足元帳!X16)&amp;IF(足元帳!Y16="","",足元帳!Y16)&amp;IF(足元帳!Z16="","",足元帳!Z16)</f>
        <v/>
      </c>
      <c r="O18" s="565"/>
      <c r="P18" s="565"/>
      <c r="Q18" s="565"/>
      <c r="R18" s="565"/>
      <c r="S18" s="566"/>
      <c r="T18" s="661" t="str">
        <f ca="1">IFERROR(INDEX(管理シート!$CB$3:$CK$24,MATCH(W18,管理シート!$CB$3:$CB$24,0),MATCH(K18,管理シート!$CB$3:$CM$3,0)),"")</f>
        <v/>
      </c>
      <c r="U18" s="661"/>
      <c r="V18" s="661"/>
      <c r="W18" s="587" t="str">
        <f ca="1">IF(ISERROR(MATCH("●",足元帳!AA16:AJ16,0)),"",INDIRECT("足元帳!R1C"&amp;MATCH("●",足元帳!AA16:AJ16,0)+26,FALSE))</f>
        <v/>
      </c>
      <c r="X18" s="565"/>
      <c r="Y18" s="566"/>
      <c r="Z18" s="587" t="str">
        <f>IF(足元帳!AL16="","","○")</f>
        <v/>
      </c>
      <c r="AA18" s="566"/>
      <c r="AB18" s="587" t="str">
        <f>IF(足元帳!AM16="","","現金カード払い"&amp;足元帳!AM16&amp;"  ")&amp;IF(足元帳!AP16="","",足元帳!AP16&amp;"　")&amp;IF(足元帳!AQ16="","",足元帳!AQ16&amp;"　")&amp;IF(足元帳!AR16="","",足元帳!AR16&amp;"　")&amp;IF(足元帳!AS16="","",足元帳!AS16&amp;"　")&amp;IF(足元帳!AT16="","",足元帳!AT16&amp;"　")&amp;IF(足元帳!AN16="","","LOVE×2")&amp;IF(足元帳!AJ16="","","MM"&amp;足元帳!AJ16)&amp;IF(足元帳!AW16="","",W18&amp;"利用"&amp;足元帳!AW16)&amp;IF(足元帳!AX16="",""," 優待券配布"&amp;足元帳!AX16)&amp;IF(足元帳!AU16="","","メルマガ")</f>
        <v/>
      </c>
      <c r="AC18" s="565"/>
      <c r="AD18" s="565"/>
      <c r="AE18" s="565"/>
      <c r="AF18" s="565"/>
      <c r="AG18" s="565"/>
      <c r="AH18" s="565"/>
      <c r="AI18" s="565"/>
      <c r="AJ18" s="565"/>
      <c r="AK18" s="565"/>
      <c r="AL18" s="565"/>
      <c r="AM18" s="565"/>
      <c r="AN18" s="565"/>
      <c r="AO18" s="565"/>
      <c r="AP18" s="565"/>
      <c r="AQ18" s="588"/>
      <c r="AR18" s="113" t="str">
        <f>IF(足元帳!A16="","",足元帳!A16)</f>
        <v/>
      </c>
      <c r="AS18" s="123">
        <f>COUNTIF(AR$4:AR18,AR18)</f>
        <v>15</v>
      </c>
    </row>
    <row r="19" spans="1:45" ht="23.45" customHeight="1">
      <c r="A19" s="586">
        <f t="shared" si="0"/>
        <v>16</v>
      </c>
      <c r="B19" s="566"/>
      <c r="C19" s="73" t="str">
        <f>IF(足元帳!AY17=1,"N",IF(足元帳!AY17=2,"R",""))</f>
        <v/>
      </c>
      <c r="D19" s="74" t="str">
        <f>IF(足元帳!AZ17&gt;0,VLOOKUP(足元帳!AZ17,管理シート!$R$4:$V$12,5,FALSE),"")</f>
        <v/>
      </c>
      <c r="E19" s="587" t="str">
        <f>IF(足元帳!J17="","",足元帳!J17)</f>
        <v/>
      </c>
      <c r="F19" s="566"/>
      <c r="G19" s="587" t="str">
        <f>IF(足元帳!K17="","",足元帳!K17)</f>
        <v/>
      </c>
      <c r="H19" s="565"/>
      <c r="I19" s="565"/>
      <c r="J19" s="566"/>
      <c r="K19" s="587" t="str">
        <f>IF(足元帳!BB17&gt;0,VLOOKUP(足元帳!BB17,管理シート!$R$4:$W$12,4,FALSE),"")</f>
        <v/>
      </c>
      <c r="L19" s="565"/>
      <c r="M19" s="566"/>
      <c r="N19" s="587" t="str">
        <f>IF(足元帳!U17="","",足元帳!U17)&amp;IF(足元帳!V17="","",足元帳!V17)&amp;IF(足元帳!W17="","",足元帳!W17)&amp;IF(足元帳!X17="","",足元帳!X17)&amp;IF(足元帳!Y17="","",足元帳!Y17)&amp;IF(足元帳!Z17="","",足元帳!Z17)</f>
        <v/>
      </c>
      <c r="O19" s="565"/>
      <c r="P19" s="565"/>
      <c r="Q19" s="565"/>
      <c r="R19" s="565"/>
      <c r="S19" s="566"/>
      <c r="T19" s="661" t="str">
        <f ca="1">IFERROR(INDEX(管理シート!$CB$3:$CK$24,MATCH(W19,管理シート!$CB$3:$CB$24,0),MATCH(K19,管理シート!$CB$3:$CM$3,0)),"")</f>
        <v/>
      </c>
      <c r="U19" s="661"/>
      <c r="V19" s="661"/>
      <c r="W19" s="587" t="str">
        <f ca="1">IF(ISERROR(MATCH("●",足元帳!AA17:AJ17,0)),"",INDIRECT("足元帳!R1C"&amp;MATCH("●",足元帳!AA17:AJ17,0)+26,FALSE))</f>
        <v/>
      </c>
      <c r="X19" s="565"/>
      <c r="Y19" s="566"/>
      <c r="Z19" s="587" t="str">
        <f>IF(足元帳!AL17="","","○")</f>
        <v/>
      </c>
      <c r="AA19" s="566"/>
      <c r="AB19" s="587" t="str">
        <f>IF(足元帳!AM17="","","現金カード払い"&amp;足元帳!AM17&amp;"  ")&amp;IF(足元帳!AP17="","",足元帳!AP17&amp;"　")&amp;IF(足元帳!AQ17="","",足元帳!AQ17&amp;"　")&amp;IF(足元帳!AR17="","",足元帳!AR17&amp;"　")&amp;IF(足元帳!AS17="","",足元帳!AS17&amp;"　")&amp;IF(足元帳!AT17="","",足元帳!AT17&amp;"　")&amp;IF(足元帳!AN17="","","LOVE×2")&amp;IF(足元帳!AJ17="","","MM"&amp;足元帳!AJ17)&amp;IF(足元帳!AW17="","",W19&amp;"利用"&amp;足元帳!AW17)&amp;IF(足元帳!AX17="",""," 優待券配布"&amp;足元帳!AX17)&amp;IF(足元帳!AU17="","","メルマガ")</f>
        <v/>
      </c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565"/>
      <c r="AQ19" s="588"/>
      <c r="AR19" s="113" t="str">
        <f>IF(足元帳!A17="","",足元帳!A17)</f>
        <v/>
      </c>
      <c r="AS19" s="123">
        <f>COUNTIF(AR$4:AR19,AR19)</f>
        <v>16</v>
      </c>
    </row>
    <row r="20" spans="1:45" ht="23.45" customHeight="1">
      <c r="A20" s="586">
        <f t="shared" si="0"/>
        <v>17</v>
      </c>
      <c r="B20" s="566"/>
      <c r="C20" s="73" t="str">
        <f>IF(足元帳!AY18=1,"N",IF(足元帳!AY18=2,"R",""))</f>
        <v/>
      </c>
      <c r="D20" s="74" t="str">
        <f>IF(足元帳!AZ18&gt;0,VLOOKUP(足元帳!AZ18,管理シート!$R$4:$V$12,5,FALSE),"")</f>
        <v/>
      </c>
      <c r="E20" s="587" t="str">
        <f>IF(足元帳!J18="","",足元帳!J18)</f>
        <v/>
      </c>
      <c r="F20" s="566"/>
      <c r="G20" s="587" t="str">
        <f>IF(足元帳!K18="","",足元帳!K18)</f>
        <v/>
      </c>
      <c r="H20" s="565"/>
      <c r="I20" s="565"/>
      <c r="J20" s="566"/>
      <c r="K20" s="587" t="str">
        <f>IF(足元帳!BB18&gt;0,VLOOKUP(足元帳!BB18,管理シート!$R$4:$W$12,4,FALSE),"")</f>
        <v/>
      </c>
      <c r="L20" s="565"/>
      <c r="M20" s="566"/>
      <c r="N20" s="587" t="str">
        <f>IF(足元帳!U18="","",足元帳!U18)&amp;IF(足元帳!V18="","",足元帳!V18)&amp;IF(足元帳!W18="","",足元帳!W18)&amp;IF(足元帳!X18="","",足元帳!X18)&amp;IF(足元帳!Y18="","",足元帳!Y18)&amp;IF(足元帳!Z18="","",足元帳!Z18)</f>
        <v/>
      </c>
      <c r="O20" s="565"/>
      <c r="P20" s="565"/>
      <c r="Q20" s="565"/>
      <c r="R20" s="565"/>
      <c r="S20" s="566"/>
      <c r="T20" s="661" t="str">
        <f ca="1">IFERROR(INDEX(管理シート!$CB$3:$CK$24,MATCH(W20,管理シート!$CB$3:$CB$24,0),MATCH(K20,管理シート!$CB$3:$CM$3,0)),"")</f>
        <v/>
      </c>
      <c r="U20" s="661"/>
      <c r="V20" s="661"/>
      <c r="W20" s="587" t="str">
        <f ca="1">IF(ISERROR(MATCH("●",足元帳!AA18:AJ18,0)),"",INDIRECT("足元帳!R1C"&amp;MATCH("●",足元帳!AA18:AJ18,0)+26,FALSE))</f>
        <v/>
      </c>
      <c r="X20" s="565"/>
      <c r="Y20" s="566"/>
      <c r="Z20" s="587" t="str">
        <f>IF(足元帳!AL18="","","○")</f>
        <v/>
      </c>
      <c r="AA20" s="566"/>
      <c r="AB20" s="587" t="str">
        <f>IF(足元帳!AM18="","","現金カード払い"&amp;足元帳!AM18&amp;"  ")&amp;IF(足元帳!AP18="","",足元帳!AP18&amp;"　")&amp;IF(足元帳!AQ18="","",足元帳!AQ18&amp;"　")&amp;IF(足元帳!AR18="","",足元帳!AR18&amp;"　")&amp;IF(足元帳!AS18="","",足元帳!AS18&amp;"　")&amp;IF(足元帳!AT18="","",足元帳!AT18&amp;"　")&amp;IF(足元帳!AN18="","","LOVE×2")&amp;IF(足元帳!AJ18="","","MM"&amp;足元帳!AJ18)&amp;IF(足元帳!AW18="","",W20&amp;"利用"&amp;足元帳!AW18)&amp;IF(足元帳!AX18="",""," 優待券配布"&amp;足元帳!AX18)&amp;IF(足元帳!AU18="","","メルマガ")</f>
        <v/>
      </c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88"/>
      <c r="AR20" s="113" t="str">
        <f>IF(足元帳!A18="","",足元帳!A18)</f>
        <v/>
      </c>
      <c r="AS20" s="123">
        <f>COUNTIF(AR$4:AR20,AR20)</f>
        <v>17</v>
      </c>
    </row>
    <row r="21" spans="1:45" ht="23.45" customHeight="1">
      <c r="A21" s="586">
        <f t="shared" si="0"/>
        <v>18</v>
      </c>
      <c r="B21" s="566"/>
      <c r="C21" s="73" t="str">
        <f>IF(足元帳!AY19=1,"N",IF(足元帳!AY19=2,"R",""))</f>
        <v/>
      </c>
      <c r="D21" s="74" t="str">
        <f>IF(足元帳!AZ19&gt;0,VLOOKUP(足元帳!AZ19,管理シート!$R$4:$V$12,5,FALSE),"")</f>
        <v/>
      </c>
      <c r="E21" s="587" t="str">
        <f>IF(足元帳!J19="","",足元帳!J19)</f>
        <v/>
      </c>
      <c r="F21" s="566"/>
      <c r="G21" s="587" t="str">
        <f>IF(足元帳!K19="","",足元帳!K19)</f>
        <v/>
      </c>
      <c r="H21" s="565"/>
      <c r="I21" s="565"/>
      <c r="J21" s="566"/>
      <c r="K21" s="587" t="str">
        <f>IF(足元帳!BB19&gt;0,VLOOKUP(足元帳!BB19,管理シート!$R$4:$W$12,4,FALSE),"")</f>
        <v/>
      </c>
      <c r="L21" s="565"/>
      <c r="M21" s="566"/>
      <c r="N21" s="587" t="str">
        <f>IF(足元帳!U19="","",足元帳!U19)&amp;IF(足元帳!V19="","",足元帳!V19)&amp;IF(足元帳!W19="","",足元帳!W19)&amp;IF(足元帳!X19="","",足元帳!X19)&amp;IF(足元帳!Y19="","",足元帳!Y19)&amp;IF(足元帳!Z19="","",足元帳!Z19)</f>
        <v/>
      </c>
      <c r="O21" s="565"/>
      <c r="P21" s="565"/>
      <c r="Q21" s="565"/>
      <c r="R21" s="565"/>
      <c r="S21" s="566"/>
      <c r="T21" s="661" t="str">
        <f ca="1">IFERROR(INDEX(管理シート!$CB$3:$CK$24,MATCH(W21,管理シート!$CB$3:$CB$24,0),MATCH(K21,管理シート!$CB$3:$CM$3,0)),"")</f>
        <v/>
      </c>
      <c r="U21" s="661"/>
      <c r="V21" s="661"/>
      <c r="W21" s="587" t="str">
        <f ca="1">IF(ISERROR(MATCH("●",足元帳!AA19:AJ19,0)),"",INDIRECT("足元帳!R1C"&amp;MATCH("●",足元帳!AA19:AJ19,0)+26,FALSE))</f>
        <v/>
      </c>
      <c r="X21" s="565"/>
      <c r="Y21" s="566"/>
      <c r="Z21" s="587" t="str">
        <f>IF(足元帳!AL19="","","○")</f>
        <v/>
      </c>
      <c r="AA21" s="566"/>
      <c r="AB21" s="587" t="str">
        <f>IF(足元帳!AM19="","","現金カード払い"&amp;足元帳!AM19&amp;"  ")&amp;IF(足元帳!AP19="","",足元帳!AP19&amp;"　")&amp;IF(足元帳!AQ19="","",足元帳!AQ19&amp;"　")&amp;IF(足元帳!AR19="","",足元帳!AR19&amp;"　")&amp;IF(足元帳!AS19="","",足元帳!AS19&amp;"　")&amp;IF(足元帳!AT19="","",足元帳!AT19&amp;"　")&amp;IF(足元帳!AN19="","","LOVE×2")&amp;IF(足元帳!AJ19="","","MM"&amp;足元帳!AJ19)&amp;IF(足元帳!AW19="","",W21&amp;"利用"&amp;足元帳!AW19)&amp;IF(足元帳!AX19="",""," 優待券配布"&amp;足元帳!AX19)&amp;IF(足元帳!AU19="","","メルマガ")</f>
        <v/>
      </c>
      <c r="AC21" s="565"/>
      <c r="AD21" s="565"/>
      <c r="AE21" s="565"/>
      <c r="AF21" s="565"/>
      <c r="AG21" s="565"/>
      <c r="AH21" s="565"/>
      <c r="AI21" s="565"/>
      <c r="AJ21" s="565"/>
      <c r="AK21" s="565"/>
      <c r="AL21" s="565"/>
      <c r="AM21" s="565"/>
      <c r="AN21" s="565"/>
      <c r="AO21" s="565"/>
      <c r="AP21" s="565"/>
      <c r="AQ21" s="588"/>
      <c r="AR21" s="113" t="str">
        <f>IF(足元帳!A19="","",足元帳!A19)</f>
        <v/>
      </c>
      <c r="AS21" s="123">
        <f>COUNTIF(AR$4:AR21,AR21)</f>
        <v>18</v>
      </c>
    </row>
    <row r="22" spans="1:45" ht="23.45" customHeight="1">
      <c r="A22" s="586">
        <f t="shared" si="0"/>
        <v>19</v>
      </c>
      <c r="B22" s="566"/>
      <c r="C22" s="73" t="str">
        <f>IF(足元帳!AY20=1,"N",IF(足元帳!AY20=2,"R",""))</f>
        <v/>
      </c>
      <c r="D22" s="74" t="str">
        <f>IF(足元帳!AZ20&gt;0,VLOOKUP(足元帳!AZ20,管理シート!$R$4:$V$12,5,FALSE),"")</f>
        <v/>
      </c>
      <c r="E22" s="587" t="str">
        <f>IF(足元帳!J20="","",足元帳!J20)</f>
        <v/>
      </c>
      <c r="F22" s="566"/>
      <c r="G22" s="587" t="str">
        <f>IF(足元帳!K20="","",足元帳!K20)</f>
        <v/>
      </c>
      <c r="H22" s="565"/>
      <c r="I22" s="565"/>
      <c r="J22" s="566"/>
      <c r="K22" s="587" t="str">
        <f>IF(足元帳!BB20&gt;0,VLOOKUP(足元帳!BB20,管理シート!$R$4:$W$12,4,FALSE),"")</f>
        <v/>
      </c>
      <c r="L22" s="565"/>
      <c r="M22" s="566"/>
      <c r="N22" s="587" t="str">
        <f>IF(足元帳!U20="","",足元帳!U20)&amp;IF(足元帳!V20="","",足元帳!V20)&amp;IF(足元帳!W20="","",足元帳!W20)&amp;IF(足元帳!X20="","",足元帳!X20)&amp;IF(足元帳!Y20="","",足元帳!Y20)&amp;IF(足元帳!Z20="","",足元帳!Z20)</f>
        <v/>
      </c>
      <c r="O22" s="565"/>
      <c r="P22" s="565"/>
      <c r="Q22" s="565"/>
      <c r="R22" s="565"/>
      <c r="S22" s="566"/>
      <c r="T22" s="661" t="str">
        <f ca="1">IFERROR(INDEX(管理シート!$CB$3:$CK$24,MATCH(W22,管理シート!$CB$3:$CB$24,0),MATCH(K22,管理シート!$CB$3:$CM$3,0)),"")</f>
        <v/>
      </c>
      <c r="U22" s="661"/>
      <c r="V22" s="661"/>
      <c r="W22" s="587" t="str">
        <f ca="1">IF(ISERROR(MATCH("●",足元帳!AA20:AJ20,0)),"",INDIRECT("足元帳!R1C"&amp;MATCH("●",足元帳!AA20:AJ20,0)+26,FALSE))</f>
        <v/>
      </c>
      <c r="X22" s="565"/>
      <c r="Y22" s="566"/>
      <c r="Z22" s="587" t="str">
        <f>IF(足元帳!AL20="","","○")</f>
        <v/>
      </c>
      <c r="AA22" s="566"/>
      <c r="AB22" s="587" t="str">
        <f>IF(足元帳!AM20="","","現金カード払い"&amp;足元帳!AM20&amp;"  ")&amp;IF(足元帳!AP20="","",足元帳!AP20&amp;"　")&amp;IF(足元帳!AQ20="","",足元帳!AQ20&amp;"　")&amp;IF(足元帳!AR20="","",足元帳!AR20&amp;"　")&amp;IF(足元帳!AS20="","",足元帳!AS20&amp;"　")&amp;IF(足元帳!AT20="","",足元帳!AT20&amp;"　")&amp;IF(足元帳!AN20="","","LOVE×2")&amp;IF(足元帳!AJ20="","","MM"&amp;足元帳!AJ20)&amp;IF(足元帳!AW20="","",W22&amp;"利用"&amp;足元帳!AW20)&amp;IF(足元帳!AX20="",""," 優待券配布"&amp;足元帳!AX20)&amp;IF(足元帳!AU20="","","メルマガ")</f>
        <v/>
      </c>
      <c r="AC22" s="565"/>
      <c r="AD22" s="565"/>
      <c r="AE22" s="565"/>
      <c r="AF22" s="565"/>
      <c r="AG22" s="565"/>
      <c r="AH22" s="565"/>
      <c r="AI22" s="565"/>
      <c r="AJ22" s="565"/>
      <c r="AK22" s="565"/>
      <c r="AL22" s="565"/>
      <c r="AM22" s="565"/>
      <c r="AN22" s="565"/>
      <c r="AO22" s="565"/>
      <c r="AP22" s="565"/>
      <c r="AQ22" s="588"/>
      <c r="AR22" s="113" t="str">
        <f>IF(足元帳!A20="","",足元帳!A20)</f>
        <v/>
      </c>
      <c r="AS22" s="123">
        <f>COUNTIF(AR$4:AR22,AR22)</f>
        <v>19</v>
      </c>
    </row>
    <row r="23" spans="1:45" ht="23.45" customHeight="1">
      <c r="A23" s="586">
        <f t="shared" si="0"/>
        <v>20</v>
      </c>
      <c r="B23" s="566"/>
      <c r="C23" s="73" t="str">
        <f>IF(足元帳!AY21=1,"N",IF(足元帳!AY21=2,"R",""))</f>
        <v/>
      </c>
      <c r="D23" s="74" t="str">
        <f>IF(足元帳!AZ21&gt;0,VLOOKUP(足元帳!AZ21,管理シート!$R$4:$V$12,5,FALSE),"")</f>
        <v/>
      </c>
      <c r="E23" s="587" t="str">
        <f>IF(足元帳!J21="","",足元帳!J21)</f>
        <v/>
      </c>
      <c r="F23" s="566"/>
      <c r="G23" s="587" t="str">
        <f>IF(足元帳!K21="","",足元帳!K21)</f>
        <v/>
      </c>
      <c r="H23" s="565"/>
      <c r="I23" s="565"/>
      <c r="J23" s="566"/>
      <c r="K23" s="587" t="str">
        <f>IF(足元帳!BB21&gt;0,VLOOKUP(足元帳!BB21,管理シート!$R$4:$W$12,4,FALSE),"")</f>
        <v/>
      </c>
      <c r="L23" s="565"/>
      <c r="M23" s="566"/>
      <c r="N23" s="587" t="str">
        <f>IF(足元帳!U21="","",足元帳!U21)&amp;IF(足元帳!V21="","",足元帳!V21)&amp;IF(足元帳!W21="","",足元帳!W21)&amp;IF(足元帳!X21="","",足元帳!X21)&amp;IF(足元帳!Y21="","",足元帳!Y21)&amp;IF(足元帳!Z21="","",足元帳!Z21)</f>
        <v/>
      </c>
      <c r="O23" s="565"/>
      <c r="P23" s="565"/>
      <c r="Q23" s="565"/>
      <c r="R23" s="565"/>
      <c r="S23" s="566"/>
      <c r="T23" s="661" t="str">
        <f ca="1">IFERROR(INDEX(管理シート!$CB$3:$CK$24,MATCH(W23,管理シート!$CB$3:$CB$24,0),MATCH(K23,管理シート!$CB$3:$CM$3,0)),"")</f>
        <v/>
      </c>
      <c r="U23" s="661"/>
      <c r="V23" s="661"/>
      <c r="W23" s="587" t="str">
        <f ca="1">IF(ISERROR(MATCH("●",足元帳!AA21:AJ21,0)),"",INDIRECT("足元帳!R1C"&amp;MATCH("●",足元帳!AA21:AJ21,0)+26,FALSE))</f>
        <v/>
      </c>
      <c r="X23" s="565"/>
      <c r="Y23" s="566"/>
      <c r="Z23" s="587" t="str">
        <f>IF(足元帳!AL21="","","○")</f>
        <v/>
      </c>
      <c r="AA23" s="566"/>
      <c r="AB23" s="587" t="str">
        <f>IF(足元帳!AM21="","","現金カード払い"&amp;足元帳!AM21&amp;"  ")&amp;IF(足元帳!AP21="","",足元帳!AP21&amp;"　")&amp;IF(足元帳!AQ21="","",足元帳!AQ21&amp;"　")&amp;IF(足元帳!AR21="","",足元帳!AR21&amp;"　")&amp;IF(足元帳!AS21="","",足元帳!AS21&amp;"　")&amp;IF(足元帳!AT21="","",足元帳!AT21&amp;"　")&amp;IF(足元帳!AN21="","","LOVE×2")&amp;IF(足元帳!AJ21="","","MM"&amp;足元帳!AJ21)&amp;IF(足元帳!AW21="","",W23&amp;"利用"&amp;足元帳!AW21)&amp;IF(足元帳!AX21="",""," 優待券配布"&amp;足元帳!AX21)&amp;IF(足元帳!AU21="","","メルマガ")</f>
        <v/>
      </c>
      <c r="AC23" s="565"/>
      <c r="AD23" s="565"/>
      <c r="AE23" s="565"/>
      <c r="AF23" s="565"/>
      <c r="AG23" s="565"/>
      <c r="AH23" s="565"/>
      <c r="AI23" s="565"/>
      <c r="AJ23" s="565"/>
      <c r="AK23" s="565"/>
      <c r="AL23" s="565"/>
      <c r="AM23" s="565"/>
      <c r="AN23" s="565"/>
      <c r="AO23" s="565"/>
      <c r="AP23" s="565"/>
      <c r="AQ23" s="588"/>
      <c r="AR23" s="113" t="str">
        <f>IF(足元帳!A21="","",足元帳!A21)</f>
        <v/>
      </c>
      <c r="AS23" s="123">
        <f>COUNTIF(AR$4:AR23,AR23)</f>
        <v>20</v>
      </c>
    </row>
    <row r="24" spans="1:45" ht="23.45" customHeight="1">
      <c r="A24" s="586">
        <f t="shared" si="0"/>
        <v>21</v>
      </c>
      <c r="B24" s="566"/>
      <c r="C24" s="73" t="str">
        <f>IF(足元帳!AY22=1,"N",IF(足元帳!AY22=2,"R",""))</f>
        <v/>
      </c>
      <c r="D24" s="74" t="str">
        <f>IF(足元帳!AZ22&gt;0,VLOOKUP(足元帳!AZ22,管理シート!$R$4:$V$12,5,FALSE),"")</f>
        <v/>
      </c>
      <c r="E24" s="587" t="str">
        <f>IF(足元帳!J22="","",足元帳!J22)</f>
        <v/>
      </c>
      <c r="F24" s="566"/>
      <c r="G24" s="587" t="str">
        <f>IF(足元帳!K22="","",足元帳!K22)</f>
        <v/>
      </c>
      <c r="H24" s="565"/>
      <c r="I24" s="565"/>
      <c r="J24" s="566"/>
      <c r="K24" s="587" t="str">
        <f>IF(足元帳!BB22&gt;0,VLOOKUP(足元帳!BB22,管理シート!$R$4:$W$12,4,FALSE),"")</f>
        <v/>
      </c>
      <c r="L24" s="565"/>
      <c r="M24" s="566"/>
      <c r="N24" s="587" t="str">
        <f>IF(足元帳!U22="","",足元帳!U22)&amp;IF(足元帳!V22="","",足元帳!V22)&amp;IF(足元帳!W22="","",足元帳!W22)&amp;IF(足元帳!X22="","",足元帳!X22)&amp;IF(足元帳!Y22="","",足元帳!Y22)&amp;IF(足元帳!Z22="","",足元帳!Z22)</f>
        <v/>
      </c>
      <c r="O24" s="565"/>
      <c r="P24" s="565"/>
      <c r="Q24" s="565"/>
      <c r="R24" s="565"/>
      <c r="S24" s="566"/>
      <c r="T24" s="661" t="str">
        <f ca="1">IFERROR(INDEX(管理シート!$CB$3:$CK$24,MATCH(W24,管理シート!$CB$3:$CB$24,0),MATCH(K24,管理シート!$CB$3:$CM$3,0)),"")</f>
        <v/>
      </c>
      <c r="U24" s="661"/>
      <c r="V24" s="661"/>
      <c r="W24" s="587" t="str">
        <f ca="1">IF(ISERROR(MATCH("●",足元帳!AA22:AJ22,0)),"",INDIRECT("足元帳!R1C"&amp;MATCH("●",足元帳!AA22:AJ22,0)+26,FALSE))</f>
        <v/>
      </c>
      <c r="X24" s="565"/>
      <c r="Y24" s="566"/>
      <c r="Z24" s="587" t="str">
        <f>IF(足元帳!AL22="","","○")</f>
        <v/>
      </c>
      <c r="AA24" s="566"/>
      <c r="AB24" s="587" t="str">
        <f>IF(足元帳!AM22="","","現金カード払い"&amp;足元帳!AM22&amp;"  ")&amp;IF(足元帳!AP22="","",足元帳!AP22&amp;"　")&amp;IF(足元帳!AQ22="","",足元帳!AQ22&amp;"　")&amp;IF(足元帳!AR22="","",足元帳!AR22&amp;"　")&amp;IF(足元帳!AS22="","",足元帳!AS22&amp;"　")&amp;IF(足元帳!AT22="","",足元帳!AT22&amp;"　")&amp;IF(足元帳!AN22="","","LOVE×2")&amp;IF(足元帳!AJ22="","","MM"&amp;足元帳!AJ22)&amp;IF(足元帳!AW22="","",W24&amp;"利用"&amp;足元帳!AW22)&amp;IF(足元帳!AX22="",""," 優待券配布"&amp;足元帳!AX22)&amp;IF(足元帳!AU22="","","メルマガ")</f>
        <v/>
      </c>
      <c r="AC24" s="565"/>
      <c r="AD24" s="565"/>
      <c r="AE24" s="565"/>
      <c r="AF24" s="565"/>
      <c r="AG24" s="565"/>
      <c r="AH24" s="565"/>
      <c r="AI24" s="565"/>
      <c r="AJ24" s="565"/>
      <c r="AK24" s="565"/>
      <c r="AL24" s="565"/>
      <c r="AM24" s="565"/>
      <c r="AN24" s="565"/>
      <c r="AO24" s="565"/>
      <c r="AP24" s="565"/>
      <c r="AQ24" s="588"/>
      <c r="AR24" s="113" t="str">
        <f>IF(足元帳!A22="","",足元帳!A22)</f>
        <v/>
      </c>
      <c r="AS24" s="123">
        <f>COUNTIF(AR$4:AR24,AR24)</f>
        <v>21</v>
      </c>
    </row>
    <row r="25" spans="1:45" ht="23.45" customHeight="1">
      <c r="A25" s="586">
        <f t="shared" si="0"/>
        <v>22</v>
      </c>
      <c r="B25" s="566"/>
      <c r="C25" s="73" t="str">
        <f>IF(足元帳!AY23=1,"N",IF(足元帳!AY23=2,"R",""))</f>
        <v/>
      </c>
      <c r="D25" s="74" t="str">
        <f>IF(足元帳!AZ23&gt;0,VLOOKUP(足元帳!AZ23,管理シート!$R$4:$V$12,5,FALSE),"")</f>
        <v/>
      </c>
      <c r="E25" s="587" t="str">
        <f>IF(足元帳!J23="","",足元帳!J23)</f>
        <v/>
      </c>
      <c r="F25" s="566"/>
      <c r="G25" s="587" t="str">
        <f>IF(足元帳!K23="","",足元帳!K23)</f>
        <v/>
      </c>
      <c r="H25" s="565"/>
      <c r="I25" s="565"/>
      <c r="J25" s="566"/>
      <c r="K25" s="587" t="str">
        <f>IF(足元帳!BB23&gt;0,VLOOKUP(足元帳!BB23,管理シート!$R$4:$W$12,4,FALSE),"")</f>
        <v/>
      </c>
      <c r="L25" s="565"/>
      <c r="M25" s="566"/>
      <c r="N25" s="587" t="str">
        <f>IF(足元帳!U23="","",足元帳!U23)&amp;IF(足元帳!V23="","",足元帳!V23)&amp;IF(足元帳!W23="","",足元帳!W23)&amp;IF(足元帳!X23="","",足元帳!X23)&amp;IF(足元帳!Y23="","",足元帳!Y23)&amp;IF(足元帳!Z23="","",足元帳!Z23)</f>
        <v/>
      </c>
      <c r="O25" s="565"/>
      <c r="P25" s="565"/>
      <c r="Q25" s="565"/>
      <c r="R25" s="565"/>
      <c r="S25" s="566"/>
      <c r="T25" s="661" t="str">
        <f ca="1">IFERROR(INDEX(管理シート!$CB$3:$CK$24,MATCH(W25,管理シート!$CB$3:$CB$24,0),MATCH(K25,管理シート!$CB$3:$CM$3,0)),"")</f>
        <v/>
      </c>
      <c r="U25" s="661"/>
      <c r="V25" s="661"/>
      <c r="W25" s="587" t="str">
        <f ca="1">IF(ISERROR(MATCH("●",足元帳!AA23:AJ23,0)),"",INDIRECT("足元帳!R1C"&amp;MATCH("●",足元帳!AA23:AJ23,0)+26,FALSE))</f>
        <v/>
      </c>
      <c r="X25" s="565"/>
      <c r="Y25" s="566"/>
      <c r="Z25" s="587" t="str">
        <f>IF(足元帳!AL23="","","○")</f>
        <v/>
      </c>
      <c r="AA25" s="566"/>
      <c r="AB25" s="587" t="str">
        <f>IF(足元帳!AM23="","","現金カード払い"&amp;足元帳!AM23&amp;"  ")&amp;IF(足元帳!AP23="","",足元帳!AP23&amp;"　")&amp;IF(足元帳!AQ23="","",足元帳!AQ23&amp;"　")&amp;IF(足元帳!AR23="","",足元帳!AR23&amp;"　")&amp;IF(足元帳!AS23="","",足元帳!AS23&amp;"　")&amp;IF(足元帳!AT23="","",足元帳!AT23&amp;"　")&amp;IF(足元帳!AN23="","","LOVE×2")&amp;IF(足元帳!AJ23="","","MM"&amp;足元帳!AJ23)&amp;IF(足元帳!AW23="","",W25&amp;"利用"&amp;足元帳!AW23)&amp;IF(足元帳!AX23="",""," 優待券配布"&amp;足元帳!AX23)&amp;IF(足元帳!AU23="","","メルマガ")</f>
        <v/>
      </c>
      <c r="AC25" s="565"/>
      <c r="AD25" s="565"/>
      <c r="AE25" s="565"/>
      <c r="AF25" s="565"/>
      <c r="AG25" s="565"/>
      <c r="AH25" s="565"/>
      <c r="AI25" s="565"/>
      <c r="AJ25" s="565"/>
      <c r="AK25" s="565"/>
      <c r="AL25" s="565"/>
      <c r="AM25" s="565"/>
      <c r="AN25" s="565"/>
      <c r="AO25" s="565"/>
      <c r="AP25" s="565"/>
      <c r="AQ25" s="588"/>
      <c r="AR25" s="113" t="str">
        <f>IF(足元帳!A23="","",足元帳!A23)</f>
        <v/>
      </c>
      <c r="AS25" s="123">
        <f>COUNTIF(AR$4:AR25,AR25)</f>
        <v>22</v>
      </c>
    </row>
    <row r="26" spans="1:45" ht="23.45" customHeight="1">
      <c r="A26" s="586">
        <f t="shared" si="0"/>
        <v>23</v>
      </c>
      <c r="B26" s="566"/>
      <c r="C26" s="73" t="str">
        <f>IF(足元帳!AY24=1,"N",IF(足元帳!AY24=2,"R",""))</f>
        <v/>
      </c>
      <c r="D26" s="74" t="str">
        <f>IF(足元帳!AZ24&gt;0,VLOOKUP(足元帳!AZ24,管理シート!$R$4:$V$12,5,FALSE),"")</f>
        <v/>
      </c>
      <c r="E26" s="587" t="str">
        <f>IF(足元帳!J24="","",足元帳!J24)</f>
        <v/>
      </c>
      <c r="F26" s="566"/>
      <c r="G26" s="587" t="str">
        <f>IF(足元帳!K24="","",足元帳!K24)</f>
        <v/>
      </c>
      <c r="H26" s="565"/>
      <c r="I26" s="565"/>
      <c r="J26" s="566"/>
      <c r="K26" s="587" t="str">
        <f>IF(足元帳!BB24&gt;0,VLOOKUP(足元帳!BB24,管理シート!$R$4:$W$12,4,FALSE),"")</f>
        <v/>
      </c>
      <c r="L26" s="565"/>
      <c r="M26" s="566"/>
      <c r="N26" s="587" t="str">
        <f>IF(足元帳!U24="","",足元帳!U24)&amp;IF(足元帳!V24="","",足元帳!V24)&amp;IF(足元帳!W24="","",足元帳!W24)&amp;IF(足元帳!X24="","",足元帳!X24)&amp;IF(足元帳!Y24="","",足元帳!Y24)&amp;IF(足元帳!Z24="","",足元帳!Z24)</f>
        <v/>
      </c>
      <c r="O26" s="565"/>
      <c r="P26" s="565"/>
      <c r="Q26" s="565"/>
      <c r="R26" s="565"/>
      <c r="S26" s="566"/>
      <c r="T26" s="661" t="str">
        <f ca="1">IFERROR(INDEX(管理シート!$CB$3:$CK$24,MATCH(W26,管理シート!$CB$3:$CB$24,0),MATCH(K26,管理シート!$CB$3:$CM$3,0)),"")</f>
        <v/>
      </c>
      <c r="U26" s="661"/>
      <c r="V26" s="661"/>
      <c r="W26" s="587" t="str">
        <f ca="1">IF(ISERROR(MATCH("●",足元帳!AA24:AJ24,0)),"",INDIRECT("足元帳!R1C"&amp;MATCH("●",足元帳!AA24:AJ24,0)+26,FALSE))</f>
        <v/>
      </c>
      <c r="X26" s="565"/>
      <c r="Y26" s="566"/>
      <c r="Z26" s="587" t="str">
        <f>IF(足元帳!AL24="","","○")</f>
        <v/>
      </c>
      <c r="AA26" s="566"/>
      <c r="AB26" s="587" t="str">
        <f>IF(足元帳!AM24="","","現金カード払い"&amp;足元帳!AM24&amp;"  ")&amp;IF(足元帳!AP24="","",足元帳!AP24&amp;"　")&amp;IF(足元帳!AQ24="","",足元帳!AQ24&amp;"　")&amp;IF(足元帳!AR24="","",足元帳!AR24&amp;"　")&amp;IF(足元帳!AS24="","",足元帳!AS24&amp;"　")&amp;IF(足元帳!AT24="","",足元帳!AT24&amp;"　")&amp;IF(足元帳!AN24="","","LOVE×2")&amp;IF(足元帳!AJ24="","","MM"&amp;足元帳!AJ24)&amp;IF(足元帳!AW24="","",W26&amp;"利用"&amp;足元帳!AW24)&amp;IF(足元帳!AX24="",""," 優待券配布"&amp;足元帳!AX24)&amp;IF(足元帳!AU24="","","メルマガ")</f>
        <v/>
      </c>
      <c r="AC26" s="565"/>
      <c r="AD26" s="565"/>
      <c r="AE26" s="565"/>
      <c r="AF26" s="565"/>
      <c r="AG26" s="565"/>
      <c r="AH26" s="565"/>
      <c r="AI26" s="565"/>
      <c r="AJ26" s="565"/>
      <c r="AK26" s="565"/>
      <c r="AL26" s="565"/>
      <c r="AM26" s="565"/>
      <c r="AN26" s="565"/>
      <c r="AO26" s="565"/>
      <c r="AP26" s="565"/>
      <c r="AQ26" s="588"/>
      <c r="AR26" s="113" t="str">
        <f>IF(足元帳!A24="","",足元帳!A24)</f>
        <v/>
      </c>
      <c r="AS26" s="123">
        <f>COUNTIF(AR$4:AR26,AR26)</f>
        <v>23</v>
      </c>
    </row>
    <row r="27" spans="1:45" ht="23.45" customHeight="1">
      <c r="A27" s="586">
        <f t="shared" si="0"/>
        <v>24</v>
      </c>
      <c r="B27" s="566"/>
      <c r="C27" s="73" t="str">
        <f>IF(足元帳!AY25=1,"N",IF(足元帳!AY25=2,"R",""))</f>
        <v/>
      </c>
      <c r="D27" s="74" t="str">
        <f>IF(足元帳!AZ25&gt;0,VLOOKUP(足元帳!AZ25,管理シート!$R$4:$V$12,5,FALSE),"")</f>
        <v/>
      </c>
      <c r="E27" s="587" t="str">
        <f>IF(足元帳!J25="","",足元帳!J25)</f>
        <v/>
      </c>
      <c r="F27" s="566"/>
      <c r="G27" s="587" t="str">
        <f>IF(足元帳!K25="","",足元帳!K25)</f>
        <v/>
      </c>
      <c r="H27" s="565"/>
      <c r="I27" s="565"/>
      <c r="J27" s="566"/>
      <c r="K27" s="587" t="str">
        <f>IF(足元帳!BB25&gt;0,VLOOKUP(足元帳!BB25,管理シート!$R$4:$W$12,4,FALSE),"")</f>
        <v/>
      </c>
      <c r="L27" s="565"/>
      <c r="M27" s="566"/>
      <c r="N27" s="587" t="str">
        <f>IF(足元帳!U25="","",足元帳!U25)&amp;IF(足元帳!V25="","",足元帳!V25)&amp;IF(足元帳!W25="","",足元帳!W25)&amp;IF(足元帳!X25="","",足元帳!X25)&amp;IF(足元帳!Y25="","",足元帳!Y25)&amp;IF(足元帳!Z25="","",足元帳!Z25)</f>
        <v/>
      </c>
      <c r="O27" s="565"/>
      <c r="P27" s="565"/>
      <c r="Q27" s="565"/>
      <c r="R27" s="565"/>
      <c r="S27" s="566"/>
      <c r="T27" s="661" t="str">
        <f ca="1">IFERROR(INDEX(管理シート!$CB$3:$CK$24,MATCH(W27,管理シート!$CB$3:$CB$24,0),MATCH(K27,管理シート!$CB$3:$CM$3,0)),"")</f>
        <v/>
      </c>
      <c r="U27" s="661"/>
      <c r="V27" s="661"/>
      <c r="W27" s="587" t="str">
        <f ca="1">IF(ISERROR(MATCH("●",足元帳!AA25:AJ25,0)),"",INDIRECT("足元帳!R1C"&amp;MATCH("●",足元帳!AA25:AJ25,0)+26,FALSE))</f>
        <v/>
      </c>
      <c r="X27" s="565"/>
      <c r="Y27" s="566"/>
      <c r="Z27" s="587" t="str">
        <f>IF(足元帳!AL25="","","○")</f>
        <v/>
      </c>
      <c r="AA27" s="566"/>
      <c r="AB27" s="587" t="str">
        <f>IF(足元帳!AM25="","","現金カード払い"&amp;足元帳!AM25&amp;"  ")&amp;IF(足元帳!AP25="","",足元帳!AP25&amp;"　")&amp;IF(足元帳!AQ25="","",足元帳!AQ25&amp;"　")&amp;IF(足元帳!AR25="","",足元帳!AR25&amp;"　")&amp;IF(足元帳!AS25="","",足元帳!AS25&amp;"　")&amp;IF(足元帳!AT25="","",足元帳!AT25&amp;"　")&amp;IF(足元帳!AN25="","","LOVE×2")&amp;IF(足元帳!AJ25="","","MM"&amp;足元帳!AJ25)&amp;IF(足元帳!AW25="","",W27&amp;"利用"&amp;足元帳!AW25)&amp;IF(足元帳!AX25="",""," 優待券配布"&amp;足元帳!AX25)&amp;IF(足元帳!AU25="","","メルマガ")</f>
        <v/>
      </c>
      <c r="AC27" s="565"/>
      <c r="AD27" s="565"/>
      <c r="AE27" s="565"/>
      <c r="AF27" s="565"/>
      <c r="AG27" s="565"/>
      <c r="AH27" s="565"/>
      <c r="AI27" s="565"/>
      <c r="AJ27" s="565"/>
      <c r="AK27" s="565"/>
      <c r="AL27" s="565"/>
      <c r="AM27" s="565"/>
      <c r="AN27" s="565"/>
      <c r="AO27" s="565"/>
      <c r="AP27" s="565"/>
      <c r="AQ27" s="588"/>
      <c r="AR27" s="113" t="str">
        <f>IF(足元帳!A25="","",足元帳!A25)</f>
        <v/>
      </c>
      <c r="AS27" s="123">
        <f>COUNTIF(AR$4:AR27,AR27)</f>
        <v>24</v>
      </c>
    </row>
    <row r="28" spans="1:45" ht="23.45" customHeight="1">
      <c r="A28" s="586">
        <f t="shared" si="0"/>
        <v>25</v>
      </c>
      <c r="B28" s="566"/>
      <c r="C28" s="73" t="str">
        <f>IF(足元帳!AY26=1,"N",IF(足元帳!AY26=2,"R",""))</f>
        <v/>
      </c>
      <c r="D28" s="74" t="str">
        <f>IF(足元帳!AZ26&gt;0,VLOOKUP(足元帳!AZ26,管理シート!$R$4:$V$12,5,FALSE),"")</f>
        <v/>
      </c>
      <c r="E28" s="587" t="str">
        <f>IF(足元帳!J26="","",足元帳!J26)</f>
        <v/>
      </c>
      <c r="F28" s="566"/>
      <c r="G28" s="587" t="str">
        <f>IF(足元帳!K26="","",足元帳!K26)</f>
        <v/>
      </c>
      <c r="H28" s="565"/>
      <c r="I28" s="565"/>
      <c r="J28" s="566"/>
      <c r="K28" s="587" t="str">
        <f>IF(足元帳!BB26&gt;0,VLOOKUP(足元帳!BB26,管理シート!$R$4:$W$12,4,FALSE),"")</f>
        <v/>
      </c>
      <c r="L28" s="565"/>
      <c r="M28" s="566"/>
      <c r="N28" s="587" t="str">
        <f>IF(足元帳!U26="","",足元帳!U26)&amp;IF(足元帳!V26="","",足元帳!V26)&amp;IF(足元帳!W26="","",足元帳!W26)&amp;IF(足元帳!X26="","",足元帳!X26)&amp;IF(足元帳!Y26="","",足元帳!Y26)&amp;IF(足元帳!Z26="","",足元帳!Z26)</f>
        <v/>
      </c>
      <c r="O28" s="565"/>
      <c r="P28" s="565"/>
      <c r="Q28" s="565"/>
      <c r="R28" s="565"/>
      <c r="S28" s="566"/>
      <c r="T28" s="661" t="str">
        <f ca="1">IFERROR(INDEX(管理シート!$CB$3:$CK$24,MATCH(W28,管理シート!$CB$3:$CB$24,0),MATCH(K28,管理シート!$CB$3:$CM$3,0)),"")</f>
        <v/>
      </c>
      <c r="U28" s="661"/>
      <c r="V28" s="661"/>
      <c r="W28" s="587" t="str">
        <f ca="1">IF(ISERROR(MATCH("●",足元帳!AA26:AJ26,0)),"",INDIRECT("足元帳!R1C"&amp;MATCH("●",足元帳!AA26:AJ26,0)+26,FALSE))</f>
        <v/>
      </c>
      <c r="X28" s="565"/>
      <c r="Y28" s="566"/>
      <c r="Z28" s="587" t="str">
        <f>IF(足元帳!AL26="","","○")</f>
        <v/>
      </c>
      <c r="AA28" s="566"/>
      <c r="AB28" s="587" t="str">
        <f>IF(足元帳!AM26="","","現金カード払い"&amp;足元帳!AM26&amp;"  ")&amp;IF(足元帳!AP26="","",足元帳!AP26&amp;"　")&amp;IF(足元帳!AQ26="","",足元帳!AQ26&amp;"　")&amp;IF(足元帳!AR26="","",足元帳!AR26&amp;"　")&amp;IF(足元帳!AS26="","",足元帳!AS26&amp;"　")&amp;IF(足元帳!AT26="","",足元帳!AT26&amp;"　")&amp;IF(足元帳!AN26="","","LOVE×2")&amp;IF(足元帳!AJ26="","","MM"&amp;足元帳!AJ26)&amp;IF(足元帳!AW26="","",W28&amp;"利用"&amp;足元帳!AW26)&amp;IF(足元帳!AX26="",""," 優待券配布"&amp;足元帳!AX26)&amp;IF(足元帳!AU26="","","メルマガ")</f>
        <v/>
      </c>
      <c r="AC28" s="565"/>
      <c r="AD28" s="565"/>
      <c r="AE28" s="565"/>
      <c r="AF28" s="565"/>
      <c r="AG28" s="565"/>
      <c r="AH28" s="565"/>
      <c r="AI28" s="565"/>
      <c r="AJ28" s="565"/>
      <c r="AK28" s="565"/>
      <c r="AL28" s="565"/>
      <c r="AM28" s="565"/>
      <c r="AN28" s="565"/>
      <c r="AO28" s="565"/>
      <c r="AP28" s="565"/>
      <c r="AQ28" s="588"/>
      <c r="AR28" s="113" t="str">
        <f>IF(足元帳!A26="","",足元帳!A26)</f>
        <v/>
      </c>
      <c r="AS28" s="123">
        <f>COUNTIF(AR$4:AR28,AR28)</f>
        <v>25</v>
      </c>
    </row>
    <row r="29" spans="1:45" ht="23.45" customHeight="1">
      <c r="A29" s="586">
        <f t="shared" si="0"/>
        <v>26</v>
      </c>
      <c r="B29" s="566"/>
      <c r="C29" s="73" t="str">
        <f>IF(足元帳!AY27=1,"N",IF(足元帳!AY27=2,"R",""))</f>
        <v/>
      </c>
      <c r="D29" s="74" t="str">
        <f>IF(足元帳!AZ27&gt;0,VLOOKUP(足元帳!AZ27,管理シート!$R$4:$V$12,5,FALSE),"")</f>
        <v/>
      </c>
      <c r="E29" s="587" t="str">
        <f>IF(足元帳!J27="","",足元帳!J27)</f>
        <v/>
      </c>
      <c r="F29" s="566"/>
      <c r="G29" s="587" t="str">
        <f>IF(足元帳!K27="","",足元帳!K27)</f>
        <v/>
      </c>
      <c r="H29" s="565"/>
      <c r="I29" s="565"/>
      <c r="J29" s="566"/>
      <c r="K29" s="587" t="str">
        <f>IF(足元帳!BB27&gt;0,VLOOKUP(足元帳!BB27,管理シート!$R$4:$W$12,4,FALSE),"")</f>
        <v/>
      </c>
      <c r="L29" s="565"/>
      <c r="M29" s="566"/>
      <c r="N29" s="587" t="str">
        <f>IF(足元帳!U27="","",足元帳!U27)&amp;IF(足元帳!V27="","",足元帳!V27)&amp;IF(足元帳!W27="","",足元帳!W27)&amp;IF(足元帳!X27="","",足元帳!X27)&amp;IF(足元帳!Y27="","",足元帳!Y27)&amp;IF(足元帳!Z27="","",足元帳!Z27)</f>
        <v/>
      </c>
      <c r="O29" s="565"/>
      <c r="P29" s="565"/>
      <c r="Q29" s="565"/>
      <c r="R29" s="565"/>
      <c r="S29" s="566"/>
      <c r="T29" s="661" t="str">
        <f ca="1">IFERROR(INDEX(管理シート!$CB$3:$CK$24,MATCH(W29,管理シート!$CB$3:$CB$24,0),MATCH(K29,管理シート!$CB$3:$CM$3,0)),"")</f>
        <v/>
      </c>
      <c r="U29" s="661"/>
      <c r="V29" s="661"/>
      <c r="W29" s="587" t="str">
        <f ca="1">IF(ISERROR(MATCH("●",足元帳!AA27:AJ27,0)),"",INDIRECT("足元帳!R1C"&amp;MATCH("●",足元帳!AA27:AJ27,0)+26,FALSE))</f>
        <v/>
      </c>
      <c r="X29" s="565"/>
      <c r="Y29" s="566"/>
      <c r="Z29" s="587" t="str">
        <f>IF(足元帳!AL27="","","○")</f>
        <v/>
      </c>
      <c r="AA29" s="566"/>
      <c r="AB29" s="587" t="str">
        <f>IF(足元帳!AM27="","","現金カード払い"&amp;足元帳!AM27&amp;"  ")&amp;IF(足元帳!AP27="","",足元帳!AP27&amp;"　")&amp;IF(足元帳!AQ27="","",足元帳!AQ27&amp;"　")&amp;IF(足元帳!AR27="","",足元帳!AR27&amp;"　")&amp;IF(足元帳!AS27="","",足元帳!AS27&amp;"　")&amp;IF(足元帳!AT27="","",足元帳!AT27&amp;"　")&amp;IF(足元帳!AN27="","","LOVE×2")&amp;IF(足元帳!AJ27="","","MM"&amp;足元帳!AJ27)&amp;IF(足元帳!AW27="","",W29&amp;"利用"&amp;足元帳!AW27)&amp;IF(足元帳!AX27="",""," 優待券配布"&amp;足元帳!AX27)&amp;IF(足元帳!AU27="","","メルマガ")</f>
        <v/>
      </c>
      <c r="AC29" s="565"/>
      <c r="AD29" s="565"/>
      <c r="AE29" s="565"/>
      <c r="AF29" s="565"/>
      <c r="AG29" s="565"/>
      <c r="AH29" s="565"/>
      <c r="AI29" s="565"/>
      <c r="AJ29" s="565"/>
      <c r="AK29" s="565"/>
      <c r="AL29" s="565"/>
      <c r="AM29" s="565"/>
      <c r="AN29" s="565"/>
      <c r="AO29" s="565"/>
      <c r="AP29" s="565"/>
      <c r="AQ29" s="588"/>
      <c r="AR29" s="113" t="str">
        <f>IF(足元帳!A27="","",足元帳!A27)</f>
        <v/>
      </c>
      <c r="AS29" s="123">
        <f>COUNTIF(AR$4:AR29,AR29)</f>
        <v>26</v>
      </c>
    </row>
    <row r="30" spans="1:45" ht="23.45" customHeight="1">
      <c r="A30" s="586">
        <f t="shared" si="0"/>
        <v>27</v>
      </c>
      <c r="B30" s="566"/>
      <c r="C30" s="73" t="str">
        <f>IF(足元帳!AY28=1,"N",IF(足元帳!AY28=2,"R",""))</f>
        <v/>
      </c>
      <c r="D30" s="74" t="str">
        <f>IF(足元帳!AZ28&gt;0,VLOOKUP(足元帳!AZ28,管理シート!$R$4:$V$12,5,FALSE),"")</f>
        <v/>
      </c>
      <c r="E30" s="587" t="str">
        <f>IF(足元帳!J28="","",足元帳!J28)</f>
        <v/>
      </c>
      <c r="F30" s="566"/>
      <c r="G30" s="587" t="str">
        <f>IF(足元帳!K28="","",足元帳!K28)</f>
        <v/>
      </c>
      <c r="H30" s="565"/>
      <c r="I30" s="565"/>
      <c r="J30" s="566"/>
      <c r="K30" s="587" t="str">
        <f>IF(足元帳!BB28&gt;0,VLOOKUP(足元帳!BB28,管理シート!$R$4:$W$12,4,FALSE),"")</f>
        <v/>
      </c>
      <c r="L30" s="565"/>
      <c r="M30" s="566"/>
      <c r="N30" s="587" t="str">
        <f>IF(足元帳!U28="","",足元帳!U28)&amp;IF(足元帳!V28="","",足元帳!V28)&amp;IF(足元帳!W28="","",足元帳!W28)&amp;IF(足元帳!X28="","",足元帳!X28)&amp;IF(足元帳!Y28="","",足元帳!Y28)&amp;IF(足元帳!Z28="","",足元帳!Z28)</f>
        <v/>
      </c>
      <c r="O30" s="565"/>
      <c r="P30" s="565"/>
      <c r="Q30" s="565"/>
      <c r="R30" s="565"/>
      <c r="S30" s="566"/>
      <c r="T30" s="661" t="str">
        <f ca="1">IFERROR(INDEX(管理シート!$CB$3:$CK$24,MATCH(W30,管理シート!$CB$3:$CB$24,0),MATCH(K30,管理シート!$CB$3:$CM$3,0)),"")</f>
        <v/>
      </c>
      <c r="U30" s="661"/>
      <c r="V30" s="661"/>
      <c r="W30" s="587" t="str">
        <f ca="1">IF(ISERROR(MATCH("●",足元帳!AA28:AJ28,0)),"",INDIRECT("足元帳!R1C"&amp;MATCH("●",足元帳!AA28:AJ28,0)+26,FALSE))</f>
        <v/>
      </c>
      <c r="X30" s="565"/>
      <c r="Y30" s="566"/>
      <c r="Z30" s="587" t="str">
        <f>IF(足元帳!AL28="","","○")</f>
        <v/>
      </c>
      <c r="AA30" s="566"/>
      <c r="AB30" s="587" t="str">
        <f>IF(足元帳!AM28="","","現金カード払い"&amp;足元帳!AM28&amp;"  ")&amp;IF(足元帳!AP28="","",足元帳!AP28&amp;"　")&amp;IF(足元帳!AQ28="","",足元帳!AQ28&amp;"　")&amp;IF(足元帳!AR28="","",足元帳!AR28&amp;"　")&amp;IF(足元帳!AS28="","",足元帳!AS28&amp;"　")&amp;IF(足元帳!AT28="","",足元帳!AT28&amp;"　")&amp;IF(足元帳!AN28="","","LOVE×2")&amp;IF(足元帳!AJ28="","","MM"&amp;足元帳!AJ28)&amp;IF(足元帳!AW28="","",W30&amp;"利用"&amp;足元帳!AW28)&amp;IF(足元帳!AX28="",""," 優待券配布"&amp;足元帳!AX28)&amp;IF(足元帳!AU28="","","メルマガ")</f>
        <v/>
      </c>
      <c r="AC30" s="565"/>
      <c r="AD30" s="565"/>
      <c r="AE30" s="565"/>
      <c r="AF30" s="565"/>
      <c r="AG30" s="565"/>
      <c r="AH30" s="565"/>
      <c r="AI30" s="565"/>
      <c r="AJ30" s="565"/>
      <c r="AK30" s="565"/>
      <c r="AL30" s="565"/>
      <c r="AM30" s="565"/>
      <c r="AN30" s="565"/>
      <c r="AO30" s="565"/>
      <c r="AP30" s="565"/>
      <c r="AQ30" s="588"/>
      <c r="AR30" s="113" t="str">
        <f>IF(足元帳!A28="","",足元帳!A28)</f>
        <v/>
      </c>
      <c r="AS30" s="123">
        <f>COUNTIF(AR$4:AR30,AR30)</f>
        <v>27</v>
      </c>
    </row>
    <row r="31" spans="1:45" ht="23.45" customHeight="1">
      <c r="A31" s="586">
        <f t="shared" si="0"/>
        <v>28</v>
      </c>
      <c r="B31" s="566"/>
      <c r="C31" s="73" t="str">
        <f>IF(足元帳!AY29=1,"N",IF(足元帳!AY29=2,"R",""))</f>
        <v/>
      </c>
      <c r="D31" s="74" t="str">
        <f>IF(足元帳!AZ29&gt;0,VLOOKUP(足元帳!AZ29,管理シート!$R$4:$V$12,5,FALSE),"")</f>
        <v/>
      </c>
      <c r="E31" s="587" t="str">
        <f>IF(足元帳!J29="","",足元帳!J29)</f>
        <v/>
      </c>
      <c r="F31" s="566"/>
      <c r="G31" s="587" t="str">
        <f>IF(足元帳!K29="","",足元帳!K29)</f>
        <v/>
      </c>
      <c r="H31" s="565"/>
      <c r="I31" s="565"/>
      <c r="J31" s="566"/>
      <c r="K31" s="587" t="str">
        <f>IF(足元帳!BB29&gt;0,VLOOKUP(足元帳!BB29,管理シート!$R$4:$W$12,4,FALSE),"")</f>
        <v/>
      </c>
      <c r="L31" s="565"/>
      <c r="M31" s="566"/>
      <c r="N31" s="587" t="str">
        <f>IF(足元帳!U29="","",足元帳!U29)&amp;IF(足元帳!V29="","",足元帳!V29)&amp;IF(足元帳!W29="","",足元帳!W29)&amp;IF(足元帳!X29="","",足元帳!X29)&amp;IF(足元帳!Y29="","",足元帳!Y29)&amp;IF(足元帳!Z29="","",足元帳!Z29)</f>
        <v/>
      </c>
      <c r="O31" s="565"/>
      <c r="P31" s="565"/>
      <c r="Q31" s="565"/>
      <c r="R31" s="565"/>
      <c r="S31" s="566"/>
      <c r="T31" s="661" t="str">
        <f ca="1">IFERROR(INDEX(管理シート!$CB$3:$CK$24,MATCH(W31,管理シート!$CB$3:$CB$24,0),MATCH(K31,管理シート!$CB$3:$CM$3,0)),"")</f>
        <v/>
      </c>
      <c r="U31" s="661"/>
      <c r="V31" s="661"/>
      <c r="W31" s="587" t="str">
        <f ca="1">IF(ISERROR(MATCH("●",足元帳!AA29:AJ29,0)),"",INDIRECT("足元帳!R1C"&amp;MATCH("●",足元帳!AA29:AJ29,0)+26,FALSE))</f>
        <v/>
      </c>
      <c r="X31" s="565"/>
      <c r="Y31" s="566"/>
      <c r="Z31" s="587" t="str">
        <f>IF(足元帳!AL29="","","○")</f>
        <v/>
      </c>
      <c r="AA31" s="566"/>
      <c r="AB31" s="587" t="str">
        <f>IF(足元帳!AM29="","","現金カード払い"&amp;足元帳!AM29&amp;"  ")&amp;IF(足元帳!AP29="","",足元帳!AP29&amp;"　")&amp;IF(足元帳!AQ29="","",足元帳!AQ29&amp;"　")&amp;IF(足元帳!AR29="","",足元帳!AR29&amp;"　")&amp;IF(足元帳!AS29="","",足元帳!AS29&amp;"　")&amp;IF(足元帳!AT29="","",足元帳!AT29&amp;"　")&amp;IF(足元帳!AN29="","","LOVE×2")&amp;IF(足元帳!AJ29="","","MM"&amp;足元帳!AJ29)&amp;IF(足元帳!AW29="","",W31&amp;"利用"&amp;足元帳!AW29)&amp;IF(足元帳!AX29="",""," 優待券配布"&amp;足元帳!AX29)&amp;IF(足元帳!AU29="","","メルマガ")</f>
        <v/>
      </c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565"/>
      <c r="AQ31" s="588"/>
      <c r="AR31" s="113" t="str">
        <f>IF(足元帳!A29="","",足元帳!A29)</f>
        <v/>
      </c>
      <c r="AS31" s="123">
        <f>COUNTIF(AR$4:AR31,AR31)</f>
        <v>28</v>
      </c>
    </row>
    <row r="32" spans="1:45" ht="23.45" customHeight="1">
      <c r="A32" s="586">
        <f t="shared" si="0"/>
        <v>29</v>
      </c>
      <c r="B32" s="566"/>
      <c r="C32" s="73" t="str">
        <f>IF(足元帳!AY30=1,"N",IF(足元帳!AY30=2,"R",""))</f>
        <v/>
      </c>
      <c r="D32" s="74" t="str">
        <f>IF(足元帳!AZ30&gt;0,VLOOKUP(足元帳!AZ30,管理シート!$R$4:$V$12,5,FALSE),"")</f>
        <v/>
      </c>
      <c r="E32" s="587" t="str">
        <f>IF(足元帳!J30="","",足元帳!J30)</f>
        <v/>
      </c>
      <c r="F32" s="566"/>
      <c r="G32" s="587" t="str">
        <f>IF(足元帳!K30="","",足元帳!K30)</f>
        <v/>
      </c>
      <c r="H32" s="565"/>
      <c r="I32" s="565"/>
      <c r="J32" s="566"/>
      <c r="K32" s="587" t="str">
        <f>IF(足元帳!BB30&gt;0,VLOOKUP(足元帳!BB30,管理シート!$R$4:$W$12,4,FALSE),"")</f>
        <v/>
      </c>
      <c r="L32" s="565"/>
      <c r="M32" s="566"/>
      <c r="N32" s="587" t="str">
        <f>IF(足元帳!U30="","",足元帳!U30)&amp;IF(足元帳!V30="","",足元帳!V30)&amp;IF(足元帳!W30="","",足元帳!W30)&amp;IF(足元帳!X30="","",足元帳!X30)&amp;IF(足元帳!Y30="","",足元帳!Y30)&amp;IF(足元帳!Z30="","",足元帳!Z30)</f>
        <v/>
      </c>
      <c r="O32" s="565"/>
      <c r="P32" s="565"/>
      <c r="Q32" s="565"/>
      <c r="R32" s="565"/>
      <c r="S32" s="566"/>
      <c r="T32" s="661" t="str">
        <f ca="1">IFERROR(INDEX(管理シート!$CB$3:$CK$24,MATCH(W32,管理シート!$CB$3:$CB$24,0),MATCH(K32,管理シート!$CB$3:$CM$3,0)),"")</f>
        <v/>
      </c>
      <c r="U32" s="661"/>
      <c r="V32" s="661"/>
      <c r="W32" s="587" t="str">
        <f ca="1">IF(ISERROR(MATCH("●",足元帳!AA30:AJ30,0)),"",INDIRECT("足元帳!R1C"&amp;MATCH("●",足元帳!AA30:AJ30,0)+26,FALSE))</f>
        <v/>
      </c>
      <c r="X32" s="565"/>
      <c r="Y32" s="566"/>
      <c r="Z32" s="587" t="str">
        <f>IF(足元帳!AL30="","","○")</f>
        <v/>
      </c>
      <c r="AA32" s="566"/>
      <c r="AB32" s="587" t="str">
        <f>IF(足元帳!AM30="","","現金カード払い"&amp;足元帳!AM30&amp;"  ")&amp;IF(足元帳!AP30="","",足元帳!AP30&amp;"　")&amp;IF(足元帳!AQ30="","",足元帳!AQ30&amp;"　")&amp;IF(足元帳!AR30="","",足元帳!AR30&amp;"　")&amp;IF(足元帳!AS30="","",足元帳!AS30&amp;"　")&amp;IF(足元帳!AT30="","",足元帳!AT30&amp;"　")&amp;IF(足元帳!AN30="","","LOVE×2")&amp;IF(足元帳!AJ30="","","MM"&amp;足元帳!AJ30)&amp;IF(足元帳!AW30="","",W32&amp;"利用"&amp;足元帳!AW30)&amp;IF(足元帳!AX30="",""," 優待券配布"&amp;足元帳!AX30)&amp;IF(足元帳!AU30="","","メルマガ")</f>
        <v/>
      </c>
      <c r="AC32" s="565"/>
      <c r="AD32" s="565"/>
      <c r="AE32" s="565"/>
      <c r="AF32" s="565"/>
      <c r="AG32" s="565"/>
      <c r="AH32" s="565"/>
      <c r="AI32" s="565"/>
      <c r="AJ32" s="565"/>
      <c r="AK32" s="565"/>
      <c r="AL32" s="565"/>
      <c r="AM32" s="565"/>
      <c r="AN32" s="565"/>
      <c r="AO32" s="565"/>
      <c r="AP32" s="565"/>
      <c r="AQ32" s="588"/>
      <c r="AR32" s="113" t="str">
        <f>IF(足元帳!A30="","",足元帳!A30)</f>
        <v/>
      </c>
      <c r="AS32" s="123">
        <f>COUNTIF(AR$4:AR32,AR32)</f>
        <v>29</v>
      </c>
    </row>
    <row r="33" spans="1:45" ht="23.45" customHeight="1">
      <c r="A33" s="586">
        <f t="shared" si="0"/>
        <v>30</v>
      </c>
      <c r="B33" s="566"/>
      <c r="C33" s="73" t="str">
        <f>IF(足元帳!AY31=1,"N",IF(足元帳!AY31=2,"R",""))</f>
        <v/>
      </c>
      <c r="D33" s="74" t="str">
        <f>IF(足元帳!AZ31&gt;0,VLOOKUP(足元帳!AZ31,管理シート!$R$4:$V$12,5,FALSE),"")</f>
        <v/>
      </c>
      <c r="E33" s="587" t="str">
        <f>IF(足元帳!J31="","",足元帳!J31)</f>
        <v/>
      </c>
      <c r="F33" s="566"/>
      <c r="G33" s="587" t="str">
        <f>IF(足元帳!K31="","",足元帳!K31)</f>
        <v/>
      </c>
      <c r="H33" s="565"/>
      <c r="I33" s="565"/>
      <c r="J33" s="566"/>
      <c r="K33" s="587" t="str">
        <f>IF(足元帳!BB31&gt;0,VLOOKUP(足元帳!BB31,管理シート!$R$4:$W$12,4,FALSE),"")</f>
        <v/>
      </c>
      <c r="L33" s="565"/>
      <c r="M33" s="566"/>
      <c r="N33" s="587" t="str">
        <f>IF(足元帳!U31="","",足元帳!U31)&amp;IF(足元帳!V31="","",足元帳!V31)&amp;IF(足元帳!W31="","",足元帳!W31)&amp;IF(足元帳!X31="","",足元帳!X31)&amp;IF(足元帳!Y31="","",足元帳!Y31)&amp;IF(足元帳!Z31="","",足元帳!Z31)</f>
        <v/>
      </c>
      <c r="O33" s="565"/>
      <c r="P33" s="565"/>
      <c r="Q33" s="565"/>
      <c r="R33" s="565"/>
      <c r="S33" s="566"/>
      <c r="T33" s="661" t="str">
        <f ca="1">IFERROR(INDEX(管理シート!$CB$3:$CK$24,MATCH(W33,管理シート!$CB$3:$CB$24,0),MATCH(K33,管理シート!$CB$3:$CM$3,0)),"")</f>
        <v/>
      </c>
      <c r="U33" s="661"/>
      <c r="V33" s="661"/>
      <c r="W33" s="587" t="str">
        <f ca="1">IF(ISERROR(MATCH("●",足元帳!AA31:AJ31,0)),"",INDIRECT("足元帳!R1C"&amp;MATCH("●",足元帳!AA31:AJ31,0)+26,FALSE))</f>
        <v/>
      </c>
      <c r="X33" s="565"/>
      <c r="Y33" s="566"/>
      <c r="Z33" s="587" t="str">
        <f>IF(足元帳!AL31="","","○")</f>
        <v/>
      </c>
      <c r="AA33" s="566"/>
      <c r="AB33" s="587" t="str">
        <f>IF(足元帳!AM31="","","現金カード払い"&amp;足元帳!AM31&amp;"  ")&amp;IF(足元帳!AP31="","",足元帳!AP31&amp;"　")&amp;IF(足元帳!AQ31="","",足元帳!AQ31&amp;"　")&amp;IF(足元帳!AR31="","",足元帳!AR31&amp;"　")&amp;IF(足元帳!AS31="","",足元帳!AS31&amp;"　")&amp;IF(足元帳!AT31="","",足元帳!AT31&amp;"　")&amp;IF(足元帳!AN31="","","LOVE×2")&amp;IF(足元帳!AJ31="","","MM"&amp;足元帳!AJ31)&amp;IF(足元帳!AW31="","",W33&amp;"利用"&amp;足元帳!AW31)&amp;IF(足元帳!AX31="",""," 優待券配布"&amp;足元帳!AX31)&amp;IF(足元帳!AU31="","","メルマガ")</f>
        <v/>
      </c>
      <c r="AC33" s="565"/>
      <c r="AD33" s="565"/>
      <c r="AE33" s="565"/>
      <c r="AF33" s="565"/>
      <c r="AG33" s="565"/>
      <c r="AH33" s="565"/>
      <c r="AI33" s="565"/>
      <c r="AJ33" s="565"/>
      <c r="AK33" s="565"/>
      <c r="AL33" s="565"/>
      <c r="AM33" s="565"/>
      <c r="AN33" s="565"/>
      <c r="AO33" s="565"/>
      <c r="AP33" s="565"/>
      <c r="AQ33" s="588"/>
      <c r="AR33" s="113" t="str">
        <f>IF(足元帳!A31="","",足元帳!A31)</f>
        <v/>
      </c>
      <c r="AS33" s="123">
        <f>COUNTIF(AR$4:AR33,AR33)</f>
        <v>30</v>
      </c>
    </row>
    <row r="34" spans="1:45" ht="23.45" customHeight="1">
      <c r="A34" s="655">
        <f t="shared" si="0"/>
        <v>31</v>
      </c>
      <c r="B34" s="604"/>
      <c r="C34" s="73" t="str">
        <f>IF(足元帳!AY32=1,"N",IF(足元帳!AY32=2,"R",""))</f>
        <v/>
      </c>
      <c r="D34" s="74" t="str">
        <f>IF(足元帳!AZ32&gt;0,VLOOKUP(足元帳!AZ32,管理シート!$R$4:$V$12,5,FALSE),"")</f>
        <v/>
      </c>
      <c r="E34" s="587" t="str">
        <f>IF(足元帳!J32="","",足元帳!J32)</f>
        <v/>
      </c>
      <c r="F34" s="566"/>
      <c r="G34" s="587" t="str">
        <f>IF(足元帳!K32="","",足元帳!K32)</f>
        <v/>
      </c>
      <c r="H34" s="565"/>
      <c r="I34" s="565"/>
      <c r="J34" s="566"/>
      <c r="K34" s="587" t="str">
        <f>IF(足元帳!BB32&gt;0,VLOOKUP(足元帳!BB32,管理シート!$R$4:$W$12,4,FALSE),"")</f>
        <v/>
      </c>
      <c r="L34" s="565"/>
      <c r="M34" s="566"/>
      <c r="N34" s="587" t="str">
        <f>IF(足元帳!U32="","",足元帳!U32)&amp;IF(足元帳!V32="","",足元帳!V32)&amp;IF(足元帳!W32="","",足元帳!W32)&amp;IF(足元帳!X32="","",足元帳!X32)&amp;IF(足元帳!Y32="","",足元帳!Y32)&amp;IF(足元帳!Z32="","",足元帳!Z32)</f>
        <v/>
      </c>
      <c r="O34" s="565"/>
      <c r="P34" s="565"/>
      <c r="Q34" s="565"/>
      <c r="R34" s="565"/>
      <c r="S34" s="566"/>
      <c r="T34" s="661" t="str">
        <f ca="1">IFERROR(INDEX(管理シート!$CB$3:$CK$24,MATCH(W34,管理シート!$CB$3:$CB$24,0),MATCH(K34,管理シート!$CB$3:$CM$3,0)),"")</f>
        <v/>
      </c>
      <c r="U34" s="661"/>
      <c r="V34" s="661"/>
      <c r="W34" s="587" t="str">
        <f ca="1">IF(ISERROR(MATCH("●",足元帳!AA32:AJ32,0)),"",INDIRECT("足元帳!R1C"&amp;MATCH("●",足元帳!AA32:AJ32,0)+26,FALSE))</f>
        <v/>
      </c>
      <c r="X34" s="565"/>
      <c r="Y34" s="566"/>
      <c r="Z34" s="587" t="str">
        <f>IF(足元帳!AL32="","","○")</f>
        <v/>
      </c>
      <c r="AA34" s="566"/>
      <c r="AB34" s="587" t="str">
        <f>IF(足元帳!AM32="","","現金カード払い"&amp;足元帳!AM32&amp;"  ")&amp;IF(足元帳!AP32="","",足元帳!AP32&amp;"　")&amp;IF(足元帳!AQ32="","",足元帳!AQ32&amp;"　")&amp;IF(足元帳!AR32="","",足元帳!AR32&amp;"　")&amp;IF(足元帳!AS32="","",足元帳!AS32&amp;"　")&amp;IF(足元帳!AT32="","",足元帳!AT32&amp;"　")&amp;IF(足元帳!AN32="","","LOVE×2")&amp;IF(足元帳!AJ32="","","MM"&amp;足元帳!AJ32)&amp;IF(足元帳!AW32="","",W34&amp;"利用"&amp;足元帳!AW32)&amp;IF(足元帳!AX32="",""," 優待券配布"&amp;足元帳!AX32)&amp;IF(足元帳!AU32="","","メルマガ")</f>
        <v/>
      </c>
      <c r="AC34" s="565"/>
      <c r="AD34" s="565"/>
      <c r="AE34" s="565"/>
      <c r="AF34" s="565"/>
      <c r="AG34" s="565"/>
      <c r="AH34" s="565"/>
      <c r="AI34" s="565"/>
      <c r="AJ34" s="565"/>
      <c r="AK34" s="565"/>
      <c r="AL34" s="565"/>
      <c r="AM34" s="565"/>
      <c r="AN34" s="565"/>
      <c r="AO34" s="565"/>
      <c r="AP34" s="565"/>
      <c r="AQ34" s="588"/>
      <c r="AR34" s="113" t="str">
        <f>IF(足元帳!A32="","",足元帳!A32)</f>
        <v/>
      </c>
      <c r="AS34" s="123">
        <f>COUNTIF(AR$4:AR34,AR34)</f>
        <v>31</v>
      </c>
    </row>
    <row r="35" spans="1:45" ht="23.45" customHeight="1">
      <c r="A35" s="655">
        <f t="shared" si="0"/>
        <v>32</v>
      </c>
      <c r="B35" s="604"/>
      <c r="C35" s="73" t="str">
        <f>IF(足元帳!AY33=1,"N",IF(足元帳!AY33=2,"R",""))</f>
        <v/>
      </c>
      <c r="D35" s="74" t="str">
        <f>IF(足元帳!AZ33&gt;0,VLOOKUP(足元帳!AZ33,管理シート!$R$4:$V$12,5,FALSE),"")</f>
        <v/>
      </c>
      <c r="E35" s="587" t="str">
        <f>IF(足元帳!J33="","",足元帳!J33)</f>
        <v/>
      </c>
      <c r="F35" s="566"/>
      <c r="G35" s="587" t="str">
        <f>IF(足元帳!K33="","",足元帳!K33)</f>
        <v/>
      </c>
      <c r="H35" s="565"/>
      <c r="I35" s="565"/>
      <c r="J35" s="566"/>
      <c r="K35" s="587" t="str">
        <f>IF(足元帳!BB33&gt;0,VLOOKUP(足元帳!BB33,管理シート!$R$4:$W$12,4,FALSE),"")</f>
        <v/>
      </c>
      <c r="L35" s="565"/>
      <c r="M35" s="566"/>
      <c r="N35" s="587" t="str">
        <f>IF(足元帳!U33="","",足元帳!U33)&amp;IF(足元帳!V33="","",足元帳!V33)&amp;IF(足元帳!W33="","",足元帳!W33)&amp;IF(足元帳!X33="","",足元帳!X33)&amp;IF(足元帳!Y33="","",足元帳!Y33)&amp;IF(足元帳!Z33="","",足元帳!Z33)</f>
        <v/>
      </c>
      <c r="O35" s="565"/>
      <c r="P35" s="565"/>
      <c r="Q35" s="565"/>
      <c r="R35" s="565"/>
      <c r="S35" s="566"/>
      <c r="T35" s="661" t="str">
        <f ca="1">IFERROR(INDEX(管理シート!$CB$3:$CK$24,MATCH(W35,管理シート!$CB$3:$CB$24,0),MATCH(K35,管理シート!$CB$3:$CM$3,0)),"")</f>
        <v/>
      </c>
      <c r="U35" s="661"/>
      <c r="V35" s="661"/>
      <c r="W35" s="587" t="str">
        <f ca="1">IF(ISERROR(MATCH("●",足元帳!AA33:AJ33,0)),"",INDIRECT("足元帳!R1C"&amp;MATCH("●",足元帳!AA33:AJ33,0)+26,FALSE))</f>
        <v/>
      </c>
      <c r="X35" s="565"/>
      <c r="Y35" s="566"/>
      <c r="Z35" s="587" t="str">
        <f>IF(足元帳!AL33="","","○")</f>
        <v/>
      </c>
      <c r="AA35" s="566"/>
      <c r="AB35" s="587" t="str">
        <f>IF(足元帳!AM33="","","現金カード払い"&amp;足元帳!AM33&amp;"  ")&amp;IF(足元帳!AP33="","",足元帳!AP33&amp;"　")&amp;IF(足元帳!AQ33="","",足元帳!AQ33&amp;"　")&amp;IF(足元帳!AR33="","",足元帳!AR33&amp;"　")&amp;IF(足元帳!AS33="","",足元帳!AS33&amp;"　")&amp;IF(足元帳!AT33="","",足元帳!AT33&amp;"　")&amp;IF(足元帳!AN33="","","LOVE×2")&amp;IF(足元帳!AJ33="","","MM"&amp;足元帳!AJ33)&amp;IF(足元帳!AW33="","",W35&amp;"利用"&amp;足元帳!AW33)&amp;IF(足元帳!AX33="",""," 優待券配布"&amp;足元帳!AX33)&amp;IF(足元帳!AU33="","","メルマガ")</f>
        <v/>
      </c>
      <c r="AC35" s="565"/>
      <c r="AD35" s="565"/>
      <c r="AE35" s="565"/>
      <c r="AF35" s="565"/>
      <c r="AG35" s="565"/>
      <c r="AH35" s="565"/>
      <c r="AI35" s="565"/>
      <c r="AJ35" s="565"/>
      <c r="AK35" s="565"/>
      <c r="AL35" s="565"/>
      <c r="AM35" s="565"/>
      <c r="AN35" s="565"/>
      <c r="AO35" s="565"/>
      <c r="AP35" s="565"/>
      <c r="AQ35" s="588"/>
      <c r="AR35" s="113" t="str">
        <f>IF(足元帳!A33="","",足元帳!A33)</f>
        <v/>
      </c>
      <c r="AS35" s="123">
        <f>COUNTIF(AR$4:AR35,AR35)</f>
        <v>32</v>
      </c>
    </row>
    <row r="36" spans="1:45" ht="23.45" customHeight="1">
      <c r="A36" s="655">
        <f t="shared" si="0"/>
        <v>33</v>
      </c>
      <c r="B36" s="604"/>
      <c r="C36" s="73" t="str">
        <f>IF(足元帳!AY34=1,"N",IF(足元帳!AY34=2,"R",""))</f>
        <v/>
      </c>
      <c r="D36" s="74" t="str">
        <f>IF(足元帳!AZ34&gt;0,VLOOKUP(足元帳!AZ34,管理シート!$R$4:$V$12,5,FALSE),"")</f>
        <v/>
      </c>
      <c r="E36" s="587" t="str">
        <f>IF(足元帳!J34="","",足元帳!J34)</f>
        <v/>
      </c>
      <c r="F36" s="566"/>
      <c r="G36" s="587" t="str">
        <f>IF(足元帳!K34="","",足元帳!K34)</f>
        <v/>
      </c>
      <c r="H36" s="565"/>
      <c r="I36" s="565"/>
      <c r="J36" s="566"/>
      <c r="K36" s="587" t="str">
        <f>IF(足元帳!BB34&gt;0,VLOOKUP(足元帳!BB34,管理シート!$R$4:$W$12,4,FALSE),"")</f>
        <v/>
      </c>
      <c r="L36" s="565"/>
      <c r="M36" s="566"/>
      <c r="N36" s="587" t="str">
        <f>IF(足元帳!U34="","",足元帳!U34)&amp;IF(足元帳!V34="","",足元帳!V34)&amp;IF(足元帳!W34="","",足元帳!W34)&amp;IF(足元帳!X34="","",足元帳!X34)&amp;IF(足元帳!Y34="","",足元帳!Y34)&amp;IF(足元帳!Z34="","",足元帳!Z34)</f>
        <v/>
      </c>
      <c r="O36" s="565"/>
      <c r="P36" s="565"/>
      <c r="Q36" s="565"/>
      <c r="R36" s="565"/>
      <c r="S36" s="566"/>
      <c r="T36" s="661" t="str">
        <f ca="1">IFERROR(INDEX(管理シート!$CB$3:$CK$24,MATCH(W36,管理シート!$CB$3:$CB$24,0),MATCH(K36,管理シート!$CB$3:$CM$3,0)),"")</f>
        <v/>
      </c>
      <c r="U36" s="661"/>
      <c r="V36" s="661"/>
      <c r="W36" s="587" t="str">
        <f ca="1">IF(ISERROR(MATCH("●",足元帳!AA34:AJ34,0)),"",INDIRECT("足元帳!R1C"&amp;MATCH("●",足元帳!AA34:AJ34,0)+26,FALSE))</f>
        <v/>
      </c>
      <c r="X36" s="565"/>
      <c r="Y36" s="566"/>
      <c r="Z36" s="587" t="str">
        <f>IF(足元帳!AL34="","","○")</f>
        <v/>
      </c>
      <c r="AA36" s="566"/>
      <c r="AB36" s="587" t="str">
        <f>IF(足元帳!AM34="","","現金カード払い"&amp;足元帳!AM34&amp;"  ")&amp;IF(足元帳!AP34="","",足元帳!AP34&amp;"　")&amp;IF(足元帳!AQ34="","",足元帳!AQ34&amp;"　")&amp;IF(足元帳!AR34="","",足元帳!AR34&amp;"　")&amp;IF(足元帳!AS34="","",足元帳!AS34&amp;"　")&amp;IF(足元帳!AT34="","",足元帳!AT34&amp;"　")&amp;IF(足元帳!AN34="","","LOVE×2")&amp;IF(足元帳!AJ34="","","MM"&amp;足元帳!AJ34)&amp;IF(足元帳!AW34="","",W36&amp;"利用"&amp;足元帳!AW34)&amp;IF(足元帳!AX34="",""," 優待券配布"&amp;足元帳!AX34)&amp;IF(足元帳!AU34="","","メルマガ")</f>
        <v/>
      </c>
      <c r="AC36" s="565"/>
      <c r="AD36" s="565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565"/>
      <c r="AQ36" s="588"/>
      <c r="AR36" s="113" t="str">
        <f>IF(足元帳!A34="","",足元帳!A34)</f>
        <v/>
      </c>
      <c r="AS36" s="123">
        <f>COUNTIF(AR$4:AR36,AR36)</f>
        <v>33</v>
      </c>
    </row>
    <row r="37" spans="1:45" ht="23.45" customHeight="1">
      <c r="A37" s="655">
        <f t="shared" si="0"/>
        <v>34</v>
      </c>
      <c r="B37" s="604"/>
      <c r="C37" s="73" t="str">
        <f>IF(足元帳!AY35=1,"N",IF(足元帳!AY35=2,"R",""))</f>
        <v/>
      </c>
      <c r="D37" s="74" t="str">
        <f>IF(足元帳!AZ35&gt;0,VLOOKUP(足元帳!AZ35,管理シート!$R$4:$V$12,5,FALSE),"")</f>
        <v/>
      </c>
      <c r="E37" s="587" t="str">
        <f>IF(足元帳!J35="","",足元帳!J35)</f>
        <v/>
      </c>
      <c r="F37" s="566"/>
      <c r="G37" s="587" t="str">
        <f>IF(足元帳!K35="","",足元帳!K35)</f>
        <v/>
      </c>
      <c r="H37" s="565"/>
      <c r="I37" s="565"/>
      <c r="J37" s="566"/>
      <c r="K37" s="587" t="str">
        <f>IF(足元帳!BB35&gt;0,VLOOKUP(足元帳!BB35,管理シート!$R$4:$W$12,4,FALSE),"")</f>
        <v/>
      </c>
      <c r="L37" s="565"/>
      <c r="M37" s="566"/>
      <c r="N37" s="587" t="str">
        <f>IF(足元帳!U35="","",足元帳!U35)&amp;IF(足元帳!V35="","",足元帳!V35)&amp;IF(足元帳!W35="","",足元帳!W35)&amp;IF(足元帳!X35="","",足元帳!X35)&amp;IF(足元帳!Y35="","",足元帳!Y35)&amp;IF(足元帳!Z35="","",足元帳!Z35)</f>
        <v/>
      </c>
      <c r="O37" s="565"/>
      <c r="P37" s="565"/>
      <c r="Q37" s="565"/>
      <c r="R37" s="565"/>
      <c r="S37" s="566"/>
      <c r="T37" s="661" t="str">
        <f ca="1">IFERROR(INDEX(管理シート!$CB$3:$CK$24,MATCH(W37,管理シート!$CB$3:$CB$24,0),MATCH(K37,管理シート!$CB$3:$CM$3,0)),"")</f>
        <v/>
      </c>
      <c r="U37" s="661"/>
      <c r="V37" s="661"/>
      <c r="W37" s="587" t="str">
        <f ca="1">IF(ISERROR(MATCH("●",足元帳!AA35:AJ35,0)),"",INDIRECT("足元帳!R1C"&amp;MATCH("●",足元帳!AA35:AJ35,0)+26,FALSE))</f>
        <v/>
      </c>
      <c r="X37" s="565"/>
      <c r="Y37" s="566"/>
      <c r="Z37" s="587" t="str">
        <f>IF(足元帳!AL35="","","○")</f>
        <v/>
      </c>
      <c r="AA37" s="566"/>
      <c r="AB37" s="587" t="str">
        <f>IF(足元帳!AM35="","","現金カード払い"&amp;足元帳!AM35&amp;"  ")&amp;IF(足元帳!AP35="","",足元帳!AP35&amp;"　")&amp;IF(足元帳!AQ35="","",足元帳!AQ35&amp;"　")&amp;IF(足元帳!AR35="","",足元帳!AR35&amp;"　")&amp;IF(足元帳!AS35="","",足元帳!AS35&amp;"　")&amp;IF(足元帳!AT35="","",足元帳!AT35&amp;"　")&amp;IF(足元帳!AN35="","","LOVE×2")&amp;IF(足元帳!AJ35="","","MM"&amp;足元帳!AJ35)&amp;IF(足元帳!AW35="","",W37&amp;"利用"&amp;足元帳!AW35)&amp;IF(足元帳!AX35="",""," 優待券配布"&amp;足元帳!AX35)&amp;IF(足元帳!AU35="","","メルマガ")</f>
        <v/>
      </c>
      <c r="AC37" s="565"/>
      <c r="AD37" s="565"/>
      <c r="AE37" s="565"/>
      <c r="AF37" s="565"/>
      <c r="AG37" s="565"/>
      <c r="AH37" s="565"/>
      <c r="AI37" s="565"/>
      <c r="AJ37" s="565"/>
      <c r="AK37" s="565"/>
      <c r="AL37" s="565"/>
      <c r="AM37" s="565"/>
      <c r="AN37" s="565"/>
      <c r="AO37" s="565"/>
      <c r="AP37" s="565"/>
      <c r="AQ37" s="588"/>
      <c r="AR37" s="113" t="str">
        <f>IF(足元帳!A35="","",足元帳!A35)</f>
        <v/>
      </c>
      <c r="AS37" s="123">
        <f>COUNTIF(AR$4:AR37,AR37)</f>
        <v>34</v>
      </c>
    </row>
    <row r="38" spans="1:45" ht="23.45" customHeight="1">
      <c r="A38" s="655">
        <f t="shared" si="0"/>
        <v>35</v>
      </c>
      <c r="B38" s="604"/>
      <c r="C38" s="73" t="str">
        <f>IF(足元帳!AY36=1,"N",IF(足元帳!AY36=2,"R",""))</f>
        <v/>
      </c>
      <c r="D38" s="74" t="str">
        <f>IF(足元帳!AZ36&gt;0,VLOOKUP(足元帳!AZ36,管理シート!$R$4:$V$12,5,FALSE),"")</f>
        <v/>
      </c>
      <c r="E38" s="587" t="str">
        <f>IF(足元帳!J36="","",足元帳!J36)</f>
        <v/>
      </c>
      <c r="F38" s="566"/>
      <c r="G38" s="587" t="str">
        <f>IF(足元帳!K36="","",足元帳!K36)</f>
        <v/>
      </c>
      <c r="H38" s="565"/>
      <c r="I38" s="565"/>
      <c r="J38" s="566"/>
      <c r="K38" s="587" t="str">
        <f>IF(足元帳!BB36&gt;0,VLOOKUP(足元帳!BB36,管理シート!$R$4:$W$12,4,FALSE),"")</f>
        <v/>
      </c>
      <c r="L38" s="565"/>
      <c r="M38" s="566"/>
      <c r="N38" s="587" t="str">
        <f>IF(足元帳!U36="","",足元帳!U36)&amp;IF(足元帳!V36="","",足元帳!V36)&amp;IF(足元帳!W36="","",足元帳!W36)&amp;IF(足元帳!X36="","",足元帳!X36)&amp;IF(足元帳!Y36="","",足元帳!Y36)&amp;IF(足元帳!Z36="","",足元帳!Z36)</f>
        <v/>
      </c>
      <c r="O38" s="565"/>
      <c r="P38" s="565"/>
      <c r="Q38" s="565"/>
      <c r="R38" s="565"/>
      <c r="S38" s="566"/>
      <c r="T38" s="661" t="str">
        <f ca="1">IFERROR(INDEX(管理シート!$CB$3:$CK$24,MATCH(W38,管理シート!$CB$3:$CB$24,0),MATCH(K38,管理シート!$CB$3:$CM$3,0)),"")</f>
        <v/>
      </c>
      <c r="U38" s="661"/>
      <c r="V38" s="661"/>
      <c r="W38" s="587" t="str">
        <f ca="1">IF(ISERROR(MATCH("●",足元帳!AA36:AJ36,0)),"",INDIRECT("足元帳!R1C"&amp;MATCH("●",足元帳!AA36:AJ36,0)+26,FALSE))</f>
        <v/>
      </c>
      <c r="X38" s="565"/>
      <c r="Y38" s="566"/>
      <c r="Z38" s="587" t="str">
        <f>IF(足元帳!AL36="","","○")</f>
        <v/>
      </c>
      <c r="AA38" s="566"/>
      <c r="AB38" s="587" t="str">
        <f>IF(足元帳!AM36="","","現金カード払い"&amp;足元帳!AM36&amp;"  ")&amp;IF(足元帳!AP36="","",足元帳!AP36&amp;"　")&amp;IF(足元帳!AQ36="","",足元帳!AQ36&amp;"　")&amp;IF(足元帳!AR36="","",足元帳!AR36&amp;"　")&amp;IF(足元帳!AS36="","",足元帳!AS36&amp;"　")&amp;IF(足元帳!AT36="","",足元帳!AT36&amp;"　")&amp;IF(足元帳!AN36="","","LOVE×2")&amp;IF(足元帳!AJ36="","","MM"&amp;足元帳!AJ36)&amp;IF(足元帳!AW36="","",W38&amp;"利用"&amp;足元帳!AW36)&amp;IF(足元帳!AX36="",""," 優待券配布"&amp;足元帳!AX36)&amp;IF(足元帳!AU36="","","メルマガ")</f>
        <v/>
      </c>
      <c r="AC38" s="565"/>
      <c r="AD38" s="565"/>
      <c r="AE38" s="565"/>
      <c r="AF38" s="565"/>
      <c r="AG38" s="565"/>
      <c r="AH38" s="565"/>
      <c r="AI38" s="565"/>
      <c r="AJ38" s="565"/>
      <c r="AK38" s="565"/>
      <c r="AL38" s="565"/>
      <c r="AM38" s="565"/>
      <c r="AN38" s="565"/>
      <c r="AO38" s="565"/>
      <c r="AP38" s="565"/>
      <c r="AQ38" s="588"/>
      <c r="AR38" s="113" t="str">
        <f>IF(足元帳!A36="","",足元帳!A36)</f>
        <v/>
      </c>
      <c r="AS38" s="123">
        <f>COUNTIF(AR$4:AR38,AR38)</f>
        <v>35</v>
      </c>
    </row>
    <row r="39" spans="1:45" ht="23.45" customHeight="1">
      <c r="A39" s="655">
        <f t="shared" si="0"/>
        <v>36</v>
      </c>
      <c r="B39" s="604"/>
      <c r="C39" s="73" t="str">
        <f>IF(足元帳!AY37=1,"N",IF(足元帳!AY37=2,"R",""))</f>
        <v/>
      </c>
      <c r="D39" s="74" t="str">
        <f>IF(足元帳!AZ37&gt;0,VLOOKUP(足元帳!AZ37,管理シート!$R$4:$V$12,5,FALSE),"")</f>
        <v/>
      </c>
      <c r="E39" s="587" t="str">
        <f>IF(足元帳!J37="","",足元帳!J37)</f>
        <v/>
      </c>
      <c r="F39" s="566"/>
      <c r="G39" s="587" t="str">
        <f>IF(足元帳!K37="","",足元帳!K37)</f>
        <v/>
      </c>
      <c r="H39" s="565"/>
      <c r="I39" s="565"/>
      <c r="J39" s="566"/>
      <c r="K39" s="587" t="str">
        <f>IF(足元帳!BB37&gt;0,VLOOKUP(足元帳!BB37,管理シート!$R$4:$W$12,4,FALSE),"")</f>
        <v/>
      </c>
      <c r="L39" s="565"/>
      <c r="M39" s="566"/>
      <c r="N39" s="587" t="str">
        <f>IF(足元帳!U37="","",足元帳!U37)&amp;IF(足元帳!V37="","",足元帳!V37)&amp;IF(足元帳!W37="","",足元帳!W37)&amp;IF(足元帳!X37="","",足元帳!X37)&amp;IF(足元帳!Y37="","",足元帳!Y37)&amp;IF(足元帳!Z37="","",足元帳!Z37)</f>
        <v/>
      </c>
      <c r="O39" s="565"/>
      <c r="P39" s="565"/>
      <c r="Q39" s="565"/>
      <c r="R39" s="565"/>
      <c r="S39" s="566"/>
      <c r="T39" s="661" t="str">
        <f ca="1">IFERROR(INDEX(管理シート!$CB$3:$CK$24,MATCH(W39,管理シート!$CB$3:$CB$24,0),MATCH(K39,管理シート!$CB$3:$CM$3,0)),"")</f>
        <v/>
      </c>
      <c r="U39" s="661"/>
      <c r="V39" s="661"/>
      <c r="W39" s="587" t="str">
        <f ca="1">IF(ISERROR(MATCH("●",足元帳!AA37:AJ37,0)),"",INDIRECT("足元帳!R1C"&amp;MATCH("●",足元帳!AA37:AJ37,0)+26,FALSE))</f>
        <v/>
      </c>
      <c r="X39" s="565"/>
      <c r="Y39" s="566"/>
      <c r="Z39" s="587" t="str">
        <f>IF(足元帳!AL37="","","○")</f>
        <v/>
      </c>
      <c r="AA39" s="566"/>
      <c r="AB39" s="587" t="str">
        <f>IF(足元帳!AM37="","","現金カード払い"&amp;足元帳!AM37&amp;"  ")&amp;IF(足元帳!AP37="","",足元帳!AP37&amp;"　")&amp;IF(足元帳!AQ37="","",足元帳!AQ37&amp;"　")&amp;IF(足元帳!AR37="","",足元帳!AR37&amp;"　")&amp;IF(足元帳!AS37="","",足元帳!AS37&amp;"　")&amp;IF(足元帳!AT37="","",足元帳!AT37&amp;"　")&amp;IF(足元帳!AN37="","","LOVE×2")&amp;IF(足元帳!AJ37="","","MM"&amp;足元帳!AJ37)&amp;IF(足元帳!AW37="","",W39&amp;"利用"&amp;足元帳!AW37)&amp;IF(足元帳!AX37="",""," 優待券配布"&amp;足元帳!AX37)&amp;IF(足元帳!AU37="","","メルマガ")</f>
        <v/>
      </c>
      <c r="AC39" s="565"/>
      <c r="AD39" s="565"/>
      <c r="AE39" s="565"/>
      <c r="AF39" s="565"/>
      <c r="AG39" s="565"/>
      <c r="AH39" s="565"/>
      <c r="AI39" s="565"/>
      <c r="AJ39" s="565"/>
      <c r="AK39" s="565"/>
      <c r="AL39" s="565"/>
      <c r="AM39" s="565"/>
      <c r="AN39" s="565"/>
      <c r="AO39" s="565"/>
      <c r="AP39" s="565"/>
      <c r="AQ39" s="588"/>
      <c r="AR39" s="113" t="str">
        <f>IF(足元帳!A37="","",足元帳!A37)</f>
        <v/>
      </c>
      <c r="AS39" s="123">
        <f>COUNTIF(AR$4:AR39,AR39)</f>
        <v>36</v>
      </c>
    </row>
    <row r="40" spans="1:45" ht="23.45" customHeight="1">
      <c r="A40" s="655">
        <f t="shared" si="0"/>
        <v>37</v>
      </c>
      <c r="B40" s="604"/>
      <c r="C40" s="73" t="str">
        <f>IF(足元帳!AY38=1,"N",IF(足元帳!AY38=2,"R",""))</f>
        <v/>
      </c>
      <c r="D40" s="74" t="str">
        <f>IF(足元帳!AZ38&gt;0,VLOOKUP(足元帳!AZ38,管理シート!$R$4:$V$12,5,FALSE),"")</f>
        <v/>
      </c>
      <c r="E40" s="587" t="str">
        <f>IF(足元帳!J38="","",足元帳!J38)</f>
        <v/>
      </c>
      <c r="F40" s="566"/>
      <c r="G40" s="587" t="str">
        <f>IF(足元帳!K38="","",足元帳!K38)</f>
        <v/>
      </c>
      <c r="H40" s="565"/>
      <c r="I40" s="565"/>
      <c r="J40" s="566"/>
      <c r="K40" s="587" t="str">
        <f>IF(足元帳!BB38&gt;0,VLOOKUP(足元帳!BB38,管理シート!$R$4:$W$12,4,FALSE),"")</f>
        <v/>
      </c>
      <c r="L40" s="565"/>
      <c r="M40" s="566"/>
      <c r="N40" s="587" t="str">
        <f>IF(足元帳!U38="","",足元帳!U38)&amp;IF(足元帳!V38="","",足元帳!V38)&amp;IF(足元帳!W38="","",足元帳!W38)&amp;IF(足元帳!X38="","",足元帳!X38)&amp;IF(足元帳!Y38="","",足元帳!Y38)&amp;IF(足元帳!Z38="","",足元帳!Z38)</f>
        <v/>
      </c>
      <c r="O40" s="565"/>
      <c r="P40" s="565"/>
      <c r="Q40" s="565"/>
      <c r="R40" s="565"/>
      <c r="S40" s="566"/>
      <c r="T40" s="661" t="str">
        <f ca="1">IFERROR(INDEX(管理シート!$CB$3:$CK$24,MATCH(W40,管理シート!$CB$3:$CB$24,0),MATCH(K40,管理シート!$CB$3:$CM$3,0)),"")</f>
        <v/>
      </c>
      <c r="U40" s="661"/>
      <c r="V40" s="661"/>
      <c r="W40" s="587" t="str">
        <f ca="1">IF(ISERROR(MATCH("●",足元帳!AA38:AJ38,0)),"",INDIRECT("足元帳!R1C"&amp;MATCH("●",足元帳!AA38:AJ38,0)+26,FALSE))</f>
        <v/>
      </c>
      <c r="X40" s="565"/>
      <c r="Y40" s="566"/>
      <c r="Z40" s="587" t="str">
        <f>IF(足元帳!AL38="","","○")</f>
        <v/>
      </c>
      <c r="AA40" s="566"/>
      <c r="AB40" s="587" t="str">
        <f>IF(足元帳!AM38="","","現金カード払い"&amp;足元帳!AM38&amp;"  ")&amp;IF(足元帳!AP38="","",足元帳!AP38&amp;"　")&amp;IF(足元帳!AQ38="","",足元帳!AQ38&amp;"　")&amp;IF(足元帳!AR38="","",足元帳!AR38&amp;"　")&amp;IF(足元帳!AS38="","",足元帳!AS38&amp;"　")&amp;IF(足元帳!AT38="","",足元帳!AT38&amp;"　")&amp;IF(足元帳!AN38="","","LOVE×2")&amp;IF(足元帳!AJ38="","","MM"&amp;足元帳!AJ38)&amp;IF(足元帳!AW38="","",W40&amp;"利用"&amp;足元帳!AW38)&amp;IF(足元帳!AX38="",""," 優待券配布"&amp;足元帳!AX38)&amp;IF(足元帳!AU38="","","メルマガ")</f>
        <v/>
      </c>
      <c r="AC40" s="565"/>
      <c r="AD40" s="565"/>
      <c r="AE40" s="565"/>
      <c r="AF40" s="565"/>
      <c r="AG40" s="565"/>
      <c r="AH40" s="565"/>
      <c r="AI40" s="565"/>
      <c r="AJ40" s="565"/>
      <c r="AK40" s="565"/>
      <c r="AL40" s="565"/>
      <c r="AM40" s="565"/>
      <c r="AN40" s="565"/>
      <c r="AO40" s="565"/>
      <c r="AP40" s="565"/>
      <c r="AQ40" s="588"/>
      <c r="AR40" s="113" t="str">
        <f>IF(足元帳!A38="","",足元帳!A38)</f>
        <v/>
      </c>
      <c r="AS40" s="123">
        <f>COUNTIF(AR$4:AR40,AR40)</f>
        <v>37</v>
      </c>
    </row>
    <row r="41" spans="1:45" ht="23.45" customHeight="1">
      <c r="A41" s="655">
        <f t="shared" si="0"/>
        <v>38</v>
      </c>
      <c r="B41" s="604"/>
      <c r="C41" s="73" t="str">
        <f>IF(足元帳!AY39=1,"N",IF(足元帳!AY39=2,"R",""))</f>
        <v/>
      </c>
      <c r="D41" s="74" t="str">
        <f>IF(足元帳!AZ39&gt;0,VLOOKUP(足元帳!AZ39,管理シート!$R$4:$V$12,5,FALSE),"")</f>
        <v/>
      </c>
      <c r="E41" s="587" t="str">
        <f>IF(足元帳!J39="","",足元帳!J39)</f>
        <v/>
      </c>
      <c r="F41" s="566"/>
      <c r="G41" s="587" t="str">
        <f>IF(足元帳!K39="","",足元帳!K39)</f>
        <v/>
      </c>
      <c r="H41" s="565"/>
      <c r="I41" s="565"/>
      <c r="J41" s="566"/>
      <c r="K41" s="587" t="str">
        <f>IF(足元帳!BB39&gt;0,VLOOKUP(足元帳!BB39,管理シート!$R$4:$W$12,4,FALSE),"")</f>
        <v/>
      </c>
      <c r="L41" s="565"/>
      <c r="M41" s="566"/>
      <c r="N41" s="587" t="str">
        <f>IF(足元帳!U39="","",足元帳!U39)&amp;IF(足元帳!V39="","",足元帳!V39)&amp;IF(足元帳!W39="","",足元帳!W39)&amp;IF(足元帳!X39="","",足元帳!X39)&amp;IF(足元帳!Y39="","",足元帳!Y39)&amp;IF(足元帳!Z39="","",足元帳!Z39)</f>
        <v/>
      </c>
      <c r="O41" s="565"/>
      <c r="P41" s="565"/>
      <c r="Q41" s="565"/>
      <c r="R41" s="565"/>
      <c r="S41" s="566"/>
      <c r="T41" s="661" t="str">
        <f ca="1">IFERROR(INDEX(管理シート!$CB$3:$CK$24,MATCH(W41,管理シート!$CB$3:$CB$24,0),MATCH(K41,管理シート!$CB$3:$CM$3,0)),"")</f>
        <v/>
      </c>
      <c r="U41" s="661"/>
      <c r="V41" s="661"/>
      <c r="W41" s="587" t="str">
        <f ca="1">IF(ISERROR(MATCH("●",足元帳!AA39:AJ39,0)),"",INDIRECT("足元帳!R1C"&amp;MATCH("●",足元帳!AA39:AJ39,0)+26,FALSE))</f>
        <v/>
      </c>
      <c r="X41" s="565"/>
      <c r="Y41" s="566"/>
      <c r="Z41" s="587" t="str">
        <f>IF(足元帳!AL39="","","○")</f>
        <v/>
      </c>
      <c r="AA41" s="566"/>
      <c r="AB41" s="587" t="str">
        <f>IF(足元帳!AM39="","","現金カード払い"&amp;足元帳!AM39&amp;"  ")&amp;IF(足元帳!AP39="","",足元帳!AP39&amp;"　")&amp;IF(足元帳!AQ39="","",足元帳!AQ39&amp;"　")&amp;IF(足元帳!AR39="","",足元帳!AR39&amp;"　")&amp;IF(足元帳!AS39="","",足元帳!AS39&amp;"　")&amp;IF(足元帳!AT39="","",足元帳!AT39&amp;"　")&amp;IF(足元帳!AN39="","","LOVE×2")&amp;IF(足元帳!AJ39="","","MM"&amp;足元帳!AJ39)&amp;IF(足元帳!AW39="","",W41&amp;"利用"&amp;足元帳!AW39)&amp;IF(足元帳!AX39="",""," 優待券配布"&amp;足元帳!AX39)&amp;IF(足元帳!AU39="","","メルマガ")</f>
        <v/>
      </c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565"/>
      <c r="AP41" s="565"/>
      <c r="AQ41" s="588"/>
      <c r="AR41" s="113" t="str">
        <f>IF(足元帳!A39="","",足元帳!A39)</f>
        <v/>
      </c>
      <c r="AS41" s="123">
        <f>COUNTIF(AR$4:AR41,AR41)</f>
        <v>38</v>
      </c>
    </row>
    <row r="42" spans="1:45" ht="23.45" customHeight="1">
      <c r="A42" s="655">
        <f t="shared" si="0"/>
        <v>39</v>
      </c>
      <c r="B42" s="604"/>
      <c r="C42" s="73" t="str">
        <f>IF(足元帳!AY40=1,"N",IF(足元帳!AY40=2,"R",""))</f>
        <v/>
      </c>
      <c r="D42" s="74" t="str">
        <f>IF(足元帳!AZ40&gt;0,VLOOKUP(足元帳!AZ40,管理シート!$R$4:$V$12,5,FALSE),"")</f>
        <v/>
      </c>
      <c r="E42" s="587" t="str">
        <f>IF(足元帳!J40="","",足元帳!J40)</f>
        <v/>
      </c>
      <c r="F42" s="566"/>
      <c r="G42" s="587" t="str">
        <f>IF(足元帳!K40="","",足元帳!K40)</f>
        <v/>
      </c>
      <c r="H42" s="565"/>
      <c r="I42" s="565"/>
      <c r="J42" s="566"/>
      <c r="K42" s="587" t="str">
        <f>IF(足元帳!BB40&gt;0,VLOOKUP(足元帳!BB40,管理シート!$R$4:$W$12,4,FALSE),"")</f>
        <v/>
      </c>
      <c r="L42" s="565"/>
      <c r="M42" s="566"/>
      <c r="N42" s="587" t="str">
        <f>IF(足元帳!U40="","",足元帳!U40)&amp;IF(足元帳!V40="","",足元帳!V40)&amp;IF(足元帳!W40="","",足元帳!W40)&amp;IF(足元帳!X40="","",足元帳!X40)&amp;IF(足元帳!Y40="","",足元帳!Y40)&amp;IF(足元帳!Z40="","",足元帳!Z40)</f>
        <v/>
      </c>
      <c r="O42" s="565"/>
      <c r="P42" s="565"/>
      <c r="Q42" s="565"/>
      <c r="R42" s="565"/>
      <c r="S42" s="566"/>
      <c r="T42" s="661" t="str">
        <f ca="1">IFERROR(INDEX(管理シート!$CB$3:$CK$24,MATCH(W42,管理シート!$CB$3:$CB$24,0),MATCH(K42,管理シート!$CB$3:$CM$3,0)),"")</f>
        <v/>
      </c>
      <c r="U42" s="661"/>
      <c r="V42" s="661"/>
      <c r="W42" s="587" t="str">
        <f ca="1">IF(ISERROR(MATCH("●",足元帳!AA40:AJ40,0)),"",INDIRECT("足元帳!R1C"&amp;MATCH("●",足元帳!AA40:AJ40,0)+26,FALSE))</f>
        <v/>
      </c>
      <c r="X42" s="565"/>
      <c r="Y42" s="566"/>
      <c r="Z42" s="587" t="str">
        <f>IF(足元帳!AL40="","","○")</f>
        <v/>
      </c>
      <c r="AA42" s="566"/>
      <c r="AB42" s="587" t="str">
        <f>IF(足元帳!AM40="","","現金カード払い"&amp;足元帳!AM40&amp;"  ")&amp;IF(足元帳!AP40="","",足元帳!AP40&amp;"　")&amp;IF(足元帳!AQ40="","",足元帳!AQ40&amp;"　")&amp;IF(足元帳!AR40="","",足元帳!AR40&amp;"　")&amp;IF(足元帳!AS40="","",足元帳!AS40&amp;"　")&amp;IF(足元帳!AT40="","",足元帳!AT40&amp;"　")&amp;IF(足元帳!AN40="","","LOVE×2")&amp;IF(足元帳!AJ40="","","MM"&amp;足元帳!AJ40)&amp;IF(足元帳!AW40="","",W42&amp;"利用"&amp;足元帳!AW40)&amp;IF(足元帳!AX40="",""," 優待券配布"&amp;足元帳!AX40)&amp;IF(足元帳!AU40="","","メルマガ")</f>
        <v/>
      </c>
      <c r="AC42" s="565"/>
      <c r="AD42" s="565"/>
      <c r="AE42" s="565"/>
      <c r="AF42" s="565"/>
      <c r="AG42" s="565"/>
      <c r="AH42" s="565"/>
      <c r="AI42" s="565"/>
      <c r="AJ42" s="565"/>
      <c r="AK42" s="565"/>
      <c r="AL42" s="565"/>
      <c r="AM42" s="565"/>
      <c r="AN42" s="565"/>
      <c r="AO42" s="565"/>
      <c r="AP42" s="565"/>
      <c r="AQ42" s="588"/>
      <c r="AR42" s="113" t="str">
        <f>IF(足元帳!A40="","",足元帳!A40)</f>
        <v/>
      </c>
      <c r="AS42" s="123">
        <f>COUNTIF(AR$4:AR42,AR42)</f>
        <v>39</v>
      </c>
    </row>
    <row r="43" spans="1:45" ht="23.45" customHeight="1" thickBot="1">
      <c r="A43" s="663">
        <f t="shared" si="0"/>
        <v>40</v>
      </c>
      <c r="B43" s="608"/>
      <c r="C43" s="76" t="str">
        <f>IF(足元帳!AY41=1,"N",IF(足元帳!AY41=2,"R",""))</f>
        <v/>
      </c>
      <c r="D43" s="77" t="str">
        <f>IF(足元帳!AZ41&gt;0,VLOOKUP(足元帳!AZ41,管理シート!$R$4:$V$12,5,FALSE),"")</f>
        <v/>
      </c>
      <c r="E43" s="597" t="str">
        <f>IF(足元帳!J41="","",足元帳!J41)</f>
        <v/>
      </c>
      <c r="F43" s="596"/>
      <c r="G43" s="597" t="str">
        <f>IF(足元帳!K41="","",足元帳!K41)</f>
        <v/>
      </c>
      <c r="H43" s="589"/>
      <c r="I43" s="589"/>
      <c r="J43" s="596"/>
      <c r="K43" s="597" t="str">
        <f>IF(足元帳!BB41&gt;0,VLOOKUP(足元帳!BB41,管理シート!$R$4:$W$12,4,FALSE),"")</f>
        <v/>
      </c>
      <c r="L43" s="589"/>
      <c r="M43" s="596"/>
      <c r="N43" s="597" t="str">
        <f>IF(足元帳!U41="","",足元帳!U41)&amp;IF(足元帳!V41="","",足元帳!V41)&amp;IF(足元帳!W41="","",足元帳!W41)&amp;IF(足元帳!X41="","",足元帳!X41)&amp;IF(足元帳!Y41="","",足元帳!Y41)&amp;IF(足元帳!Z41="","",足元帳!Z41)</f>
        <v/>
      </c>
      <c r="O43" s="589"/>
      <c r="P43" s="589"/>
      <c r="Q43" s="589"/>
      <c r="R43" s="589"/>
      <c r="S43" s="596"/>
      <c r="T43" s="608" t="str">
        <f ca="1">IFERROR(INDEX(管理シート!$CB$3:$CK$24,MATCH(W43,管理シート!$CB$3:$CB$24,0),MATCH(K43,管理シート!$CB$3:$CM$3,0)),"")</f>
        <v/>
      </c>
      <c r="U43" s="608"/>
      <c r="V43" s="608"/>
      <c r="W43" s="597" t="str">
        <f ca="1">IF(ISERROR(MATCH("●",足元帳!AA41:AJ41,0)),"",INDIRECT("足元帳!R1C"&amp;MATCH("●",足元帳!AA41:AJ41,0)+26,FALSE))</f>
        <v/>
      </c>
      <c r="X43" s="589"/>
      <c r="Y43" s="596"/>
      <c r="Z43" s="597" t="str">
        <f>IF(足元帳!AL41="","","○")</f>
        <v/>
      </c>
      <c r="AA43" s="596"/>
      <c r="AB43" s="597" t="str">
        <f>IF(足元帳!AM41="","","現金カード払い"&amp;足元帳!AM41&amp;"  ")&amp;IF(足元帳!AP41="","",足元帳!AP41&amp;"　")&amp;IF(足元帳!AQ41="","",足元帳!AQ41&amp;"　")&amp;IF(足元帳!AR41="","",足元帳!AR41&amp;"　")&amp;IF(足元帳!AS41="","",足元帳!AS41&amp;"　")&amp;IF(足元帳!AT41="","",足元帳!AT41&amp;"　")&amp;IF(足元帳!AN41="","","LOVE×2")&amp;IF(足元帳!AJ41="","","MM"&amp;足元帳!AJ41)&amp;IF(足元帳!AW41="","",W43&amp;"利用"&amp;足元帳!AW41)&amp;IF(足元帳!AX41="",""," 優待券配布"&amp;足元帳!AX41)&amp;IF(足元帳!AU41="","","メルマガ")</f>
        <v/>
      </c>
      <c r="AC43" s="589"/>
      <c r="AD43" s="589"/>
      <c r="AE43" s="589"/>
      <c r="AF43" s="589"/>
      <c r="AG43" s="589"/>
      <c r="AH43" s="589"/>
      <c r="AI43" s="589"/>
      <c r="AJ43" s="589"/>
      <c r="AK43" s="589"/>
      <c r="AL43" s="589"/>
      <c r="AM43" s="589"/>
      <c r="AN43" s="589"/>
      <c r="AO43" s="589"/>
      <c r="AP43" s="589"/>
      <c r="AQ43" s="590"/>
      <c r="AR43" s="113" t="str">
        <f>IF(足元帳!A41="","",足元帳!A41)</f>
        <v/>
      </c>
      <c r="AS43" s="123">
        <f>COUNTIF(AR$4:AR43,AR43)</f>
        <v>40</v>
      </c>
    </row>
    <row r="44" spans="1:45" ht="23.45" customHeight="1">
      <c r="A44" s="659" t="s">
        <v>159</v>
      </c>
      <c r="B44" s="660"/>
      <c r="C44" s="120" t="s">
        <v>183</v>
      </c>
      <c r="D44" s="122" t="s">
        <v>184</v>
      </c>
      <c r="E44" s="636">
        <f>COUNTIF(C4:C43,"N")</f>
        <v>0</v>
      </c>
      <c r="F44" s="636"/>
      <c r="G44" s="122" t="s">
        <v>185</v>
      </c>
      <c r="H44" s="130" t="s">
        <v>186</v>
      </c>
      <c r="I44" s="122" t="s">
        <v>187</v>
      </c>
      <c r="J44" s="122" t="s">
        <v>184</v>
      </c>
      <c r="K44" s="636">
        <f>COUNTIF(C4:C43,"R")</f>
        <v>0</v>
      </c>
      <c r="L44" s="636"/>
      <c r="M44" s="122" t="s">
        <v>185</v>
      </c>
      <c r="N44" s="130" t="s">
        <v>188</v>
      </c>
      <c r="O44" s="636" t="str">
        <f>IF(E44+K44=0,"",E44+K44)</f>
        <v/>
      </c>
      <c r="P44" s="636"/>
      <c r="Q44" s="122"/>
      <c r="R44" s="122" t="s">
        <v>14</v>
      </c>
      <c r="S44" s="122" t="s">
        <v>189</v>
      </c>
      <c r="T44" s="636">
        <f>COUNTIF(D4:D43,"姫")</f>
        <v>0</v>
      </c>
      <c r="U44" s="636"/>
      <c r="V44" s="122" t="s">
        <v>190</v>
      </c>
      <c r="W44" s="290" t="s">
        <v>384</v>
      </c>
      <c r="X44" s="122" t="s">
        <v>5</v>
      </c>
      <c r="Y44" s="122" t="s">
        <v>385</v>
      </c>
      <c r="Z44" s="636">
        <f>COUNTIF(D4:D43,"本")</f>
        <v>0</v>
      </c>
      <c r="AA44" s="636"/>
      <c r="AB44" s="122" t="s">
        <v>190</v>
      </c>
      <c r="AC44" s="130" t="s">
        <v>186</v>
      </c>
      <c r="AD44" s="122" t="s">
        <v>191</v>
      </c>
      <c r="AE44" s="122" t="s">
        <v>189</v>
      </c>
      <c r="AF44" s="636">
        <f>COUNTIF(D4:D43,"ネ")</f>
        <v>0</v>
      </c>
      <c r="AG44" s="636"/>
      <c r="AH44" s="122" t="s">
        <v>190</v>
      </c>
      <c r="AI44" s="122" t="s">
        <v>186</v>
      </c>
      <c r="AJ44" s="122" t="s">
        <v>0</v>
      </c>
      <c r="AK44" s="122" t="s">
        <v>189</v>
      </c>
      <c r="AL44" s="636">
        <f>COUNTIF(D4:D43,"写")</f>
        <v>0</v>
      </c>
      <c r="AM44" s="636"/>
      <c r="AN44" s="122" t="s">
        <v>190</v>
      </c>
      <c r="AO44" s="130" t="s">
        <v>166</v>
      </c>
      <c r="AP44" s="636">
        <f>T44+Z44+AF44+AL44</f>
        <v>0</v>
      </c>
      <c r="AQ44" s="662"/>
    </row>
    <row r="45" spans="1:45" ht="23.45" customHeight="1">
      <c r="A45" s="665" t="s">
        <v>160</v>
      </c>
      <c r="B45" s="666"/>
      <c r="C45" s="666"/>
      <c r="D45" s="666"/>
      <c r="E45" s="666"/>
      <c r="F45" s="666"/>
      <c r="G45" s="666" t="s">
        <v>192</v>
      </c>
      <c r="H45" s="666"/>
      <c r="I45" s="666" t="s">
        <v>162</v>
      </c>
      <c r="J45" s="666"/>
      <c r="K45" s="666"/>
      <c r="L45" s="666"/>
      <c r="M45" s="666"/>
      <c r="N45" s="666"/>
      <c r="O45" s="666" t="s">
        <v>192</v>
      </c>
      <c r="P45" s="666"/>
      <c r="Q45" s="666" t="s">
        <v>163</v>
      </c>
      <c r="R45" s="666"/>
      <c r="S45" s="666"/>
      <c r="T45" s="666"/>
      <c r="U45" s="666"/>
      <c r="V45" s="666"/>
      <c r="W45" s="666" t="s">
        <v>384</v>
      </c>
      <c r="X45" s="666"/>
      <c r="Y45" s="666" t="s">
        <v>165</v>
      </c>
      <c r="Z45" s="666"/>
      <c r="AA45" s="666"/>
      <c r="AB45" s="666"/>
      <c r="AC45" s="666"/>
      <c r="AD45" s="666"/>
      <c r="AE45" s="666" t="s">
        <v>166</v>
      </c>
      <c r="AF45" s="666"/>
      <c r="AG45" s="666" t="s">
        <v>167</v>
      </c>
      <c r="AH45" s="666"/>
      <c r="AI45" s="666"/>
      <c r="AJ45" s="666"/>
      <c r="AK45" s="666"/>
      <c r="AL45" s="666"/>
      <c r="AM45" s="666"/>
      <c r="AN45" s="666"/>
      <c r="AO45" s="666"/>
      <c r="AP45" s="666"/>
      <c r="AQ45" s="670"/>
    </row>
    <row r="46" spans="1:45" ht="23.45" customHeight="1" thickBot="1">
      <c r="A46" s="668">
        <f>IF(P91&gt;0,"",精算表!$BD$46)</f>
        <v>0</v>
      </c>
      <c r="B46" s="669"/>
      <c r="C46" s="669"/>
      <c r="D46" s="669"/>
      <c r="E46" s="669"/>
      <c r="F46" s="669"/>
      <c r="G46" s="656" t="s">
        <v>192</v>
      </c>
      <c r="H46" s="656"/>
      <c r="I46" s="669">
        <f>IF(P91&gt;0,"",精算表!$BD$49)</f>
        <v>0</v>
      </c>
      <c r="J46" s="669"/>
      <c r="K46" s="669"/>
      <c r="L46" s="669"/>
      <c r="M46" s="669"/>
      <c r="N46" s="669"/>
      <c r="O46" s="656" t="s">
        <v>192</v>
      </c>
      <c r="P46" s="656"/>
      <c r="Q46" s="669">
        <f>IF(P91&gt;0,"",精算表!$BD$50)</f>
        <v>0</v>
      </c>
      <c r="R46" s="669"/>
      <c r="S46" s="669"/>
      <c r="T46" s="669"/>
      <c r="U46" s="669"/>
      <c r="V46" s="669"/>
      <c r="W46" s="656" t="s">
        <v>384</v>
      </c>
      <c r="X46" s="656"/>
      <c r="Y46" s="669">
        <f>IF(P91&gt;0,"",精算表!$BD$56)</f>
        <v>0</v>
      </c>
      <c r="Z46" s="669"/>
      <c r="AA46" s="669"/>
      <c r="AB46" s="669"/>
      <c r="AC46" s="669"/>
      <c r="AD46" s="669"/>
      <c r="AE46" s="656" t="s">
        <v>166</v>
      </c>
      <c r="AF46" s="656"/>
      <c r="AG46" s="657">
        <f>IF(P91&gt;0,"",A46-I46-Q46+Y46)</f>
        <v>0</v>
      </c>
      <c r="AH46" s="656"/>
      <c r="AI46" s="656"/>
      <c r="AJ46" s="656"/>
      <c r="AK46" s="656"/>
      <c r="AL46" s="656"/>
      <c r="AM46" s="656"/>
      <c r="AN46" s="656"/>
      <c r="AO46" s="656"/>
      <c r="AP46" s="656"/>
      <c r="AQ46" s="658"/>
    </row>
    <row r="47" spans="1:45" ht="35.1" customHeight="1">
      <c r="AD47" s="113" t="s">
        <v>297</v>
      </c>
      <c r="AF47" s="585" t="str">
        <f>TEXT(精算表!W1,"yyyy")</f>
        <v>2019</v>
      </c>
      <c r="AG47" s="585"/>
      <c r="AH47" s="113" t="s">
        <v>143</v>
      </c>
      <c r="AI47" s="585">
        <f>MONTH(精算表!W1)</f>
        <v>10</v>
      </c>
      <c r="AJ47" s="585"/>
      <c r="AK47" s="585"/>
      <c r="AL47" s="578" t="s">
        <v>144</v>
      </c>
      <c r="AM47" s="578"/>
      <c r="AN47" s="585">
        <f>DAY(精算表!W1)</f>
        <v>17</v>
      </c>
      <c r="AO47" s="585"/>
      <c r="AP47" s="578" t="s">
        <v>145</v>
      </c>
      <c r="AQ47" s="578"/>
    </row>
    <row r="48" spans="1:45" ht="35.1" customHeight="1" thickBot="1">
      <c r="A48" s="579">
        <v>2</v>
      </c>
      <c r="B48" s="579"/>
      <c r="C48" s="579"/>
      <c r="D48" s="579"/>
      <c r="E48" s="579"/>
      <c r="F48" s="579"/>
      <c r="G48" s="579"/>
      <c r="H48" s="579"/>
      <c r="I48" s="579"/>
      <c r="J48" s="579"/>
      <c r="K48" s="579"/>
      <c r="L48" s="579"/>
      <c r="M48" s="579"/>
      <c r="N48" s="579"/>
      <c r="O48" s="579"/>
      <c r="P48" s="579"/>
      <c r="Q48" s="579"/>
      <c r="R48" s="579"/>
      <c r="S48" s="579"/>
      <c r="T48" s="579"/>
      <c r="U48" s="579"/>
      <c r="V48" s="579"/>
      <c r="W48" s="579"/>
      <c r="X48" s="579"/>
      <c r="Y48" s="579"/>
      <c r="Z48" s="579"/>
      <c r="AA48" s="579"/>
      <c r="AB48" s="579"/>
      <c r="AC48" s="579"/>
      <c r="AD48" s="579"/>
      <c r="AE48" s="579"/>
      <c r="AF48" s="579"/>
      <c r="AG48" s="579"/>
      <c r="AH48" s="579"/>
      <c r="AI48" s="579"/>
      <c r="AJ48" s="579"/>
      <c r="AK48" s="579"/>
      <c r="AL48" s="579"/>
      <c r="AM48" s="579"/>
      <c r="AN48" s="579"/>
      <c r="AO48" s="579"/>
      <c r="AP48" s="579"/>
      <c r="AQ48" s="579"/>
    </row>
    <row r="49" spans="1:45" ht="23.45" customHeight="1" thickBot="1">
      <c r="A49" s="580" t="s">
        <v>146</v>
      </c>
      <c r="B49" s="581"/>
      <c r="C49" s="582" t="s">
        <v>147</v>
      </c>
      <c r="D49" s="581"/>
      <c r="E49" s="582" t="s">
        <v>6</v>
      </c>
      <c r="F49" s="581"/>
      <c r="G49" s="664" t="s">
        <v>148</v>
      </c>
      <c r="H49" s="664"/>
      <c r="I49" s="664"/>
      <c r="J49" s="664"/>
      <c r="K49" s="664" t="s">
        <v>180</v>
      </c>
      <c r="L49" s="664"/>
      <c r="M49" s="664"/>
      <c r="N49" s="582" t="s">
        <v>181</v>
      </c>
      <c r="O49" s="583"/>
      <c r="P49" s="583"/>
      <c r="Q49" s="583"/>
      <c r="R49" s="583"/>
      <c r="S49" s="581"/>
      <c r="T49" s="582" t="s">
        <v>2</v>
      </c>
      <c r="U49" s="583"/>
      <c r="V49" s="581"/>
      <c r="W49" s="582" t="s">
        <v>383</v>
      </c>
      <c r="X49" s="583"/>
      <c r="Y49" s="581"/>
      <c r="Z49" s="582" t="s">
        <v>182</v>
      </c>
      <c r="AA49" s="581"/>
      <c r="AB49" s="582" t="s">
        <v>151</v>
      </c>
      <c r="AC49" s="583"/>
      <c r="AD49" s="583"/>
      <c r="AE49" s="583"/>
      <c r="AF49" s="583"/>
      <c r="AG49" s="583"/>
      <c r="AH49" s="583"/>
      <c r="AI49" s="583"/>
      <c r="AJ49" s="583"/>
      <c r="AK49" s="583"/>
      <c r="AL49" s="583"/>
      <c r="AM49" s="583"/>
      <c r="AN49" s="583"/>
      <c r="AO49" s="583"/>
      <c r="AP49" s="583"/>
      <c r="AQ49" s="584"/>
    </row>
    <row r="50" spans="1:45" ht="23.45" customHeight="1" thickBot="1">
      <c r="A50" s="667">
        <v>41</v>
      </c>
      <c r="B50" s="661"/>
      <c r="C50" s="76" t="str">
        <f>IF(足元帳!AY42=1,"N",IF(足元帳!AY42=2,"R",""))</f>
        <v/>
      </c>
      <c r="D50" s="77" t="str">
        <f>IF(足元帳!AZ42&gt;0,VLOOKUP(足元帳!AZ42,管理シート!$R$4:$V$12,5,FALSE),"")</f>
        <v/>
      </c>
      <c r="E50" s="597" t="str">
        <f>IF(足元帳!J42="","",足元帳!J42)</f>
        <v/>
      </c>
      <c r="F50" s="596"/>
      <c r="G50" s="597" t="str">
        <f>IF(足元帳!K42="","",足元帳!K42)</f>
        <v/>
      </c>
      <c r="H50" s="589"/>
      <c r="I50" s="589"/>
      <c r="J50" s="596"/>
      <c r="K50" s="597" t="str">
        <f>IF(足元帳!BB42&gt;0,VLOOKUP(足元帳!BB42,管理シート!$R$4:$W$12,4,FALSE),"")</f>
        <v/>
      </c>
      <c r="L50" s="589"/>
      <c r="M50" s="596"/>
      <c r="N50" s="597" t="str">
        <f>IF(足元帳!U42="","",足元帳!U42)&amp;IF(足元帳!V42="","",足元帳!V42)&amp;IF(足元帳!W42="","",足元帳!W42)&amp;IF(足元帳!X42="","",足元帳!X42)&amp;IF(足元帳!Y42="","",足元帳!Y42)&amp;IF(足元帳!Z42="","",足元帳!Z42)</f>
        <v/>
      </c>
      <c r="O50" s="589"/>
      <c r="P50" s="589"/>
      <c r="Q50" s="589"/>
      <c r="R50" s="589"/>
      <c r="S50" s="596"/>
      <c r="T50" s="608" t="str">
        <f ca="1">IFERROR(INDEX(管理シート!$CB$3:$CK$24,MATCH(W50,管理シート!$CB$3:$CB$24,0),MATCH(K50,管理シート!$CB$3:$CM$3,0)),"")</f>
        <v/>
      </c>
      <c r="U50" s="608"/>
      <c r="V50" s="608"/>
      <c r="W50" s="597" t="str">
        <f ca="1">IF(ISERROR(MATCH("●",足元帳!AA42:AJ42,0)),"",INDIRECT("足元帳!R1C"&amp;MATCH("●",足元帳!AA42:AJ42,0)+26,FALSE))</f>
        <v/>
      </c>
      <c r="X50" s="589"/>
      <c r="Y50" s="596"/>
      <c r="Z50" s="597" t="str">
        <f>IF(足元帳!AL42="","","○")</f>
        <v/>
      </c>
      <c r="AA50" s="596"/>
      <c r="AB50" s="597" t="str">
        <f>IF(足元帳!AM42="","","現金カード払い"&amp;足元帳!AM42&amp;"  ")&amp;IF(足元帳!AP42="","",足元帳!AP42&amp;"　")&amp;IF(足元帳!AQ42="","",足元帳!AQ42&amp;"　")&amp;IF(足元帳!AR42="","",足元帳!AR42&amp;"　")&amp;IF(足元帳!AS42="","",足元帳!AS42&amp;"　")&amp;IF(足元帳!AT42="","",足元帳!AT42&amp;"　")&amp;IF(足元帳!AN42="","","LOVE×2")&amp;IF(足元帳!AJ42="","","MM"&amp;足元帳!AJ42)&amp;IF(足元帳!AW42="","",W50&amp;"利用"&amp;足元帳!AW42)&amp;IF(足元帳!AX42="",""," 優待券配布"&amp;足元帳!AX42)&amp;IF(足元帳!AU42="","","メルマガ")</f>
        <v/>
      </c>
      <c r="AC50" s="589"/>
      <c r="AD50" s="589"/>
      <c r="AE50" s="589"/>
      <c r="AF50" s="589"/>
      <c r="AG50" s="589"/>
      <c r="AH50" s="589"/>
      <c r="AI50" s="589"/>
      <c r="AJ50" s="589"/>
      <c r="AK50" s="589"/>
      <c r="AL50" s="589"/>
      <c r="AM50" s="589"/>
      <c r="AN50" s="589"/>
      <c r="AO50" s="589"/>
      <c r="AP50" s="589"/>
      <c r="AQ50" s="590"/>
      <c r="AR50" s="113" t="str">
        <f>IF(足元帳!A42="","",足元帳!A42)</f>
        <v/>
      </c>
      <c r="AS50" s="123">
        <f>COUNTIF(AR$4:AR50,AR50)</f>
        <v>47</v>
      </c>
    </row>
    <row r="51" spans="1:45" ht="23.45" customHeight="1">
      <c r="A51" s="586">
        <f>A50+1</f>
        <v>42</v>
      </c>
      <c r="B51" s="566"/>
      <c r="C51" s="73" t="str">
        <f>IF(足元帳!AY43=1,"N",IF(足元帳!AY43=2,"R",""))</f>
        <v/>
      </c>
      <c r="D51" s="74" t="str">
        <f>IF(足元帳!AZ43&gt;0,VLOOKUP(足元帳!AZ43,管理シート!$R$4:$V$12,5,FALSE),"")</f>
        <v/>
      </c>
      <c r="E51" s="587" t="str">
        <f>IF(足元帳!J43="","",足元帳!J43)</f>
        <v/>
      </c>
      <c r="F51" s="566"/>
      <c r="G51" s="587" t="str">
        <f>IF(足元帳!K43="","",足元帳!K43)</f>
        <v/>
      </c>
      <c r="H51" s="565"/>
      <c r="I51" s="565"/>
      <c r="J51" s="566"/>
      <c r="K51" s="587" t="str">
        <f>IF(足元帳!BB43&gt;0,VLOOKUP(足元帳!BB43,管理シート!$R$4:$W$12,4,FALSE),"")</f>
        <v/>
      </c>
      <c r="L51" s="565"/>
      <c r="M51" s="566"/>
      <c r="N51" s="587" t="str">
        <f>IF(足元帳!U43="","",足元帳!U43)&amp;IF(足元帳!V43="","",足元帳!V43)&amp;IF(足元帳!W43="","",足元帳!W43)&amp;IF(足元帳!X43="","",足元帳!X43)&amp;IF(足元帳!Y43="","",足元帳!Y43)&amp;IF(足元帳!Z43="","",足元帳!Z43)</f>
        <v/>
      </c>
      <c r="O51" s="565"/>
      <c r="P51" s="565"/>
      <c r="Q51" s="565"/>
      <c r="R51" s="565"/>
      <c r="S51" s="566"/>
      <c r="T51" s="661" t="str">
        <f ca="1">IFERROR(INDEX(管理シート!$CB$3:$CK$24,MATCH(W51,管理シート!$CB$3:$CB$24,0),MATCH(K51,管理シート!$CB$3:$CM$3,0)),"")</f>
        <v/>
      </c>
      <c r="U51" s="661"/>
      <c r="V51" s="661"/>
      <c r="W51" s="587" t="str">
        <f ca="1">IF(ISERROR(MATCH("●",足元帳!AA43:AJ43,0)),"",INDIRECT("足元帳!R1C"&amp;MATCH("●",足元帳!AA43:AJ43,0)+26,FALSE))</f>
        <v/>
      </c>
      <c r="X51" s="565"/>
      <c r="Y51" s="566"/>
      <c r="Z51" s="587" t="str">
        <f>IF(足元帳!AL43="","","○")</f>
        <v/>
      </c>
      <c r="AA51" s="566"/>
      <c r="AB51" s="587" t="str">
        <f>IF(足元帳!AM43="","","現金カード払い"&amp;足元帳!AM43&amp;"  ")&amp;IF(足元帳!AP43="","",足元帳!AP43&amp;"　")&amp;IF(足元帳!AQ43="","",足元帳!AQ43&amp;"　")&amp;IF(足元帳!AR43="","",足元帳!AR43&amp;"　")&amp;IF(足元帳!AS43="","",足元帳!AS43&amp;"　")&amp;IF(足元帳!AT43="","",足元帳!AT43&amp;"　")&amp;IF(足元帳!AN43="","","LOVE×2")&amp;IF(足元帳!AJ43="","","MM"&amp;足元帳!AJ43)&amp;IF(足元帳!AW43="","",W51&amp;"利用"&amp;足元帳!AW43)&amp;IF(足元帳!AX43="",""," 優待券配布"&amp;足元帳!AX43)&amp;IF(足元帳!AU43="","","メルマガ")</f>
        <v/>
      </c>
      <c r="AC51" s="565"/>
      <c r="AD51" s="565"/>
      <c r="AE51" s="565"/>
      <c r="AF51" s="565"/>
      <c r="AG51" s="565"/>
      <c r="AH51" s="565"/>
      <c r="AI51" s="565"/>
      <c r="AJ51" s="565"/>
      <c r="AK51" s="565"/>
      <c r="AL51" s="565"/>
      <c r="AM51" s="565"/>
      <c r="AN51" s="565"/>
      <c r="AO51" s="565"/>
      <c r="AP51" s="565"/>
      <c r="AQ51" s="588"/>
      <c r="AR51" s="113" t="str">
        <f>IF(足元帳!A43="","",足元帳!A43)</f>
        <v/>
      </c>
      <c r="AS51" s="123">
        <f>COUNTIF(AR$4:AR51,AR51)</f>
        <v>48</v>
      </c>
    </row>
    <row r="52" spans="1:45" ht="23.45" customHeight="1">
      <c r="A52" s="586">
        <f t="shared" ref="A52:A89" si="1">A51+1</f>
        <v>43</v>
      </c>
      <c r="B52" s="566"/>
      <c r="C52" s="73" t="str">
        <f>IF(足元帳!AY44=1,"N",IF(足元帳!AY44=2,"R",""))</f>
        <v/>
      </c>
      <c r="D52" s="74" t="str">
        <f>IF(足元帳!AZ44&gt;0,VLOOKUP(足元帳!AZ44,管理シート!$R$4:$V$12,5,FALSE),"")</f>
        <v/>
      </c>
      <c r="E52" s="587" t="str">
        <f>IF(足元帳!J44="","",足元帳!J44)</f>
        <v/>
      </c>
      <c r="F52" s="566"/>
      <c r="G52" s="587" t="str">
        <f>IF(足元帳!K44="","",足元帳!K44)</f>
        <v/>
      </c>
      <c r="H52" s="565"/>
      <c r="I52" s="565"/>
      <c r="J52" s="566"/>
      <c r="K52" s="587" t="str">
        <f>IF(足元帳!BB44&gt;0,VLOOKUP(足元帳!BB44,管理シート!$R$4:$W$12,4,FALSE),"")</f>
        <v/>
      </c>
      <c r="L52" s="565"/>
      <c r="M52" s="566"/>
      <c r="N52" s="587" t="str">
        <f>IF(足元帳!U44="","",足元帳!U44)&amp;IF(足元帳!V44="","",足元帳!V44)&amp;IF(足元帳!W44="","",足元帳!W44)&amp;IF(足元帳!X44="","",足元帳!X44)&amp;IF(足元帳!Y44="","",足元帳!Y44)&amp;IF(足元帳!Z44="","",足元帳!Z44)</f>
        <v/>
      </c>
      <c r="O52" s="565"/>
      <c r="P52" s="565"/>
      <c r="Q52" s="565"/>
      <c r="R52" s="565"/>
      <c r="S52" s="566"/>
      <c r="T52" s="661" t="str">
        <f ca="1">IFERROR(INDEX(管理シート!$CB$3:$CK$24,MATCH(W52,管理シート!$CB$3:$CB$24,0),MATCH(K52,管理シート!$CB$3:$CM$3,0)),"")</f>
        <v/>
      </c>
      <c r="U52" s="661"/>
      <c r="V52" s="661"/>
      <c r="W52" s="587" t="str">
        <f ca="1">IF(ISERROR(MATCH("●",足元帳!AA44:AJ44,0)),"",INDIRECT("足元帳!R1C"&amp;MATCH("●",足元帳!AA44:AJ44,0)+26,FALSE))</f>
        <v/>
      </c>
      <c r="X52" s="565"/>
      <c r="Y52" s="566"/>
      <c r="Z52" s="587" t="str">
        <f>IF(足元帳!AL44="","","○")</f>
        <v/>
      </c>
      <c r="AA52" s="566"/>
      <c r="AB52" s="587" t="str">
        <f>IF(足元帳!AM44="","","現金カード払い"&amp;足元帳!AM44&amp;"  ")&amp;IF(足元帳!AP44="","",足元帳!AP44&amp;"　")&amp;IF(足元帳!AQ44="","",足元帳!AQ44&amp;"　")&amp;IF(足元帳!AR44="","",足元帳!AR44&amp;"　")&amp;IF(足元帳!AS44="","",足元帳!AS44&amp;"　")&amp;IF(足元帳!AT44="","",足元帳!AT44&amp;"　")&amp;IF(足元帳!AN44="","","LOVE×2")&amp;IF(足元帳!AJ44="","","MM"&amp;足元帳!AJ44)&amp;IF(足元帳!AW44="","",W52&amp;"利用"&amp;足元帳!AW44)&amp;IF(足元帳!AX44="",""," 優待券配布"&amp;足元帳!AX44)&amp;IF(足元帳!AU44="","","メルマガ")</f>
        <v/>
      </c>
      <c r="AC52" s="565"/>
      <c r="AD52" s="565"/>
      <c r="AE52" s="565"/>
      <c r="AF52" s="565"/>
      <c r="AG52" s="565"/>
      <c r="AH52" s="565"/>
      <c r="AI52" s="565"/>
      <c r="AJ52" s="565"/>
      <c r="AK52" s="565"/>
      <c r="AL52" s="565"/>
      <c r="AM52" s="565"/>
      <c r="AN52" s="565"/>
      <c r="AO52" s="565"/>
      <c r="AP52" s="565"/>
      <c r="AQ52" s="588"/>
      <c r="AR52" s="113" t="str">
        <f>IF(足元帳!A44="","",足元帳!A44)</f>
        <v/>
      </c>
      <c r="AS52" s="123">
        <f>COUNTIF(AR$4:AR52,AR52)</f>
        <v>49</v>
      </c>
    </row>
    <row r="53" spans="1:45" ht="23.45" customHeight="1">
      <c r="A53" s="586">
        <f t="shared" si="1"/>
        <v>44</v>
      </c>
      <c r="B53" s="566"/>
      <c r="C53" s="73" t="str">
        <f>IF(足元帳!AY45=1,"N",IF(足元帳!AY45=2,"R",""))</f>
        <v/>
      </c>
      <c r="D53" s="74" t="str">
        <f>IF(足元帳!AZ45&gt;0,VLOOKUP(足元帳!AZ45,管理シート!$R$4:$V$12,5,FALSE),"")</f>
        <v/>
      </c>
      <c r="E53" s="587" t="str">
        <f>IF(足元帳!J45="","",足元帳!J45)</f>
        <v/>
      </c>
      <c r="F53" s="566"/>
      <c r="G53" s="587" t="str">
        <f>IF(足元帳!K45="","",足元帳!K45)</f>
        <v/>
      </c>
      <c r="H53" s="565"/>
      <c r="I53" s="565"/>
      <c r="J53" s="566"/>
      <c r="K53" s="587" t="str">
        <f>IF(足元帳!BB45&gt;0,VLOOKUP(足元帳!BB45,管理シート!$R$4:$W$12,4,FALSE),"")</f>
        <v/>
      </c>
      <c r="L53" s="565"/>
      <c r="M53" s="566"/>
      <c r="N53" s="587" t="str">
        <f>IF(足元帳!U45="","",足元帳!U45)&amp;IF(足元帳!V45="","",足元帳!V45)&amp;IF(足元帳!W45="","",足元帳!W45)&amp;IF(足元帳!X45="","",足元帳!X45)&amp;IF(足元帳!Y45="","",足元帳!Y45)&amp;IF(足元帳!Z45="","",足元帳!Z45)</f>
        <v/>
      </c>
      <c r="O53" s="565"/>
      <c r="P53" s="565"/>
      <c r="Q53" s="565"/>
      <c r="R53" s="565"/>
      <c r="S53" s="566"/>
      <c r="T53" s="661" t="str">
        <f ca="1">IFERROR(INDEX(管理シート!$CB$3:$CK$24,MATCH(W53,管理シート!$CB$3:$CB$24,0),MATCH(K53,管理シート!$CB$3:$CM$3,0)),"")</f>
        <v/>
      </c>
      <c r="U53" s="661"/>
      <c r="V53" s="661"/>
      <c r="W53" s="587" t="str">
        <f ca="1">IF(ISERROR(MATCH("●",足元帳!AA45:AJ45,0)),"",INDIRECT("足元帳!R1C"&amp;MATCH("●",足元帳!AA45:AJ45,0)+26,FALSE))</f>
        <v/>
      </c>
      <c r="X53" s="565"/>
      <c r="Y53" s="566"/>
      <c r="Z53" s="587" t="str">
        <f>IF(足元帳!AL45="","","○")</f>
        <v/>
      </c>
      <c r="AA53" s="566"/>
      <c r="AB53" s="587" t="str">
        <f>IF(足元帳!AM45="","","現金カード払い"&amp;足元帳!AM45&amp;"  ")&amp;IF(足元帳!AP45="","",足元帳!AP45&amp;"　")&amp;IF(足元帳!AQ45="","",足元帳!AQ45&amp;"　")&amp;IF(足元帳!AR45="","",足元帳!AR45&amp;"　")&amp;IF(足元帳!AS45="","",足元帳!AS45&amp;"　")&amp;IF(足元帳!AT45="","",足元帳!AT45&amp;"　")&amp;IF(足元帳!AN45="","","LOVE×2")&amp;IF(足元帳!AJ45="","","MM"&amp;足元帳!AJ45)&amp;IF(足元帳!AW45="","",W53&amp;"利用"&amp;足元帳!AW45)&amp;IF(足元帳!AX45="",""," 優待券配布"&amp;足元帳!AX45)&amp;IF(足元帳!AU45="","","メルマガ")</f>
        <v/>
      </c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88"/>
      <c r="AR53" s="113" t="str">
        <f>IF(足元帳!A45="","",足元帳!A45)</f>
        <v/>
      </c>
      <c r="AS53" s="123">
        <f>COUNTIF(AR$4:AR53,AR53)</f>
        <v>50</v>
      </c>
    </row>
    <row r="54" spans="1:45" ht="23.45" customHeight="1">
      <c r="A54" s="586">
        <f t="shared" si="1"/>
        <v>45</v>
      </c>
      <c r="B54" s="566"/>
      <c r="C54" s="73" t="str">
        <f>IF(足元帳!AY46=1,"N",IF(足元帳!AY46=2,"R",""))</f>
        <v/>
      </c>
      <c r="D54" s="74" t="str">
        <f>IF(足元帳!AZ46&gt;0,VLOOKUP(足元帳!AZ46,管理シート!$R$4:$V$12,5,FALSE),"")</f>
        <v/>
      </c>
      <c r="E54" s="587" t="str">
        <f>IF(足元帳!J46="","",足元帳!J46)</f>
        <v/>
      </c>
      <c r="F54" s="566"/>
      <c r="G54" s="587" t="str">
        <f>IF(足元帳!K46="","",足元帳!K46)</f>
        <v/>
      </c>
      <c r="H54" s="565"/>
      <c r="I54" s="565"/>
      <c r="J54" s="566"/>
      <c r="K54" s="587" t="str">
        <f>IF(足元帳!BB46&gt;0,VLOOKUP(足元帳!BB46,管理シート!$R$4:$W$12,4,FALSE),"")</f>
        <v/>
      </c>
      <c r="L54" s="565"/>
      <c r="M54" s="566"/>
      <c r="N54" s="587" t="str">
        <f>IF(足元帳!U46="","",足元帳!U46)&amp;IF(足元帳!V46="","",足元帳!V46)&amp;IF(足元帳!W46="","",足元帳!W46)&amp;IF(足元帳!X46="","",足元帳!X46)&amp;IF(足元帳!Y46="","",足元帳!Y46)&amp;IF(足元帳!Z46="","",足元帳!Z46)</f>
        <v/>
      </c>
      <c r="O54" s="565"/>
      <c r="P54" s="565"/>
      <c r="Q54" s="565"/>
      <c r="R54" s="565"/>
      <c r="S54" s="566"/>
      <c r="T54" s="661" t="str">
        <f ca="1">IFERROR(INDEX(管理シート!$CB$3:$CK$24,MATCH(W54,管理シート!$CB$3:$CB$24,0),MATCH(K54,管理シート!$CB$3:$CM$3,0)),"")</f>
        <v/>
      </c>
      <c r="U54" s="661"/>
      <c r="V54" s="661"/>
      <c r="W54" s="587" t="str">
        <f ca="1">IF(ISERROR(MATCH("●",足元帳!AA46:AJ46,0)),"",INDIRECT("足元帳!R1C"&amp;MATCH("●",足元帳!AA46:AJ46,0)+26,FALSE))</f>
        <v/>
      </c>
      <c r="X54" s="565"/>
      <c r="Y54" s="566"/>
      <c r="Z54" s="587" t="str">
        <f>IF(足元帳!AL46="","","○")</f>
        <v/>
      </c>
      <c r="AA54" s="566"/>
      <c r="AB54" s="587" t="str">
        <f>IF(足元帳!AM46="","","現金カード払い"&amp;足元帳!AM46&amp;"  ")&amp;IF(足元帳!AP46="","",足元帳!AP46&amp;"　")&amp;IF(足元帳!AQ46="","",足元帳!AQ46&amp;"　")&amp;IF(足元帳!AR46="","",足元帳!AR46&amp;"　")&amp;IF(足元帳!AS46="","",足元帳!AS46&amp;"　")&amp;IF(足元帳!AT46="","",足元帳!AT46&amp;"　")&amp;IF(足元帳!AN46="","","LOVE×2")&amp;IF(足元帳!AJ46="","","MM"&amp;足元帳!AJ46)&amp;IF(足元帳!AW46="","",W54&amp;"利用"&amp;足元帳!AW46)&amp;IF(足元帳!AX46="",""," 優待券配布"&amp;足元帳!AX46)&amp;IF(足元帳!AU46="","","メルマガ")</f>
        <v/>
      </c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88"/>
      <c r="AR54" s="113" t="str">
        <f>IF(足元帳!A46="","",足元帳!A46)</f>
        <v/>
      </c>
      <c r="AS54" s="123">
        <f>COUNTIF(AR$4:AR54,AR54)</f>
        <v>51</v>
      </c>
    </row>
    <row r="55" spans="1:45" ht="23.45" customHeight="1">
      <c r="A55" s="586">
        <f t="shared" si="1"/>
        <v>46</v>
      </c>
      <c r="B55" s="566"/>
      <c r="C55" s="73" t="str">
        <f>IF(足元帳!AY47=1,"N",IF(足元帳!AY47=2,"R",""))</f>
        <v/>
      </c>
      <c r="D55" s="74" t="str">
        <f>IF(足元帳!AZ47&gt;0,VLOOKUP(足元帳!AZ47,管理シート!$R$4:$V$12,5,FALSE),"")</f>
        <v/>
      </c>
      <c r="E55" s="587" t="str">
        <f>IF(足元帳!J47="","",足元帳!J47)</f>
        <v/>
      </c>
      <c r="F55" s="566"/>
      <c r="G55" s="587" t="str">
        <f>IF(足元帳!K47="","",足元帳!K47)</f>
        <v/>
      </c>
      <c r="H55" s="565"/>
      <c r="I55" s="565"/>
      <c r="J55" s="566"/>
      <c r="K55" s="587" t="str">
        <f>IF(足元帳!BB47&gt;0,VLOOKUP(足元帳!BB47,管理シート!$R$4:$W$12,4,FALSE),"")</f>
        <v/>
      </c>
      <c r="L55" s="565"/>
      <c r="M55" s="566"/>
      <c r="N55" s="587" t="str">
        <f>IF(足元帳!U47="","",足元帳!U47)&amp;IF(足元帳!V47="","",足元帳!V47)&amp;IF(足元帳!W47="","",足元帳!W47)&amp;IF(足元帳!X47="","",足元帳!X47)&amp;IF(足元帳!Y47="","",足元帳!Y47)&amp;IF(足元帳!Z47="","",足元帳!Z47)</f>
        <v/>
      </c>
      <c r="O55" s="565"/>
      <c r="P55" s="565"/>
      <c r="Q55" s="565"/>
      <c r="R55" s="565"/>
      <c r="S55" s="566"/>
      <c r="T55" s="661" t="str">
        <f ca="1">IFERROR(INDEX(管理シート!$CB$3:$CK$24,MATCH(W55,管理シート!$CB$3:$CB$24,0),MATCH(K55,管理シート!$CB$3:$CM$3,0)),"")</f>
        <v/>
      </c>
      <c r="U55" s="661"/>
      <c r="V55" s="661"/>
      <c r="W55" s="587" t="str">
        <f ca="1">IF(ISERROR(MATCH("●",足元帳!AA47:AJ47,0)),"",INDIRECT("足元帳!R1C"&amp;MATCH("●",足元帳!AA47:AJ47,0)+26,FALSE))</f>
        <v/>
      </c>
      <c r="X55" s="565"/>
      <c r="Y55" s="566"/>
      <c r="Z55" s="587" t="str">
        <f>IF(足元帳!AL47="","","○")</f>
        <v/>
      </c>
      <c r="AA55" s="566"/>
      <c r="AB55" s="587" t="str">
        <f>IF(足元帳!AM47="","","現金カード払い"&amp;足元帳!AM47&amp;"  ")&amp;IF(足元帳!AP47="","",足元帳!AP47&amp;"　")&amp;IF(足元帳!AQ47="","",足元帳!AQ47&amp;"　")&amp;IF(足元帳!AR47="","",足元帳!AR47&amp;"　")&amp;IF(足元帳!AS47="","",足元帳!AS47&amp;"　")&amp;IF(足元帳!AT47="","",足元帳!AT47&amp;"　")&amp;IF(足元帳!AN47="","","LOVE×2")&amp;IF(足元帳!AJ47="","","MM"&amp;足元帳!AJ47)&amp;IF(足元帳!AW47="","",W55&amp;"利用"&amp;足元帳!AW47)&amp;IF(足元帳!AX47="",""," 優待券配布"&amp;足元帳!AX47)&amp;IF(足元帳!AU47="","","メルマガ")</f>
        <v/>
      </c>
      <c r="AC55" s="565"/>
      <c r="AD55" s="565"/>
      <c r="AE55" s="565"/>
      <c r="AF55" s="565"/>
      <c r="AG55" s="565"/>
      <c r="AH55" s="565"/>
      <c r="AI55" s="565"/>
      <c r="AJ55" s="565"/>
      <c r="AK55" s="565"/>
      <c r="AL55" s="565"/>
      <c r="AM55" s="565"/>
      <c r="AN55" s="565"/>
      <c r="AO55" s="565"/>
      <c r="AP55" s="565"/>
      <c r="AQ55" s="588"/>
      <c r="AR55" s="113" t="str">
        <f>IF(足元帳!A47="","",足元帳!A47)</f>
        <v/>
      </c>
      <c r="AS55" s="123">
        <f>COUNTIF(AR$4:AR55,AR55)</f>
        <v>52</v>
      </c>
    </row>
    <row r="56" spans="1:45" ht="23.45" customHeight="1">
      <c r="A56" s="586">
        <f t="shared" si="1"/>
        <v>47</v>
      </c>
      <c r="B56" s="566"/>
      <c r="C56" s="73" t="str">
        <f>IF(足元帳!AY48=1,"N",IF(足元帳!AY48=2,"R",""))</f>
        <v/>
      </c>
      <c r="D56" s="74" t="str">
        <f>IF(足元帳!AZ48&gt;0,VLOOKUP(足元帳!AZ48,管理シート!$R$4:$V$12,5,FALSE),"")</f>
        <v/>
      </c>
      <c r="E56" s="587" t="str">
        <f>IF(足元帳!J48="","",足元帳!J48)</f>
        <v/>
      </c>
      <c r="F56" s="566"/>
      <c r="G56" s="587" t="str">
        <f>IF(足元帳!K48="","",足元帳!K48)</f>
        <v/>
      </c>
      <c r="H56" s="565"/>
      <c r="I56" s="565"/>
      <c r="J56" s="566"/>
      <c r="K56" s="587" t="str">
        <f>IF(足元帳!BB48&gt;0,VLOOKUP(足元帳!BB48,管理シート!$R$4:$W$12,4,FALSE),"")</f>
        <v/>
      </c>
      <c r="L56" s="565"/>
      <c r="M56" s="566"/>
      <c r="N56" s="587" t="str">
        <f>IF(足元帳!U48="","",足元帳!U48)&amp;IF(足元帳!V48="","",足元帳!V48)&amp;IF(足元帳!W48="","",足元帳!W48)&amp;IF(足元帳!X48="","",足元帳!X48)&amp;IF(足元帳!Y48="","",足元帳!Y48)&amp;IF(足元帳!Z48="","",足元帳!Z48)</f>
        <v/>
      </c>
      <c r="O56" s="565"/>
      <c r="P56" s="565"/>
      <c r="Q56" s="565"/>
      <c r="R56" s="565"/>
      <c r="S56" s="566"/>
      <c r="T56" s="661" t="str">
        <f ca="1">IFERROR(INDEX(管理シート!$CB$3:$CK$24,MATCH(W56,管理シート!$CB$3:$CB$24,0),MATCH(K56,管理シート!$CB$3:$CM$3,0)),"")</f>
        <v/>
      </c>
      <c r="U56" s="661"/>
      <c r="V56" s="661"/>
      <c r="W56" s="587" t="str">
        <f ca="1">IF(ISERROR(MATCH("●",足元帳!AA48:AJ48,0)),"",INDIRECT("足元帳!R1C"&amp;MATCH("●",足元帳!AA48:AJ48,0)+26,FALSE))</f>
        <v/>
      </c>
      <c r="X56" s="565"/>
      <c r="Y56" s="566"/>
      <c r="Z56" s="587" t="str">
        <f>IF(足元帳!AL48="","","○")</f>
        <v/>
      </c>
      <c r="AA56" s="566"/>
      <c r="AB56" s="587" t="str">
        <f>IF(足元帳!AM48="","","現金カード払い"&amp;足元帳!AM48&amp;"  ")&amp;IF(足元帳!AP48="","",足元帳!AP48&amp;"　")&amp;IF(足元帳!AQ48="","",足元帳!AQ48&amp;"　")&amp;IF(足元帳!AR48="","",足元帳!AR48&amp;"　")&amp;IF(足元帳!AS48="","",足元帳!AS48&amp;"　")&amp;IF(足元帳!AT48="","",足元帳!AT48&amp;"　")&amp;IF(足元帳!AN48="","","LOVE×2")&amp;IF(足元帳!AJ48="","","MM"&amp;足元帳!AJ48)&amp;IF(足元帳!AW48="","",W56&amp;"利用"&amp;足元帳!AW48)&amp;IF(足元帳!AX48="",""," 優待券配布"&amp;足元帳!AX48)&amp;IF(足元帳!AU48="","","メルマガ")</f>
        <v/>
      </c>
      <c r="AC56" s="565"/>
      <c r="AD56" s="565"/>
      <c r="AE56" s="565"/>
      <c r="AF56" s="565"/>
      <c r="AG56" s="565"/>
      <c r="AH56" s="565"/>
      <c r="AI56" s="565"/>
      <c r="AJ56" s="565"/>
      <c r="AK56" s="565"/>
      <c r="AL56" s="565"/>
      <c r="AM56" s="565"/>
      <c r="AN56" s="565"/>
      <c r="AO56" s="565"/>
      <c r="AP56" s="565"/>
      <c r="AQ56" s="588"/>
      <c r="AR56" s="113" t="str">
        <f>IF(足元帳!A48="","",足元帳!A48)</f>
        <v/>
      </c>
      <c r="AS56" s="123">
        <f>COUNTIF(AR$4:AR56,AR56)</f>
        <v>53</v>
      </c>
    </row>
    <row r="57" spans="1:45" ht="23.45" customHeight="1">
      <c r="A57" s="586">
        <f t="shared" si="1"/>
        <v>48</v>
      </c>
      <c r="B57" s="566"/>
      <c r="C57" s="73" t="str">
        <f>IF(足元帳!AY49=1,"N",IF(足元帳!AY49=2,"R",""))</f>
        <v/>
      </c>
      <c r="D57" s="74" t="str">
        <f>IF(足元帳!AZ49&gt;0,VLOOKUP(足元帳!AZ49,管理シート!$R$4:$V$12,5,FALSE),"")</f>
        <v/>
      </c>
      <c r="E57" s="587" t="str">
        <f>IF(足元帳!J49="","",足元帳!J49)</f>
        <v/>
      </c>
      <c r="F57" s="566"/>
      <c r="G57" s="587" t="str">
        <f>IF(足元帳!K49="","",足元帳!K49)</f>
        <v/>
      </c>
      <c r="H57" s="565"/>
      <c r="I57" s="565"/>
      <c r="J57" s="566"/>
      <c r="K57" s="587" t="str">
        <f>IF(足元帳!BB49&gt;0,VLOOKUP(足元帳!BB49,管理シート!$R$4:$W$12,4,FALSE),"")</f>
        <v/>
      </c>
      <c r="L57" s="565"/>
      <c r="M57" s="566"/>
      <c r="N57" s="587" t="str">
        <f>IF(足元帳!U49="","",足元帳!U49)&amp;IF(足元帳!V49="","",足元帳!V49)&amp;IF(足元帳!W49="","",足元帳!W49)&amp;IF(足元帳!X49="","",足元帳!X49)&amp;IF(足元帳!Y49="","",足元帳!Y49)&amp;IF(足元帳!Z49="","",足元帳!Z49)</f>
        <v/>
      </c>
      <c r="O57" s="565"/>
      <c r="P57" s="565"/>
      <c r="Q57" s="565"/>
      <c r="R57" s="565"/>
      <c r="S57" s="566"/>
      <c r="T57" s="661" t="str">
        <f ca="1">IFERROR(INDEX(管理シート!$CB$3:$CK$24,MATCH(W57,管理シート!$CB$3:$CB$24,0),MATCH(K57,管理シート!$CB$3:$CM$3,0)),"")</f>
        <v/>
      </c>
      <c r="U57" s="661"/>
      <c r="V57" s="661"/>
      <c r="W57" s="587" t="str">
        <f ca="1">IF(ISERROR(MATCH("●",足元帳!AA49:AJ49,0)),"",INDIRECT("足元帳!R1C"&amp;MATCH("●",足元帳!AA49:AJ49,0)+26,FALSE))</f>
        <v/>
      </c>
      <c r="X57" s="565"/>
      <c r="Y57" s="566"/>
      <c r="Z57" s="587" t="str">
        <f>IF(足元帳!AL49="","","○")</f>
        <v/>
      </c>
      <c r="AA57" s="566"/>
      <c r="AB57" s="587" t="str">
        <f>IF(足元帳!AM49="","","現金カード払い"&amp;足元帳!AM49&amp;"  ")&amp;IF(足元帳!AP49="","",足元帳!AP49&amp;"　")&amp;IF(足元帳!AQ49="","",足元帳!AQ49&amp;"　")&amp;IF(足元帳!AR49="","",足元帳!AR49&amp;"　")&amp;IF(足元帳!AS49="","",足元帳!AS49&amp;"　")&amp;IF(足元帳!AT49="","",足元帳!AT49&amp;"　")&amp;IF(足元帳!AN49="","","LOVE×2")&amp;IF(足元帳!AJ49="","","MM"&amp;足元帳!AJ49)&amp;IF(足元帳!AW49="","",W57&amp;"利用"&amp;足元帳!AW49)&amp;IF(足元帳!AX49="",""," 優待券配布"&amp;足元帳!AX49)&amp;IF(足元帳!AU49="","","メルマガ")</f>
        <v/>
      </c>
      <c r="AC57" s="565"/>
      <c r="AD57" s="565"/>
      <c r="AE57" s="565"/>
      <c r="AF57" s="565"/>
      <c r="AG57" s="565"/>
      <c r="AH57" s="565"/>
      <c r="AI57" s="565"/>
      <c r="AJ57" s="565"/>
      <c r="AK57" s="565"/>
      <c r="AL57" s="565"/>
      <c r="AM57" s="565"/>
      <c r="AN57" s="565"/>
      <c r="AO57" s="565"/>
      <c r="AP57" s="565"/>
      <c r="AQ57" s="588"/>
      <c r="AR57" s="113" t="str">
        <f>IF(足元帳!A49="","",足元帳!A49)</f>
        <v/>
      </c>
      <c r="AS57" s="123">
        <f>COUNTIF(AR$4:AR57,AR57)</f>
        <v>54</v>
      </c>
    </row>
    <row r="58" spans="1:45" ht="23.45" customHeight="1">
      <c r="A58" s="586">
        <f t="shared" si="1"/>
        <v>49</v>
      </c>
      <c r="B58" s="566"/>
      <c r="C58" s="73" t="str">
        <f>IF(足元帳!AY50=1,"N",IF(足元帳!AY50=2,"R",""))</f>
        <v/>
      </c>
      <c r="D58" s="74" t="str">
        <f>IF(足元帳!AZ50&gt;0,VLOOKUP(足元帳!AZ50,管理シート!$R$4:$V$12,5,FALSE),"")</f>
        <v/>
      </c>
      <c r="E58" s="587" t="str">
        <f>IF(足元帳!J50="","",足元帳!J50)</f>
        <v/>
      </c>
      <c r="F58" s="566"/>
      <c r="G58" s="587" t="str">
        <f>IF(足元帳!K50="","",足元帳!K50)</f>
        <v/>
      </c>
      <c r="H58" s="565"/>
      <c r="I58" s="565"/>
      <c r="J58" s="566"/>
      <c r="K58" s="587" t="str">
        <f>IF(足元帳!BB50&gt;0,VLOOKUP(足元帳!BB50,管理シート!$R$4:$W$12,4,FALSE),"")</f>
        <v/>
      </c>
      <c r="L58" s="565"/>
      <c r="M58" s="566"/>
      <c r="N58" s="587" t="str">
        <f>IF(足元帳!U50="","",足元帳!U50)&amp;IF(足元帳!V50="","",足元帳!V50)&amp;IF(足元帳!W50="","",足元帳!W50)&amp;IF(足元帳!X50="","",足元帳!X50)&amp;IF(足元帳!Y50="","",足元帳!Y50)&amp;IF(足元帳!Z50="","",足元帳!Z50)</f>
        <v/>
      </c>
      <c r="O58" s="565"/>
      <c r="P58" s="565"/>
      <c r="Q58" s="565"/>
      <c r="R58" s="565"/>
      <c r="S58" s="566"/>
      <c r="T58" s="661" t="str">
        <f ca="1">IFERROR(INDEX(管理シート!$CB$3:$CK$24,MATCH(W58,管理シート!$CB$3:$CB$24,0),MATCH(K58,管理シート!$CB$3:$CM$3,0)),"")</f>
        <v/>
      </c>
      <c r="U58" s="661"/>
      <c r="V58" s="661"/>
      <c r="W58" s="587" t="str">
        <f ca="1">IF(ISERROR(MATCH("●",足元帳!AA50:AJ50,0)),"",INDIRECT("足元帳!R1C"&amp;MATCH("●",足元帳!AA50:AJ50,0)+26,FALSE))</f>
        <v/>
      </c>
      <c r="X58" s="565"/>
      <c r="Y58" s="566"/>
      <c r="Z58" s="587" t="str">
        <f>IF(足元帳!AL50="","","○")</f>
        <v/>
      </c>
      <c r="AA58" s="566"/>
      <c r="AB58" s="587" t="str">
        <f>IF(足元帳!AM50="","","現金カード払い"&amp;足元帳!AM50&amp;"  ")&amp;IF(足元帳!AP50="","",足元帳!AP50&amp;"　")&amp;IF(足元帳!AQ50="","",足元帳!AQ50&amp;"　")&amp;IF(足元帳!AR50="","",足元帳!AR50&amp;"　")&amp;IF(足元帳!AS50="","",足元帳!AS50&amp;"　")&amp;IF(足元帳!AT50="","",足元帳!AT50&amp;"　")&amp;IF(足元帳!AN50="","","LOVE×2")&amp;IF(足元帳!AJ50="","","MM"&amp;足元帳!AJ50)&amp;IF(足元帳!AW50="","",W58&amp;"利用"&amp;足元帳!AW50)&amp;IF(足元帳!AX50="",""," 優待券配布"&amp;足元帳!AX50)&amp;IF(足元帳!AU50="","","メルマガ")</f>
        <v/>
      </c>
      <c r="AC58" s="565"/>
      <c r="AD58" s="565"/>
      <c r="AE58" s="565"/>
      <c r="AF58" s="565"/>
      <c r="AG58" s="565"/>
      <c r="AH58" s="565"/>
      <c r="AI58" s="565"/>
      <c r="AJ58" s="565"/>
      <c r="AK58" s="565"/>
      <c r="AL58" s="565"/>
      <c r="AM58" s="565"/>
      <c r="AN58" s="565"/>
      <c r="AO58" s="565"/>
      <c r="AP58" s="565"/>
      <c r="AQ58" s="588"/>
      <c r="AR58" s="113" t="str">
        <f>IF(足元帳!A50="","",足元帳!A50)</f>
        <v/>
      </c>
      <c r="AS58" s="123">
        <f>COUNTIF(AR$4:AR58,AR58)</f>
        <v>55</v>
      </c>
    </row>
    <row r="59" spans="1:45" ht="23.45" customHeight="1">
      <c r="A59" s="586">
        <f t="shared" si="1"/>
        <v>50</v>
      </c>
      <c r="B59" s="566"/>
      <c r="C59" s="73" t="str">
        <f>IF(足元帳!AY51=1,"N",IF(足元帳!AY51=2,"R",""))</f>
        <v/>
      </c>
      <c r="D59" s="74" t="str">
        <f>IF(足元帳!AZ51&gt;0,VLOOKUP(足元帳!AZ51,管理シート!$R$4:$V$12,5,FALSE),"")</f>
        <v/>
      </c>
      <c r="E59" s="587" t="str">
        <f>IF(足元帳!J51="","",足元帳!J51)</f>
        <v/>
      </c>
      <c r="F59" s="566"/>
      <c r="G59" s="587" t="str">
        <f>IF(足元帳!K51="","",足元帳!K51)</f>
        <v/>
      </c>
      <c r="H59" s="565"/>
      <c r="I59" s="565"/>
      <c r="J59" s="566"/>
      <c r="K59" s="587" t="str">
        <f>IF(足元帳!BB51&gt;0,VLOOKUP(足元帳!BB51,管理シート!$R$4:$W$12,4,FALSE),"")</f>
        <v/>
      </c>
      <c r="L59" s="565"/>
      <c r="M59" s="566"/>
      <c r="N59" s="587" t="str">
        <f>IF(足元帳!U51="","",足元帳!U51)&amp;IF(足元帳!V51="","",足元帳!V51)&amp;IF(足元帳!W51="","",足元帳!W51)&amp;IF(足元帳!X51="","",足元帳!X51)&amp;IF(足元帳!Y51="","",足元帳!Y51)&amp;IF(足元帳!Z51="","",足元帳!Z51)</f>
        <v/>
      </c>
      <c r="O59" s="565"/>
      <c r="P59" s="565"/>
      <c r="Q59" s="565"/>
      <c r="R59" s="565"/>
      <c r="S59" s="566"/>
      <c r="T59" s="661" t="str">
        <f ca="1">IFERROR(INDEX(管理シート!$CB$3:$CK$24,MATCH(W59,管理シート!$CB$3:$CB$24,0),MATCH(K59,管理シート!$CB$3:$CM$3,0)),"")</f>
        <v/>
      </c>
      <c r="U59" s="661"/>
      <c r="V59" s="661"/>
      <c r="W59" s="587" t="str">
        <f ca="1">IF(ISERROR(MATCH("●",足元帳!AA51:AJ51,0)),"",INDIRECT("足元帳!R1C"&amp;MATCH("●",足元帳!AA51:AJ51,0)+26,FALSE))</f>
        <v/>
      </c>
      <c r="X59" s="565"/>
      <c r="Y59" s="566"/>
      <c r="Z59" s="587" t="str">
        <f>IF(足元帳!AL51="","","○")</f>
        <v/>
      </c>
      <c r="AA59" s="566"/>
      <c r="AB59" s="587" t="str">
        <f>IF(足元帳!AM51="","","現金カード払い"&amp;足元帳!AM51&amp;"  ")&amp;IF(足元帳!AP51="","",足元帳!AP51&amp;"　")&amp;IF(足元帳!AQ51="","",足元帳!AQ51&amp;"　")&amp;IF(足元帳!AR51="","",足元帳!AR51&amp;"　")&amp;IF(足元帳!AS51="","",足元帳!AS51&amp;"　")&amp;IF(足元帳!AT51="","",足元帳!AT51&amp;"　")&amp;IF(足元帳!AN51="","","LOVE×2")&amp;IF(足元帳!AJ51="","","MM"&amp;足元帳!AJ51)&amp;IF(足元帳!AW51="","",W59&amp;"利用"&amp;足元帳!AW51)&amp;IF(足元帳!AX51="",""," 優待券配布"&amp;足元帳!AX51)&amp;IF(足元帳!AU51="","","メルマガ")</f>
        <v/>
      </c>
      <c r="AC59" s="565"/>
      <c r="AD59" s="565"/>
      <c r="AE59" s="565"/>
      <c r="AF59" s="565"/>
      <c r="AG59" s="565"/>
      <c r="AH59" s="565"/>
      <c r="AI59" s="565"/>
      <c r="AJ59" s="565"/>
      <c r="AK59" s="565"/>
      <c r="AL59" s="565"/>
      <c r="AM59" s="565"/>
      <c r="AN59" s="565"/>
      <c r="AO59" s="565"/>
      <c r="AP59" s="565"/>
      <c r="AQ59" s="588"/>
      <c r="AR59" s="113" t="str">
        <f>IF(足元帳!A51="","",足元帳!A51)</f>
        <v/>
      </c>
      <c r="AS59" s="123">
        <f>COUNTIF(AR$4:AR59,AR59)</f>
        <v>56</v>
      </c>
    </row>
    <row r="60" spans="1:45" ht="23.45" customHeight="1">
      <c r="A60" s="586">
        <f t="shared" si="1"/>
        <v>51</v>
      </c>
      <c r="B60" s="566"/>
      <c r="C60" s="73" t="str">
        <f>IF(足元帳!AY52=1,"N",IF(足元帳!AY52=2,"R",""))</f>
        <v/>
      </c>
      <c r="D60" s="74" t="str">
        <f>IF(足元帳!AZ52&gt;0,VLOOKUP(足元帳!AZ52,管理シート!$R$4:$V$12,5,FALSE),"")</f>
        <v/>
      </c>
      <c r="E60" s="587" t="str">
        <f>IF(足元帳!J52="","",足元帳!J52)</f>
        <v/>
      </c>
      <c r="F60" s="566"/>
      <c r="G60" s="587" t="str">
        <f>IF(足元帳!K52="","",足元帳!K52)</f>
        <v/>
      </c>
      <c r="H60" s="565"/>
      <c r="I60" s="565"/>
      <c r="J60" s="566"/>
      <c r="K60" s="587" t="str">
        <f>IF(足元帳!BB52&gt;0,VLOOKUP(足元帳!BB52,管理シート!$R$4:$W$12,4,FALSE),"")</f>
        <v/>
      </c>
      <c r="L60" s="565"/>
      <c r="M60" s="566"/>
      <c r="N60" s="587" t="str">
        <f>IF(足元帳!U52="","",足元帳!U52)&amp;IF(足元帳!V52="","",足元帳!V52)&amp;IF(足元帳!W52="","",足元帳!W52)&amp;IF(足元帳!X52="","",足元帳!X52)&amp;IF(足元帳!Y52="","",足元帳!Y52)&amp;IF(足元帳!Z52="","",足元帳!Z52)</f>
        <v/>
      </c>
      <c r="O60" s="565"/>
      <c r="P60" s="565"/>
      <c r="Q60" s="565"/>
      <c r="R60" s="565"/>
      <c r="S60" s="566"/>
      <c r="T60" s="661" t="str">
        <f ca="1">IFERROR(INDEX(管理シート!$CB$3:$CK$24,MATCH(W60,管理シート!$CB$3:$CB$24,0),MATCH(K60,管理シート!$CB$3:$CM$3,0)),"")</f>
        <v/>
      </c>
      <c r="U60" s="661"/>
      <c r="V60" s="661"/>
      <c r="W60" s="587" t="str">
        <f ca="1">IF(ISERROR(MATCH("●",足元帳!AA52:AJ52,0)),"",INDIRECT("足元帳!R1C"&amp;MATCH("●",足元帳!AA52:AJ52,0)+26,FALSE))</f>
        <v/>
      </c>
      <c r="X60" s="565"/>
      <c r="Y60" s="566"/>
      <c r="Z60" s="587" t="str">
        <f>IF(足元帳!AL52="","","○")</f>
        <v/>
      </c>
      <c r="AA60" s="566"/>
      <c r="AB60" s="587" t="str">
        <f>IF(足元帳!AM52="","","現金カード払い"&amp;足元帳!AM52&amp;"  ")&amp;IF(足元帳!AP52="","",足元帳!AP52&amp;"　")&amp;IF(足元帳!AQ52="","",足元帳!AQ52&amp;"　")&amp;IF(足元帳!AR52="","",足元帳!AR52&amp;"　")&amp;IF(足元帳!AS52="","",足元帳!AS52&amp;"　")&amp;IF(足元帳!AT52="","",足元帳!AT52&amp;"　")&amp;IF(足元帳!AN52="","","LOVE×2")&amp;IF(足元帳!AJ52="","","MM"&amp;足元帳!AJ52)&amp;IF(足元帳!AW52="","",W60&amp;"利用"&amp;足元帳!AW52)&amp;IF(足元帳!AX52="",""," 優待券配布"&amp;足元帳!AX52)&amp;IF(足元帳!AU52="","","メルマガ")</f>
        <v/>
      </c>
      <c r="AC60" s="565"/>
      <c r="AD60" s="565"/>
      <c r="AE60" s="565"/>
      <c r="AF60" s="565"/>
      <c r="AG60" s="565"/>
      <c r="AH60" s="565"/>
      <c r="AI60" s="565"/>
      <c r="AJ60" s="565"/>
      <c r="AK60" s="565"/>
      <c r="AL60" s="565"/>
      <c r="AM60" s="565"/>
      <c r="AN60" s="565"/>
      <c r="AO60" s="565"/>
      <c r="AP60" s="565"/>
      <c r="AQ60" s="588"/>
      <c r="AR60" s="113" t="str">
        <f>IF(足元帳!A52="","",足元帳!A52)</f>
        <v/>
      </c>
      <c r="AS60" s="123">
        <f>COUNTIF(AR$4:AR60,AR60)</f>
        <v>57</v>
      </c>
    </row>
    <row r="61" spans="1:45" ht="23.45" customHeight="1">
      <c r="A61" s="586">
        <f t="shared" si="1"/>
        <v>52</v>
      </c>
      <c r="B61" s="566"/>
      <c r="C61" s="73" t="str">
        <f>IF(足元帳!AY53=1,"N",IF(足元帳!AY53=2,"R",""))</f>
        <v/>
      </c>
      <c r="D61" s="74" t="str">
        <f>IF(足元帳!AZ53&gt;0,VLOOKUP(足元帳!AZ53,管理シート!$R$4:$V$12,5,FALSE),"")</f>
        <v/>
      </c>
      <c r="E61" s="587" t="str">
        <f>IF(足元帳!J53="","",足元帳!J53)</f>
        <v/>
      </c>
      <c r="F61" s="566"/>
      <c r="G61" s="587" t="str">
        <f>IF(足元帳!K53="","",足元帳!K53)</f>
        <v/>
      </c>
      <c r="H61" s="565"/>
      <c r="I61" s="565"/>
      <c r="J61" s="566"/>
      <c r="K61" s="587" t="str">
        <f>IF(足元帳!BB53&gt;0,VLOOKUP(足元帳!BB53,管理シート!$R$4:$W$12,4,FALSE),"")</f>
        <v/>
      </c>
      <c r="L61" s="565"/>
      <c r="M61" s="566"/>
      <c r="N61" s="587" t="str">
        <f>IF(足元帳!U53="","",足元帳!U53)&amp;IF(足元帳!V53="","",足元帳!V53)&amp;IF(足元帳!W53="","",足元帳!W53)&amp;IF(足元帳!X53="","",足元帳!X53)&amp;IF(足元帳!Y53="","",足元帳!Y53)&amp;IF(足元帳!Z53="","",足元帳!Z53)</f>
        <v/>
      </c>
      <c r="O61" s="565"/>
      <c r="P61" s="565"/>
      <c r="Q61" s="565"/>
      <c r="R61" s="565"/>
      <c r="S61" s="566"/>
      <c r="T61" s="661" t="str">
        <f ca="1">IFERROR(INDEX(管理シート!$CB$3:$CK$24,MATCH(W61,管理シート!$CB$3:$CB$24,0),MATCH(K61,管理シート!$CB$3:$CM$3,0)),"")</f>
        <v/>
      </c>
      <c r="U61" s="661"/>
      <c r="V61" s="661"/>
      <c r="W61" s="587" t="str">
        <f ca="1">IF(ISERROR(MATCH("●",足元帳!AA53:AJ53,0)),"",INDIRECT("足元帳!R1C"&amp;MATCH("●",足元帳!AA53:AJ53,0)+26,FALSE))</f>
        <v/>
      </c>
      <c r="X61" s="565"/>
      <c r="Y61" s="566"/>
      <c r="Z61" s="587" t="str">
        <f>IF(足元帳!AL53="","","○")</f>
        <v/>
      </c>
      <c r="AA61" s="566"/>
      <c r="AB61" s="587" t="str">
        <f>IF(足元帳!AM53="","","現金カード払い"&amp;足元帳!AM53&amp;"  ")&amp;IF(足元帳!AP53="","",足元帳!AP53&amp;"　")&amp;IF(足元帳!AQ53="","",足元帳!AQ53&amp;"　")&amp;IF(足元帳!AR53="","",足元帳!AR53&amp;"　")&amp;IF(足元帳!AS53="","",足元帳!AS53&amp;"　")&amp;IF(足元帳!AT53="","",足元帳!AT53&amp;"　")&amp;IF(足元帳!AN53="","","LOVE×2")&amp;IF(足元帳!AJ53="","","MM"&amp;足元帳!AJ53)&amp;IF(足元帳!AW53="","",W61&amp;"利用"&amp;足元帳!AW53)&amp;IF(足元帳!AX53="",""," 優待券配布"&amp;足元帳!AX53)&amp;IF(足元帳!AU53="","","メルマガ")</f>
        <v/>
      </c>
      <c r="AC61" s="565"/>
      <c r="AD61" s="565"/>
      <c r="AE61" s="565"/>
      <c r="AF61" s="565"/>
      <c r="AG61" s="565"/>
      <c r="AH61" s="565"/>
      <c r="AI61" s="565"/>
      <c r="AJ61" s="565"/>
      <c r="AK61" s="565"/>
      <c r="AL61" s="565"/>
      <c r="AM61" s="565"/>
      <c r="AN61" s="565"/>
      <c r="AO61" s="565"/>
      <c r="AP61" s="565"/>
      <c r="AQ61" s="588"/>
      <c r="AR61" s="113" t="str">
        <f>IF(足元帳!A53="","",足元帳!A53)</f>
        <v/>
      </c>
      <c r="AS61" s="123">
        <f>COUNTIF(AR$4:AR61,AR61)</f>
        <v>58</v>
      </c>
    </row>
    <row r="62" spans="1:45" ht="23.45" customHeight="1">
      <c r="A62" s="586">
        <f t="shared" si="1"/>
        <v>53</v>
      </c>
      <c r="B62" s="566"/>
      <c r="C62" s="73" t="str">
        <f>IF(足元帳!AY54=1,"N",IF(足元帳!AY54=2,"R",""))</f>
        <v/>
      </c>
      <c r="D62" s="74" t="str">
        <f>IF(足元帳!AZ54&gt;0,VLOOKUP(足元帳!AZ54,管理シート!$R$4:$V$12,5,FALSE),"")</f>
        <v/>
      </c>
      <c r="E62" s="587" t="str">
        <f>IF(足元帳!J54="","",足元帳!J54)</f>
        <v/>
      </c>
      <c r="F62" s="566"/>
      <c r="G62" s="587" t="str">
        <f>IF(足元帳!K54="","",足元帳!K54)</f>
        <v/>
      </c>
      <c r="H62" s="565"/>
      <c r="I62" s="565"/>
      <c r="J62" s="566"/>
      <c r="K62" s="587" t="str">
        <f>IF(足元帳!BB54&gt;0,VLOOKUP(足元帳!BB54,管理シート!$R$4:$W$12,4,FALSE),"")</f>
        <v/>
      </c>
      <c r="L62" s="565"/>
      <c r="M62" s="566"/>
      <c r="N62" s="587" t="str">
        <f>IF(足元帳!U54="","",足元帳!U54)&amp;IF(足元帳!V54="","",足元帳!V54)&amp;IF(足元帳!W54="","",足元帳!W54)&amp;IF(足元帳!X54="","",足元帳!X54)&amp;IF(足元帳!Y54="","",足元帳!Y54)&amp;IF(足元帳!Z54="","",足元帳!Z54)</f>
        <v/>
      </c>
      <c r="O62" s="565"/>
      <c r="P62" s="565"/>
      <c r="Q62" s="565"/>
      <c r="R62" s="565"/>
      <c r="S62" s="566"/>
      <c r="T62" s="661" t="str">
        <f ca="1">IFERROR(INDEX(管理シート!$CB$3:$CK$24,MATCH(W62,管理シート!$CB$3:$CB$24,0),MATCH(K62,管理シート!$CB$3:$CM$3,0)),"")</f>
        <v/>
      </c>
      <c r="U62" s="661"/>
      <c r="V62" s="661"/>
      <c r="W62" s="587" t="str">
        <f ca="1">IF(ISERROR(MATCH("●",足元帳!AA54:AJ54,0)),"",INDIRECT("足元帳!R1C"&amp;MATCH("●",足元帳!AA54:AJ54,0)+26,FALSE))</f>
        <v/>
      </c>
      <c r="X62" s="565"/>
      <c r="Y62" s="566"/>
      <c r="Z62" s="587" t="str">
        <f>IF(足元帳!AL54="","","○")</f>
        <v/>
      </c>
      <c r="AA62" s="566"/>
      <c r="AB62" s="587" t="str">
        <f>IF(足元帳!AM54="","","現金カード払い"&amp;足元帳!AM54&amp;"  ")&amp;IF(足元帳!AP54="","",足元帳!AP54&amp;"　")&amp;IF(足元帳!AQ54="","",足元帳!AQ54&amp;"　")&amp;IF(足元帳!AR54="","",足元帳!AR54&amp;"　")&amp;IF(足元帳!AS54="","",足元帳!AS54&amp;"　")&amp;IF(足元帳!AT54="","",足元帳!AT54&amp;"　")&amp;IF(足元帳!AN54="","","LOVE×2")&amp;IF(足元帳!AJ54="","","MM"&amp;足元帳!AJ54)&amp;IF(足元帳!AW54="","",W62&amp;"利用"&amp;足元帳!AW54)&amp;IF(足元帳!AX54="",""," 優待券配布"&amp;足元帳!AX54)&amp;IF(足元帳!AU54="","","メルマガ")</f>
        <v/>
      </c>
      <c r="AC62" s="565"/>
      <c r="AD62" s="565"/>
      <c r="AE62" s="565"/>
      <c r="AF62" s="565"/>
      <c r="AG62" s="565"/>
      <c r="AH62" s="565"/>
      <c r="AI62" s="565"/>
      <c r="AJ62" s="565"/>
      <c r="AK62" s="565"/>
      <c r="AL62" s="565"/>
      <c r="AM62" s="565"/>
      <c r="AN62" s="565"/>
      <c r="AO62" s="565"/>
      <c r="AP62" s="565"/>
      <c r="AQ62" s="588"/>
      <c r="AR62" s="113" t="str">
        <f>IF(足元帳!A54="","",足元帳!A54)</f>
        <v/>
      </c>
      <c r="AS62" s="123">
        <f>COUNTIF(AR$4:AR62,AR62)</f>
        <v>59</v>
      </c>
    </row>
    <row r="63" spans="1:45" ht="23.45" customHeight="1">
      <c r="A63" s="586">
        <f t="shared" si="1"/>
        <v>54</v>
      </c>
      <c r="B63" s="566"/>
      <c r="C63" s="73" t="str">
        <f>IF(足元帳!AY55=1,"N",IF(足元帳!AY55=2,"R",""))</f>
        <v/>
      </c>
      <c r="D63" s="74" t="str">
        <f>IF(足元帳!AZ55&gt;0,VLOOKUP(足元帳!AZ55,管理シート!$R$4:$V$12,5,FALSE),"")</f>
        <v/>
      </c>
      <c r="E63" s="587" t="str">
        <f>IF(足元帳!J55="","",足元帳!J55)</f>
        <v/>
      </c>
      <c r="F63" s="566"/>
      <c r="G63" s="587" t="str">
        <f>IF(足元帳!K55="","",足元帳!K55)</f>
        <v/>
      </c>
      <c r="H63" s="565"/>
      <c r="I63" s="565"/>
      <c r="J63" s="566"/>
      <c r="K63" s="587" t="str">
        <f>IF(足元帳!BB55&gt;0,VLOOKUP(足元帳!BB55,管理シート!$R$4:$W$12,4,FALSE),"")</f>
        <v/>
      </c>
      <c r="L63" s="565"/>
      <c r="M63" s="566"/>
      <c r="N63" s="587" t="str">
        <f>IF(足元帳!U55="","",足元帳!U55)&amp;IF(足元帳!V55="","",足元帳!V55)&amp;IF(足元帳!W55="","",足元帳!W55)&amp;IF(足元帳!X55="","",足元帳!X55)&amp;IF(足元帳!Y55="","",足元帳!Y55)&amp;IF(足元帳!Z55="","",足元帳!Z55)</f>
        <v/>
      </c>
      <c r="O63" s="565"/>
      <c r="P63" s="565"/>
      <c r="Q63" s="565"/>
      <c r="R63" s="565"/>
      <c r="S63" s="566"/>
      <c r="T63" s="661" t="str">
        <f ca="1">IFERROR(INDEX(管理シート!$CB$3:$CK$24,MATCH(W63,管理シート!$CB$3:$CB$24,0),MATCH(K63,管理シート!$CB$3:$CM$3,0)),"")</f>
        <v/>
      </c>
      <c r="U63" s="661"/>
      <c r="V63" s="661"/>
      <c r="W63" s="587" t="str">
        <f ca="1">IF(ISERROR(MATCH("●",足元帳!AA55:AJ55,0)),"",INDIRECT("足元帳!R1C"&amp;MATCH("●",足元帳!AA55:AJ55,0)+26,FALSE))</f>
        <v/>
      </c>
      <c r="X63" s="565"/>
      <c r="Y63" s="566"/>
      <c r="Z63" s="587" t="str">
        <f>IF(足元帳!AL55="","","○")</f>
        <v/>
      </c>
      <c r="AA63" s="566"/>
      <c r="AB63" s="587" t="str">
        <f>IF(足元帳!AM55="","","現金カード払い"&amp;足元帳!AM55&amp;"  ")&amp;IF(足元帳!AP55="","",足元帳!AP55&amp;"　")&amp;IF(足元帳!AQ55="","",足元帳!AQ55&amp;"　")&amp;IF(足元帳!AR55="","",足元帳!AR55&amp;"　")&amp;IF(足元帳!AS55="","",足元帳!AS55&amp;"　")&amp;IF(足元帳!AT55="","",足元帳!AT55&amp;"　")&amp;IF(足元帳!AN55="","","LOVE×2")&amp;IF(足元帳!AJ55="","","MM"&amp;足元帳!AJ55)&amp;IF(足元帳!AW55="","",W63&amp;"利用"&amp;足元帳!AW55)&amp;IF(足元帳!AX55="",""," 優待券配布"&amp;足元帳!AX55)&amp;IF(足元帳!AU55="","","メルマガ")</f>
        <v/>
      </c>
      <c r="AC63" s="565"/>
      <c r="AD63" s="565"/>
      <c r="AE63" s="565"/>
      <c r="AF63" s="565"/>
      <c r="AG63" s="565"/>
      <c r="AH63" s="565"/>
      <c r="AI63" s="565"/>
      <c r="AJ63" s="565"/>
      <c r="AK63" s="565"/>
      <c r="AL63" s="565"/>
      <c r="AM63" s="565"/>
      <c r="AN63" s="565"/>
      <c r="AO63" s="565"/>
      <c r="AP63" s="565"/>
      <c r="AQ63" s="588"/>
      <c r="AR63" s="113" t="str">
        <f>IF(足元帳!A55="","",足元帳!A55)</f>
        <v/>
      </c>
      <c r="AS63" s="123">
        <f>COUNTIF(AR$4:AR63,AR63)</f>
        <v>60</v>
      </c>
    </row>
    <row r="64" spans="1:45" ht="23.45" customHeight="1">
      <c r="A64" s="586">
        <f t="shared" si="1"/>
        <v>55</v>
      </c>
      <c r="B64" s="566"/>
      <c r="C64" s="73" t="str">
        <f>IF(足元帳!AY56=1,"N",IF(足元帳!AY56=2,"R",""))</f>
        <v/>
      </c>
      <c r="D64" s="74" t="str">
        <f>IF(足元帳!AZ56&gt;0,VLOOKUP(足元帳!AZ56,管理シート!$R$4:$V$12,5,FALSE),"")</f>
        <v/>
      </c>
      <c r="E64" s="587" t="str">
        <f>IF(足元帳!J56="","",足元帳!J56)</f>
        <v/>
      </c>
      <c r="F64" s="566"/>
      <c r="G64" s="587" t="str">
        <f>IF(足元帳!K56="","",足元帳!K56)</f>
        <v/>
      </c>
      <c r="H64" s="565"/>
      <c r="I64" s="565"/>
      <c r="J64" s="566"/>
      <c r="K64" s="587" t="str">
        <f>IF(足元帳!BB56&gt;0,VLOOKUP(足元帳!BB56,管理シート!$R$4:$W$12,4,FALSE),"")</f>
        <v/>
      </c>
      <c r="L64" s="565"/>
      <c r="M64" s="566"/>
      <c r="N64" s="587" t="str">
        <f>IF(足元帳!U56="","",足元帳!U56)&amp;IF(足元帳!V56="","",足元帳!V56)&amp;IF(足元帳!W56="","",足元帳!W56)&amp;IF(足元帳!X56="","",足元帳!X56)&amp;IF(足元帳!Y56="","",足元帳!Y56)&amp;IF(足元帳!Z56="","",足元帳!Z56)</f>
        <v/>
      </c>
      <c r="O64" s="565"/>
      <c r="P64" s="565"/>
      <c r="Q64" s="565"/>
      <c r="R64" s="565"/>
      <c r="S64" s="566"/>
      <c r="T64" s="661" t="str">
        <f ca="1">IFERROR(INDEX(管理シート!$CB$3:$CK$24,MATCH(W64,管理シート!$CB$3:$CB$24,0),MATCH(K64,管理シート!$CB$3:$CM$3,0)),"")</f>
        <v/>
      </c>
      <c r="U64" s="661"/>
      <c r="V64" s="661"/>
      <c r="W64" s="587" t="str">
        <f ca="1">IF(ISERROR(MATCH("●",足元帳!AA56:AJ56,0)),"",INDIRECT("足元帳!R1C"&amp;MATCH("●",足元帳!AA56:AJ56,0)+26,FALSE))</f>
        <v/>
      </c>
      <c r="X64" s="565"/>
      <c r="Y64" s="566"/>
      <c r="Z64" s="587" t="str">
        <f>IF(足元帳!AL56="","","○")</f>
        <v/>
      </c>
      <c r="AA64" s="566"/>
      <c r="AB64" s="587" t="str">
        <f>IF(足元帳!AM56="","","現金カード払い"&amp;足元帳!AM56&amp;"  ")&amp;IF(足元帳!AP56="","",足元帳!AP56&amp;"　")&amp;IF(足元帳!AQ56="","",足元帳!AQ56&amp;"　")&amp;IF(足元帳!AR56="","",足元帳!AR56&amp;"　")&amp;IF(足元帳!AS56="","",足元帳!AS56&amp;"　")&amp;IF(足元帳!AT56="","",足元帳!AT56&amp;"　")&amp;IF(足元帳!AN56="","","LOVE×2")&amp;IF(足元帳!AJ56="","","MM"&amp;足元帳!AJ56)&amp;IF(足元帳!AW56="","",W64&amp;"利用"&amp;足元帳!AW56)&amp;IF(足元帳!AX56="",""," 優待券配布"&amp;足元帳!AX56)&amp;IF(足元帳!AU56="","","メルマガ")</f>
        <v/>
      </c>
      <c r="AC64" s="565"/>
      <c r="AD64" s="565"/>
      <c r="AE64" s="565"/>
      <c r="AF64" s="565"/>
      <c r="AG64" s="565"/>
      <c r="AH64" s="565"/>
      <c r="AI64" s="565"/>
      <c r="AJ64" s="565"/>
      <c r="AK64" s="565"/>
      <c r="AL64" s="565"/>
      <c r="AM64" s="565"/>
      <c r="AN64" s="565"/>
      <c r="AO64" s="565"/>
      <c r="AP64" s="565"/>
      <c r="AQ64" s="588"/>
      <c r="AR64" s="113" t="str">
        <f>IF(足元帳!A56="","",足元帳!A56)</f>
        <v/>
      </c>
      <c r="AS64" s="123">
        <f>COUNTIF(AR$4:AR64,AR64)</f>
        <v>61</v>
      </c>
    </row>
    <row r="65" spans="1:45" ht="23.45" customHeight="1">
      <c r="A65" s="586">
        <f t="shared" si="1"/>
        <v>56</v>
      </c>
      <c r="B65" s="566"/>
      <c r="C65" s="73" t="str">
        <f>IF(足元帳!AY57=1,"N",IF(足元帳!AY57=2,"R",""))</f>
        <v/>
      </c>
      <c r="D65" s="74" t="str">
        <f>IF(足元帳!AZ57&gt;0,VLOOKUP(足元帳!AZ57,管理シート!$R$4:$V$12,5,FALSE),"")</f>
        <v/>
      </c>
      <c r="E65" s="587" t="str">
        <f>IF(足元帳!J57="","",足元帳!J57)</f>
        <v/>
      </c>
      <c r="F65" s="566"/>
      <c r="G65" s="587" t="str">
        <f>IF(足元帳!K57="","",足元帳!K57)</f>
        <v/>
      </c>
      <c r="H65" s="565"/>
      <c r="I65" s="565"/>
      <c r="J65" s="566"/>
      <c r="K65" s="587" t="str">
        <f>IF(足元帳!BB57&gt;0,VLOOKUP(足元帳!BB57,管理シート!$R$4:$W$12,4,FALSE),"")</f>
        <v/>
      </c>
      <c r="L65" s="565"/>
      <c r="M65" s="566"/>
      <c r="N65" s="587" t="str">
        <f>IF(足元帳!U57="","",足元帳!U57)&amp;IF(足元帳!V57="","",足元帳!V57)&amp;IF(足元帳!W57="","",足元帳!W57)&amp;IF(足元帳!X57="","",足元帳!X57)&amp;IF(足元帳!Y57="","",足元帳!Y57)&amp;IF(足元帳!Z57="","",足元帳!Z57)</f>
        <v/>
      </c>
      <c r="O65" s="565"/>
      <c r="P65" s="565"/>
      <c r="Q65" s="565"/>
      <c r="R65" s="565"/>
      <c r="S65" s="566"/>
      <c r="T65" s="661" t="str">
        <f ca="1">IFERROR(INDEX(管理シート!$CB$3:$CK$24,MATCH(W65,管理シート!$CB$3:$CB$24,0),MATCH(K65,管理シート!$CB$3:$CM$3,0)),"")</f>
        <v/>
      </c>
      <c r="U65" s="661"/>
      <c r="V65" s="661"/>
      <c r="W65" s="587" t="str">
        <f ca="1">IF(ISERROR(MATCH("●",足元帳!AA57:AJ57,0)),"",INDIRECT("足元帳!R1C"&amp;MATCH("●",足元帳!AA57:AJ57,0)+26,FALSE))</f>
        <v/>
      </c>
      <c r="X65" s="565"/>
      <c r="Y65" s="566"/>
      <c r="Z65" s="587" t="str">
        <f>IF(足元帳!AL57="","","○")</f>
        <v/>
      </c>
      <c r="AA65" s="566"/>
      <c r="AB65" s="587" t="str">
        <f>IF(足元帳!AM57="","","現金カード払い"&amp;足元帳!AM57&amp;"  ")&amp;IF(足元帳!AP57="","",足元帳!AP57&amp;"　")&amp;IF(足元帳!AQ57="","",足元帳!AQ57&amp;"　")&amp;IF(足元帳!AR57="","",足元帳!AR57&amp;"　")&amp;IF(足元帳!AS57="","",足元帳!AS57&amp;"　")&amp;IF(足元帳!AT57="","",足元帳!AT57&amp;"　")&amp;IF(足元帳!AN57="","","LOVE×2")&amp;IF(足元帳!AJ57="","","MM"&amp;足元帳!AJ57)&amp;IF(足元帳!AW57="","",W65&amp;"利用"&amp;足元帳!AW57)&amp;IF(足元帳!AX57="",""," 優待券配布"&amp;足元帳!AX57)&amp;IF(足元帳!AU57="","","メルマガ")</f>
        <v/>
      </c>
      <c r="AC65" s="565"/>
      <c r="AD65" s="565"/>
      <c r="AE65" s="565"/>
      <c r="AF65" s="565"/>
      <c r="AG65" s="565"/>
      <c r="AH65" s="565"/>
      <c r="AI65" s="565"/>
      <c r="AJ65" s="565"/>
      <c r="AK65" s="565"/>
      <c r="AL65" s="565"/>
      <c r="AM65" s="565"/>
      <c r="AN65" s="565"/>
      <c r="AO65" s="565"/>
      <c r="AP65" s="565"/>
      <c r="AQ65" s="588"/>
      <c r="AR65" s="113" t="str">
        <f>IF(足元帳!A57="","",足元帳!A57)</f>
        <v/>
      </c>
      <c r="AS65" s="123">
        <f>COUNTIF(AR$4:AR65,AR65)</f>
        <v>62</v>
      </c>
    </row>
    <row r="66" spans="1:45" ht="23.45" customHeight="1">
      <c r="A66" s="586">
        <f t="shared" si="1"/>
        <v>57</v>
      </c>
      <c r="B66" s="566"/>
      <c r="C66" s="73" t="str">
        <f>IF(足元帳!AY58=1,"N",IF(足元帳!AY58=2,"R",""))</f>
        <v/>
      </c>
      <c r="D66" s="74" t="str">
        <f>IF(足元帳!AZ58&gt;0,VLOOKUP(足元帳!AZ58,管理シート!$R$4:$V$12,5,FALSE),"")</f>
        <v/>
      </c>
      <c r="E66" s="587" t="str">
        <f>IF(足元帳!J58="","",足元帳!J58)</f>
        <v/>
      </c>
      <c r="F66" s="566"/>
      <c r="G66" s="587" t="str">
        <f>IF(足元帳!K58="","",足元帳!K58)</f>
        <v/>
      </c>
      <c r="H66" s="565"/>
      <c r="I66" s="565"/>
      <c r="J66" s="566"/>
      <c r="K66" s="587" t="str">
        <f>IF(足元帳!BB58&gt;0,VLOOKUP(足元帳!BB58,管理シート!$R$4:$W$12,4,FALSE),"")</f>
        <v/>
      </c>
      <c r="L66" s="565"/>
      <c r="M66" s="566"/>
      <c r="N66" s="587" t="str">
        <f>IF(足元帳!U58="","",足元帳!U58)&amp;IF(足元帳!V58="","",足元帳!V58)&amp;IF(足元帳!W58="","",足元帳!W58)&amp;IF(足元帳!X58="","",足元帳!X58)&amp;IF(足元帳!Y58="","",足元帳!Y58)&amp;IF(足元帳!Z58="","",足元帳!Z58)</f>
        <v/>
      </c>
      <c r="O66" s="565"/>
      <c r="P66" s="565"/>
      <c r="Q66" s="565"/>
      <c r="R66" s="565"/>
      <c r="S66" s="566"/>
      <c r="T66" s="661" t="str">
        <f ca="1">IFERROR(INDEX(管理シート!$CB$3:$CK$24,MATCH(W66,管理シート!$CB$3:$CB$24,0),MATCH(K66,管理シート!$CB$3:$CM$3,0)),"")</f>
        <v/>
      </c>
      <c r="U66" s="661"/>
      <c r="V66" s="661"/>
      <c r="W66" s="587" t="str">
        <f ca="1">IF(ISERROR(MATCH("●",足元帳!AA58:AJ58,0)),"",INDIRECT("足元帳!R1C"&amp;MATCH("●",足元帳!AA58:AJ58,0)+26,FALSE))</f>
        <v/>
      </c>
      <c r="X66" s="565"/>
      <c r="Y66" s="566"/>
      <c r="Z66" s="587" t="str">
        <f>IF(足元帳!AL58="","","○")</f>
        <v/>
      </c>
      <c r="AA66" s="566"/>
      <c r="AB66" s="587" t="str">
        <f>IF(足元帳!AM58="","","現金カード払い"&amp;足元帳!AM58&amp;"  ")&amp;IF(足元帳!AP58="","",足元帳!AP58&amp;"　")&amp;IF(足元帳!AQ58="","",足元帳!AQ58&amp;"　")&amp;IF(足元帳!AR58="","",足元帳!AR58&amp;"　")&amp;IF(足元帳!AS58="","",足元帳!AS58&amp;"　")&amp;IF(足元帳!AT58="","",足元帳!AT58&amp;"　")&amp;IF(足元帳!AN58="","","LOVE×2")&amp;IF(足元帳!AJ58="","","MM"&amp;足元帳!AJ58)&amp;IF(足元帳!AW58="","",W66&amp;"利用"&amp;足元帳!AW58)&amp;IF(足元帳!AX58="",""," 優待券配布"&amp;足元帳!AX58)&amp;IF(足元帳!AU58="","","メルマガ")</f>
        <v/>
      </c>
      <c r="AC66" s="565"/>
      <c r="AD66" s="565"/>
      <c r="AE66" s="565"/>
      <c r="AF66" s="565"/>
      <c r="AG66" s="565"/>
      <c r="AH66" s="565"/>
      <c r="AI66" s="565"/>
      <c r="AJ66" s="565"/>
      <c r="AK66" s="565"/>
      <c r="AL66" s="565"/>
      <c r="AM66" s="565"/>
      <c r="AN66" s="565"/>
      <c r="AO66" s="565"/>
      <c r="AP66" s="565"/>
      <c r="AQ66" s="588"/>
      <c r="AR66" s="113" t="str">
        <f>IF(足元帳!A58="","",足元帳!A58)</f>
        <v/>
      </c>
      <c r="AS66" s="123">
        <f>COUNTIF(AR$4:AR66,AR66)</f>
        <v>63</v>
      </c>
    </row>
    <row r="67" spans="1:45" ht="23.45" customHeight="1">
      <c r="A67" s="586">
        <f t="shared" si="1"/>
        <v>58</v>
      </c>
      <c r="B67" s="566"/>
      <c r="C67" s="73" t="str">
        <f>IF(足元帳!AY59=1,"N",IF(足元帳!AY59=2,"R",""))</f>
        <v/>
      </c>
      <c r="D67" s="74" t="str">
        <f>IF(足元帳!AZ59&gt;0,VLOOKUP(足元帳!AZ59,管理シート!$R$4:$V$12,5,FALSE),"")</f>
        <v/>
      </c>
      <c r="E67" s="587" t="str">
        <f>IF(足元帳!J59="","",足元帳!J59)</f>
        <v/>
      </c>
      <c r="F67" s="566"/>
      <c r="G67" s="587" t="str">
        <f>IF(足元帳!K59="","",足元帳!K59)</f>
        <v/>
      </c>
      <c r="H67" s="565"/>
      <c r="I67" s="565"/>
      <c r="J67" s="566"/>
      <c r="K67" s="587" t="str">
        <f>IF(足元帳!BB59&gt;0,VLOOKUP(足元帳!BB59,管理シート!$R$4:$W$12,4,FALSE),"")</f>
        <v/>
      </c>
      <c r="L67" s="565"/>
      <c r="M67" s="566"/>
      <c r="N67" s="587" t="str">
        <f>IF(足元帳!U59="","",足元帳!U59)&amp;IF(足元帳!V59="","",足元帳!V59)&amp;IF(足元帳!W59="","",足元帳!W59)&amp;IF(足元帳!X59="","",足元帳!X59)&amp;IF(足元帳!Y59="","",足元帳!Y59)&amp;IF(足元帳!Z59="","",足元帳!Z59)</f>
        <v/>
      </c>
      <c r="O67" s="565"/>
      <c r="P67" s="565"/>
      <c r="Q67" s="565"/>
      <c r="R67" s="565"/>
      <c r="S67" s="566"/>
      <c r="T67" s="661" t="str">
        <f ca="1">IFERROR(INDEX(管理シート!$CB$3:$CK$24,MATCH(W67,管理シート!$CB$3:$CB$24,0),MATCH(K67,管理シート!$CB$3:$CM$3,0)),"")</f>
        <v/>
      </c>
      <c r="U67" s="661"/>
      <c r="V67" s="661"/>
      <c r="W67" s="587" t="str">
        <f ca="1">IF(ISERROR(MATCH("●",足元帳!AA59:AJ59,0)),"",INDIRECT("足元帳!R1C"&amp;MATCH("●",足元帳!AA59:AJ59,0)+26,FALSE))</f>
        <v/>
      </c>
      <c r="X67" s="565"/>
      <c r="Y67" s="566"/>
      <c r="Z67" s="587" t="str">
        <f>IF(足元帳!AL59="","","○")</f>
        <v/>
      </c>
      <c r="AA67" s="566"/>
      <c r="AB67" s="587" t="str">
        <f>IF(足元帳!AM59="","","現金カード払い"&amp;足元帳!AM59&amp;"  ")&amp;IF(足元帳!AP59="","",足元帳!AP59&amp;"　")&amp;IF(足元帳!AQ59="","",足元帳!AQ59&amp;"　")&amp;IF(足元帳!AR59="","",足元帳!AR59&amp;"　")&amp;IF(足元帳!AS59="","",足元帳!AS59&amp;"　")&amp;IF(足元帳!AT59="","",足元帳!AT59&amp;"　")&amp;IF(足元帳!AN59="","","LOVE×2")&amp;IF(足元帳!AJ59="","","MM"&amp;足元帳!AJ59)&amp;IF(足元帳!AW59="","",W67&amp;"利用"&amp;足元帳!AW59)&amp;IF(足元帳!AX59="",""," 優待券配布"&amp;足元帳!AX59)&amp;IF(足元帳!AU59="","","メルマガ")</f>
        <v/>
      </c>
      <c r="AC67" s="565"/>
      <c r="AD67" s="565"/>
      <c r="AE67" s="565"/>
      <c r="AF67" s="565"/>
      <c r="AG67" s="565"/>
      <c r="AH67" s="565"/>
      <c r="AI67" s="565"/>
      <c r="AJ67" s="565"/>
      <c r="AK67" s="565"/>
      <c r="AL67" s="565"/>
      <c r="AM67" s="565"/>
      <c r="AN67" s="565"/>
      <c r="AO67" s="565"/>
      <c r="AP67" s="565"/>
      <c r="AQ67" s="588"/>
      <c r="AR67" s="113" t="str">
        <f>IF(足元帳!A59="","",足元帳!A59)</f>
        <v/>
      </c>
      <c r="AS67" s="123">
        <f>COUNTIF(AR$4:AR67,AR67)</f>
        <v>64</v>
      </c>
    </row>
    <row r="68" spans="1:45" ht="23.45" customHeight="1">
      <c r="A68" s="586">
        <f t="shared" si="1"/>
        <v>59</v>
      </c>
      <c r="B68" s="566"/>
      <c r="C68" s="73" t="str">
        <f>IF(足元帳!AY60=1,"N",IF(足元帳!AY60=2,"R",""))</f>
        <v/>
      </c>
      <c r="D68" s="74" t="str">
        <f>IF(足元帳!AZ60&gt;0,VLOOKUP(足元帳!AZ60,管理シート!$R$4:$V$12,5,FALSE),"")</f>
        <v/>
      </c>
      <c r="E68" s="587" t="str">
        <f>IF(足元帳!J60="","",足元帳!J60)</f>
        <v/>
      </c>
      <c r="F68" s="566"/>
      <c r="G68" s="587" t="str">
        <f>IF(足元帳!K60="","",足元帳!K60)</f>
        <v/>
      </c>
      <c r="H68" s="565"/>
      <c r="I68" s="565"/>
      <c r="J68" s="566"/>
      <c r="K68" s="587" t="str">
        <f>IF(足元帳!BB60&gt;0,VLOOKUP(足元帳!BB60,管理シート!$R$4:$W$12,4,FALSE),"")</f>
        <v/>
      </c>
      <c r="L68" s="565"/>
      <c r="M68" s="566"/>
      <c r="N68" s="587" t="str">
        <f>IF(足元帳!U60="","",足元帳!U60)&amp;IF(足元帳!V60="","",足元帳!V60)&amp;IF(足元帳!W60="","",足元帳!W60)&amp;IF(足元帳!X60="","",足元帳!X60)&amp;IF(足元帳!Y60="","",足元帳!Y60)&amp;IF(足元帳!Z60="","",足元帳!Z60)</f>
        <v/>
      </c>
      <c r="O68" s="565"/>
      <c r="P68" s="565"/>
      <c r="Q68" s="565"/>
      <c r="R68" s="565"/>
      <c r="S68" s="566"/>
      <c r="T68" s="661" t="str">
        <f ca="1">IFERROR(INDEX(管理シート!$CB$3:$CK$24,MATCH(W68,管理シート!$CB$3:$CB$24,0),MATCH(K68,管理シート!$CB$3:$CM$3,0)),"")</f>
        <v/>
      </c>
      <c r="U68" s="661"/>
      <c r="V68" s="661"/>
      <c r="W68" s="587" t="str">
        <f ca="1">IF(ISERROR(MATCH("●",足元帳!AA60:AJ60,0)),"",INDIRECT("足元帳!R1C"&amp;MATCH("●",足元帳!AA60:AJ60,0)+26,FALSE))</f>
        <v/>
      </c>
      <c r="X68" s="565"/>
      <c r="Y68" s="566"/>
      <c r="Z68" s="587" t="str">
        <f>IF(足元帳!AL60="","","○")</f>
        <v/>
      </c>
      <c r="AA68" s="566"/>
      <c r="AB68" s="587" t="str">
        <f>IF(足元帳!AM60="","","現金カード払い"&amp;足元帳!AM60&amp;"  ")&amp;IF(足元帳!AP60="","",足元帳!AP60&amp;"　")&amp;IF(足元帳!AQ60="","",足元帳!AQ60&amp;"　")&amp;IF(足元帳!AR60="","",足元帳!AR60&amp;"　")&amp;IF(足元帳!AS60="","",足元帳!AS60&amp;"　")&amp;IF(足元帳!AT60="","",足元帳!AT60&amp;"　")&amp;IF(足元帳!AN60="","","LOVE×2")&amp;IF(足元帳!AJ60="","","MM"&amp;足元帳!AJ60)&amp;IF(足元帳!AW60="","",W68&amp;"利用"&amp;足元帳!AW60)&amp;IF(足元帳!AX60="",""," 優待券配布"&amp;足元帳!AX60)&amp;IF(足元帳!AU60="","","メルマガ")</f>
        <v/>
      </c>
      <c r="AC68" s="565"/>
      <c r="AD68" s="565"/>
      <c r="AE68" s="565"/>
      <c r="AF68" s="565"/>
      <c r="AG68" s="565"/>
      <c r="AH68" s="565"/>
      <c r="AI68" s="565"/>
      <c r="AJ68" s="565"/>
      <c r="AK68" s="565"/>
      <c r="AL68" s="565"/>
      <c r="AM68" s="565"/>
      <c r="AN68" s="565"/>
      <c r="AO68" s="565"/>
      <c r="AP68" s="565"/>
      <c r="AQ68" s="588"/>
      <c r="AR68" s="113" t="str">
        <f>IF(足元帳!A60="","",足元帳!A60)</f>
        <v/>
      </c>
      <c r="AS68" s="123">
        <f>COUNTIF(AR$4:AR68,AR68)</f>
        <v>65</v>
      </c>
    </row>
    <row r="69" spans="1:45" ht="23.45" customHeight="1">
      <c r="A69" s="586">
        <f t="shared" si="1"/>
        <v>60</v>
      </c>
      <c r="B69" s="566"/>
      <c r="C69" s="73" t="str">
        <f>IF(足元帳!AY61=1,"N",IF(足元帳!AY61=2,"R",""))</f>
        <v/>
      </c>
      <c r="D69" s="74" t="str">
        <f>IF(足元帳!AZ61&gt;0,VLOOKUP(足元帳!AZ61,管理シート!$R$4:$V$12,5,FALSE),"")</f>
        <v/>
      </c>
      <c r="E69" s="587" t="str">
        <f>IF(足元帳!J61="","",足元帳!J61)</f>
        <v/>
      </c>
      <c r="F69" s="566"/>
      <c r="G69" s="587" t="str">
        <f>IF(足元帳!K61="","",足元帳!K61)</f>
        <v/>
      </c>
      <c r="H69" s="565"/>
      <c r="I69" s="565"/>
      <c r="J69" s="566"/>
      <c r="K69" s="587" t="str">
        <f>IF(足元帳!BB61&gt;0,VLOOKUP(足元帳!BB61,管理シート!$R$4:$W$12,4,FALSE),"")</f>
        <v/>
      </c>
      <c r="L69" s="565"/>
      <c r="M69" s="566"/>
      <c r="N69" s="587" t="str">
        <f>IF(足元帳!U61="","",足元帳!U61)&amp;IF(足元帳!V61="","",足元帳!V61)&amp;IF(足元帳!W61="","",足元帳!W61)&amp;IF(足元帳!X61="","",足元帳!X61)&amp;IF(足元帳!Y61="","",足元帳!Y61)&amp;IF(足元帳!Z61="","",足元帳!Z61)</f>
        <v/>
      </c>
      <c r="O69" s="565"/>
      <c r="P69" s="565"/>
      <c r="Q69" s="565"/>
      <c r="R69" s="565"/>
      <c r="S69" s="566"/>
      <c r="T69" s="661" t="str">
        <f ca="1">IFERROR(INDEX(管理シート!$CB$3:$CK$24,MATCH(W69,管理シート!$CB$3:$CB$24,0),MATCH(K69,管理シート!$CB$3:$CM$3,0)),"")</f>
        <v/>
      </c>
      <c r="U69" s="661"/>
      <c r="V69" s="661"/>
      <c r="W69" s="587" t="str">
        <f ca="1">IF(ISERROR(MATCH("●",足元帳!AA61:AJ61,0)),"",INDIRECT("足元帳!R1C"&amp;MATCH("●",足元帳!AA61:AJ61,0)+26,FALSE))</f>
        <v/>
      </c>
      <c r="X69" s="565"/>
      <c r="Y69" s="566"/>
      <c r="Z69" s="587" t="str">
        <f>IF(足元帳!AL61="","","○")</f>
        <v/>
      </c>
      <c r="AA69" s="566"/>
      <c r="AB69" s="587" t="str">
        <f>IF(足元帳!AM61="","","現金カード払い"&amp;足元帳!AM61&amp;"  ")&amp;IF(足元帳!AP61="","",足元帳!AP61&amp;"　")&amp;IF(足元帳!AQ61="","",足元帳!AQ61&amp;"　")&amp;IF(足元帳!AR61="","",足元帳!AR61&amp;"　")&amp;IF(足元帳!AS61="","",足元帳!AS61&amp;"　")&amp;IF(足元帳!AT61="","",足元帳!AT61&amp;"　")&amp;IF(足元帳!AN61="","","LOVE×2")&amp;IF(足元帳!AJ61="","","MM"&amp;足元帳!AJ61)&amp;IF(足元帳!AW61="","",W69&amp;"利用"&amp;足元帳!AW61)&amp;IF(足元帳!AX61="",""," 優待券配布"&amp;足元帳!AX61)&amp;IF(足元帳!AU61="","","メルマガ")</f>
        <v/>
      </c>
      <c r="AC69" s="565"/>
      <c r="AD69" s="565"/>
      <c r="AE69" s="565"/>
      <c r="AF69" s="565"/>
      <c r="AG69" s="565"/>
      <c r="AH69" s="565"/>
      <c r="AI69" s="565"/>
      <c r="AJ69" s="565"/>
      <c r="AK69" s="565"/>
      <c r="AL69" s="565"/>
      <c r="AM69" s="565"/>
      <c r="AN69" s="565"/>
      <c r="AO69" s="565"/>
      <c r="AP69" s="565"/>
      <c r="AQ69" s="588"/>
      <c r="AR69" s="113" t="str">
        <f>IF(足元帳!A61="","",足元帳!A61)</f>
        <v/>
      </c>
      <c r="AS69" s="123">
        <f>COUNTIF(AR$4:AR69,AR69)</f>
        <v>66</v>
      </c>
    </row>
    <row r="70" spans="1:45" ht="23.45" customHeight="1">
      <c r="A70" s="586">
        <f t="shared" si="1"/>
        <v>61</v>
      </c>
      <c r="B70" s="566"/>
      <c r="C70" s="73" t="str">
        <f>IF(足元帳!AY62=1,"N",IF(足元帳!AY62=2,"R",""))</f>
        <v/>
      </c>
      <c r="D70" s="74" t="str">
        <f>IF(足元帳!AZ62&gt;0,VLOOKUP(足元帳!AZ62,管理シート!$R$4:$V$12,5,FALSE),"")</f>
        <v/>
      </c>
      <c r="E70" s="587" t="str">
        <f>IF(足元帳!J62="","",足元帳!J62)</f>
        <v/>
      </c>
      <c r="F70" s="566"/>
      <c r="G70" s="587" t="str">
        <f>IF(足元帳!K62="","",足元帳!K62)</f>
        <v/>
      </c>
      <c r="H70" s="565"/>
      <c r="I70" s="565"/>
      <c r="J70" s="566"/>
      <c r="K70" s="587" t="str">
        <f>IF(足元帳!BB62&gt;0,VLOOKUP(足元帳!BB62,管理シート!$R$4:$W$12,4,FALSE),"")</f>
        <v/>
      </c>
      <c r="L70" s="565"/>
      <c r="M70" s="566"/>
      <c r="N70" s="587" t="str">
        <f>IF(足元帳!U62="","",足元帳!U62)&amp;IF(足元帳!V62="","",足元帳!V62)&amp;IF(足元帳!W62="","",足元帳!W62)&amp;IF(足元帳!X62="","",足元帳!X62)&amp;IF(足元帳!Y62="","",足元帳!Y62)&amp;IF(足元帳!Z62="","",足元帳!Z62)</f>
        <v/>
      </c>
      <c r="O70" s="565"/>
      <c r="P70" s="565"/>
      <c r="Q70" s="565"/>
      <c r="R70" s="565"/>
      <c r="S70" s="566"/>
      <c r="T70" s="661" t="str">
        <f ca="1">IFERROR(INDEX(管理シート!$CB$3:$CK$24,MATCH(W70,管理シート!$CB$3:$CB$24,0),MATCH(K70,管理シート!$CB$3:$CM$3,0)),"")</f>
        <v/>
      </c>
      <c r="U70" s="661"/>
      <c r="V70" s="661"/>
      <c r="W70" s="587" t="str">
        <f ca="1">IF(ISERROR(MATCH("●",足元帳!AA62:AJ62,0)),"",INDIRECT("足元帳!R1C"&amp;MATCH("●",足元帳!AA62:AJ62,0)+26,FALSE))</f>
        <v/>
      </c>
      <c r="X70" s="565"/>
      <c r="Y70" s="566"/>
      <c r="Z70" s="587" t="str">
        <f>IF(足元帳!AL62="","","○")</f>
        <v/>
      </c>
      <c r="AA70" s="566"/>
      <c r="AB70" s="587" t="str">
        <f>IF(足元帳!AM62="","","現金カード払い"&amp;足元帳!AM62&amp;"  ")&amp;IF(足元帳!AP62="","",足元帳!AP62&amp;"　")&amp;IF(足元帳!AQ62="","",足元帳!AQ62&amp;"　")&amp;IF(足元帳!AR62="","",足元帳!AR62&amp;"　")&amp;IF(足元帳!AS62="","",足元帳!AS62&amp;"　")&amp;IF(足元帳!AT62="","",足元帳!AT62&amp;"　")&amp;IF(足元帳!AN62="","","LOVE×2")&amp;IF(足元帳!AJ62="","","MM"&amp;足元帳!AJ62)&amp;IF(足元帳!AW62="","",W70&amp;"利用"&amp;足元帳!AW62)&amp;IF(足元帳!AX62="",""," 優待券配布"&amp;足元帳!AX62)&amp;IF(足元帳!AU62="","","メルマガ")</f>
        <v/>
      </c>
      <c r="AC70" s="565"/>
      <c r="AD70" s="565"/>
      <c r="AE70" s="565"/>
      <c r="AF70" s="565"/>
      <c r="AG70" s="565"/>
      <c r="AH70" s="565"/>
      <c r="AI70" s="565"/>
      <c r="AJ70" s="565"/>
      <c r="AK70" s="565"/>
      <c r="AL70" s="565"/>
      <c r="AM70" s="565"/>
      <c r="AN70" s="565"/>
      <c r="AO70" s="565"/>
      <c r="AP70" s="565"/>
      <c r="AQ70" s="588"/>
      <c r="AR70" s="113" t="str">
        <f>IF(足元帳!A62="","",足元帳!A62)</f>
        <v/>
      </c>
      <c r="AS70" s="123">
        <f>COUNTIF(AR$4:AR70,AR70)</f>
        <v>67</v>
      </c>
    </row>
    <row r="71" spans="1:45" ht="23.45" customHeight="1">
      <c r="A71" s="586">
        <f t="shared" si="1"/>
        <v>62</v>
      </c>
      <c r="B71" s="566"/>
      <c r="C71" s="73" t="str">
        <f>IF(足元帳!AY63=1,"N",IF(足元帳!AY63=2,"R",""))</f>
        <v/>
      </c>
      <c r="D71" s="74" t="str">
        <f>IF(足元帳!AZ63&gt;0,VLOOKUP(足元帳!AZ63,管理シート!$R$4:$V$12,5,FALSE),"")</f>
        <v/>
      </c>
      <c r="E71" s="587" t="str">
        <f>IF(足元帳!J63="","",足元帳!J63)</f>
        <v/>
      </c>
      <c r="F71" s="566"/>
      <c r="G71" s="587" t="str">
        <f>IF(足元帳!K63="","",足元帳!K63)</f>
        <v/>
      </c>
      <c r="H71" s="565"/>
      <c r="I71" s="565"/>
      <c r="J71" s="566"/>
      <c r="K71" s="587" t="str">
        <f>IF(足元帳!BB63&gt;0,VLOOKUP(足元帳!BB63,管理シート!$R$4:$W$12,4,FALSE),"")</f>
        <v/>
      </c>
      <c r="L71" s="565"/>
      <c r="M71" s="566"/>
      <c r="N71" s="587" t="str">
        <f>IF(足元帳!U63="","",足元帳!U63)&amp;IF(足元帳!V63="","",足元帳!V63)&amp;IF(足元帳!W63="","",足元帳!W63)&amp;IF(足元帳!X63="","",足元帳!X63)&amp;IF(足元帳!Y63="","",足元帳!Y63)&amp;IF(足元帳!Z63="","",足元帳!Z63)</f>
        <v/>
      </c>
      <c r="O71" s="565"/>
      <c r="P71" s="565"/>
      <c r="Q71" s="565"/>
      <c r="R71" s="565"/>
      <c r="S71" s="566"/>
      <c r="T71" s="661" t="str">
        <f ca="1">IFERROR(INDEX(管理シート!$CB$3:$CK$24,MATCH(W71,管理シート!$CB$3:$CB$24,0),MATCH(K71,管理シート!$CB$3:$CM$3,0)),"")</f>
        <v/>
      </c>
      <c r="U71" s="661"/>
      <c r="V71" s="661"/>
      <c r="W71" s="587" t="str">
        <f ca="1">IF(ISERROR(MATCH("●",足元帳!AA63:AJ63,0)),"",INDIRECT("足元帳!R1C"&amp;MATCH("●",足元帳!AA63:AJ63,0)+26,FALSE))</f>
        <v/>
      </c>
      <c r="X71" s="565"/>
      <c r="Y71" s="566"/>
      <c r="Z71" s="587" t="str">
        <f>IF(足元帳!AL63="","","○")</f>
        <v/>
      </c>
      <c r="AA71" s="566"/>
      <c r="AB71" s="587" t="str">
        <f>IF(足元帳!AM63="","","現金カード払い"&amp;足元帳!AM63&amp;"  ")&amp;IF(足元帳!AP63="","",足元帳!AP63&amp;"　")&amp;IF(足元帳!AQ63="","",足元帳!AQ63&amp;"　")&amp;IF(足元帳!AR63="","",足元帳!AR63&amp;"　")&amp;IF(足元帳!AS63="","",足元帳!AS63&amp;"　")&amp;IF(足元帳!AT63="","",足元帳!AT63&amp;"　")&amp;IF(足元帳!AN63="","","LOVE×2")&amp;IF(足元帳!AJ63="","","MM"&amp;足元帳!AJ63)&amp;IF(足元帳!AW63="","",W71&amp;"利用"&amp;足元帳!AW63)&amp;IF(足元帳!AX63="",""," 優待券配布"&amp;足元帳!AX63)&amp;IF(足元帳!AU63="","","メルマガ")</f>
        <v/>
      </c>
      <c r="AC71" s="565"/>
      <c r="AD71" s="565"/>
      <c r="AE71" s="565"/>
      <c r="AF71" s="565"/>
      <c r="AG71" s="565"/>
      <c r="AH71" s="565"/>
      <c r="AI71" s="565"/>
      <c r="AJ71" s="565"/>
      <c r="AK71" s="565"/>
      <c r="AL71" s="565"/>
      <c r="AM71" s="565"/>
      <c r="AN71" s="565"/>
      <c r="AO71" s="565"/>
      <c r="AP71" s="565"/>
      <c r="AQ71" s="588"/>
      <c r="AR71" s="113" t="str">
        <f>IF(足元帳!A63="","",足元帳!A63)</f>
        <v/>
      </c>
      <c r="AS71" s="123">
        <f>COUNTIF(AR$4:AR71,AR71)</f>
        <v>68</v>
      </c>
    </row>
    <row r="72" spans="1:45" ht="23.45" customHeight="1">
      <c r="A72" s="586">
        <f t="shared" si="1"/>
        <v>63</v>
      </c>
      <c r="B72" s="566"/>
      <c r="C72" s="73" t="str">
        <f>IF(足元帳!AY64=1,"N",IF(足元帳!AY64=2,"R",""))</f>
        <v/>
      </c>
      <c r="D72" s="74" t="str">
        <f>IF(足元帳!AZ64&gt;0,VLOOKUP(足元帳!AZ64,管理シート!$R$4:$V$12,5,FALSE),"")</f>
        <v/>
      </c>
      <c r="E72" s="587" t="str">
        <f>IF(足元帳!J64="","",足元帳!J64)</f>
        <v/>
      </c>
      <c r="F72" s="566"/>
      <c r="G72" s="587" t="str">
        <f>IF(足元帳!K64="","",足元帳!K64)</f>
        <v/>
      </c>
      <c r="H72" s="565"/>
      <c r="I72" s="565"/>
      <c r="J72" s="566"/>
      <c r="K72" s="587" t="str">
        <f>IF(足元帳!BB64&gt;0,VLOOKUP(足元帳!BB64,管理シート!$R$4:$W$12,4,FALSE),"")</f>
        <v/>
      </c>
      <c r="L72" s="565"/>
      <c r="M72" s="566"/>
      <c r="N72" s="587" t="str">
        <f>IF(足元帳!U64="","",足元帳!U64)&amp;IF(足元帳!V64="","",足元帳!V64)&amp;IF(足元帳!W64="","",足元帳!W64)&amp;IF(足元帳!X64="","",足元帳!X64)&amp;IF(足元帳!Y64="","",足元帳!Y64)&amp;IF(足元帳!Z64="","",足元帳!Z64)</f>
        <v/>
      </c>
      <c r="O72" s="565"/>
      <c r="P72" s="565"/>
      <c r="Q72" s="565"/>
      <c r="R72" s="565"/>
      <c r="S72" s="566"/>
      <c r="T72" s="661" t="str">
        <f ca="1">IFERROR(INDEX(管理シート!$CB$3:$CK$24,MATCH(W72,管理シート!$CB$3:$CB$24,0),MATCH(K72,管理シート!$CB$3:$CM$3,0)),"")</f>
        <v/>
      </c>
      <c r="U72" s="661"/>
      <c r="V72" s="661"/>
      <c r="W72" s="587" t="str">
        <f ca="1">IF(ISERROR(MATCH("●",足元帳!AA64:AJ64,0)),"",INDIRECT("足元帳!R1C"&amp;MATCH("●",足元帳!AA64:AJ64,0)+26,FALSE))</f>
        <v/>
      </c>
      <c r="X72" s="565"/>
      <c r="Y72" s="566"/>
      <c r="Z72" s="587" t="str">
        <f>IF(足元帳!AL64="","","○")</f>
        <v/>
      </c>
      <c r="AA72" s="566"/>
      <c r="AB72" s="587" t="str">
        <f>IF(足元帳!AM64="","","現金カード払い"&amp;足元帳!AM64&amp;"  ")&amp;IF(足元帳!AP64="","",足元帳!AP64&amp;"　")&amp;IF(足元帳!AQ64="","",足元帳!AQ64&amp;"　")&amp;IF(足元帳!AR64="","",足元帳!AR64&amp;"　")&amp;IF(足元帳!AS64="","",足元帳!AS64&amp;"　")&amp;IF(足元帳!AT64="","",足元帳!AT64&amp;"　")&amp;IF(足元帳!AN64="","","LOVE×2")&amp;IF(足元帳!AJ64="","","MM"&amp;足元帳!AJ64)&amp;IF(足元帳!AW64="","",W72&amp;"利用"&amp;足元帳!AW64)&amp;IF(足元帳!AX64="",""," 優待券配布"&amp;足元帳!AX64)&amp;IF(足元帳!AU64="","","メルマガ")</f>
        <v/>
      </c>
      <c r="AC72" s="565"/>
      <c r="AD72" s="565"/>
      <c r="AE72" s="565"/>
      <c r="AF72" s="565"/>
      <c r="AG72" s="565"/>
      <c r="AH72" s="565"/>
      <c r="AI72" s="565"/>
      <c r="AJ72" s="565"/>
      <c r="AK72" s="565"/>
      <c r="AL72" s="565"/>
      <c r="AM72" s="565"/>
      <c r="AN72" s="565"/>
      <c r="AO72" s="565"/>
      <c r="AP72" s="565"/>
      <c r="AQ72" s="588"/>
      <c r="AR72" s="113" t="str">
        <f>IF(足元帳!A64="","",足元帳!A64)</f>
        <v/>
      </c>
      <c r="AS72" s="123">
        <f>COUNTIF(AR$4:AR72,AR72)</f>
        <v>69</v>
      </c>
    </row>
    <row r="73" spans="1:45" ht="23.45" customHeight="1">
      <c r="A73" s="586">
        <f t="shared" si="1"/>
        <v>64</v>
      </c>
      <c r="B73" s="566"/>
      <c r="C73" s="73" t="str">
        <f>IF(足元帳!AY65=1,"N",IF(足元帳!AY65=2,"R",""))</f>
        <v/>
      </c>
      <c r="D73" s="74" t="str">
        <f>IF(足元帳!AZ65&gt;0,VLOOKUP(足元帳!AZ65,管理シート!$R$4:$V$12,5,FALSE),"")</f>
        <v/>
      </c>
      <c r="E73" s="587" t="str">
        <f>IF(足元帳!J65="","",足元帳!J65)</f>
        <v/>
      </c>
      <c r="F73" s="566"/>
      <c r="G73" s="587" t="str">
        <f>IF(足元帳!K65="","",足元帳!K65)</f>
        <v/>
      </c>
      <c r="H73" s="565"/>
      <c r="I73" s="565"/>
      <c r="J73" s="566"/>
      <c r="K73" s="587" t="str">
        <f>IF(足元帳!BB65&gt;0,VLOOKUP(足元帳!BB65,管理シート!$R$4:$W$12,4,FALSE),"")</f>
        <v/>
      </c>
      <c r="L73" s="565"/>
      <c r="M73" s="566"/>
      <c r="N73" s="587" t="str">
        <f>IF(足元帳!U65="","",足元帳!U65)&amp;IF(足元帳!V65="","",足元帳!V65)&amp;IF(足元帳!W65="","",足元帳!W65)&amp;IF(足元帳!X65="","",足元帳!X65)&amp;IF(足元帳!Y65="","",足元帳!Y65)&amp;IF(足元帳!Z65="","",足元帳!Z65)</f>
        <v/>
      </c>
      <c r="O73" s="565"/>
      <c r="P73" s="565"/>
      <c r="Q73" s="565"/>
      <c r="R73" s="565"/>
      <c r="S73" s="566"/>
      <c r="T73" s="661" t="str">
        <f ca="1">IFERROR(INDEX(管理シート!$CB$3:$CK$24,MATCH(W73,管理シート!$CB$3:$CB$24,0),MATCH(K73,管理シート!$CB$3:$CM$3,0)),"")</f>
        <v/>
      </c>
      <c r="U73" s="661"/>
      <c r="V73" s="661"/>
      <c r="W73" s="587" t="str">
        <f ca="1">IF(ISERROR(MATCH("●",足元帳!AA65:AJ65,0)),"",INDIRECT("足元帳!R1C"&amp;MATCH("●",足元帳!AA65:AJ65,0)+26,FALSE))</f>
        <v/>
      </c>
      <c r="X73" s="565"/>
      <c r="Y73" s="566"/>
      <c r="Z73" s="587" t="str">
        <f>IF(足元帳!AL65="","","○")</f>
        <v/>
      </c>
      <c r="AA73" s="566"/>
      <c r="AB73" s="587" t="str">
        <f>IF(足元帳!AM65="","","現金カード払い"&amp;足元帳!AM65&amp;"  ")&amp;IF(足元帳!AP65="","",足元帳!AP65&amp;"　")&amp;IF(足元帳!AQ65="","",足元帳!AQ65&amp;"　")&amp;IF(足元帳!AR65="","",足元帳!AR65&amp;"　")&amp;IF(足元帳!AS65="","",足元帳!AS65&amp;"　")&amp;IF(足元帳!AT65="","",足元帳!AT65&amp;"　")&amp;IF(足元帳!AN65="","","LOVE×2")&amp;IF(足元帳!AJ65="","","MM"&amp;足元帳!AJ65)&amp;IF(足元帳!AW65="","",W73&amp;"利用"&amp;足元帳!AW65)&amp;IF(足元帳!AX65="",""," 優待券配布"&amp;足元帳!AX65)&amp;IF(足元帳!AU65="","","メルマガ")</f>
        <v/>
      </c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565"/>
      <c r="AQ73" s="588"/>
      <c r="AR73" s="113" t="str">
        <f>IF(足元帳!A65="","",足元帳!A65)</f>
        <v/>
      </c>
      <c r="AS73" s="123">
        <f>COUNTIF(AR$4:AR73,AR73)</f>
        <v>70</v>
      </c>
    </row>
    <row r="74" spans="1:45" ht="23.45" customHeight="1">
      <c r="A74" s="586">
        <f t="shared" si="1"/>
        <v>65</v>
      </c>
      <c r="B74" s="566"/>
      <c r="C74" s="73" t="str">
        <f>IF(足元帳!AY66=1,"N",IF(足元帳!AY66=2,"R",""))</f>
        <v/>
      </c>
      <c r="D74" s="74" t="str">
        <f>IF(足元帳!AZ66&gt;0,VLOOKUP(足元帳!AZ66,管理シート!$R$4:$V$12,5,FALSE),"")</f>
        <v/>
      </c>
      <c r="E74" s="587" t="str">
        <f>IF(足元帳!J66="","",足元帳!J66)</f>
        <v/>
      </c>
      <c r="F74" s="566"/>
      <c r="G74" s="587" t="str">
        <f>IF(足元帳!K66="","",足元帳!K66)</f>
        <v/>
      </c>
      <c r="H74" s="565"/>
      <c r="I74" s="565"/>
      <c r="J74" s="566"/>
      <c r="K74" s="587" t="str">
        <f>IF(足元帳!BB66&gt;0,VLOOKUP(足元帳!BB66,管理シート!$R$4:$W$12,4,FALSE),"")</f>
        <v/>
      </c>
      <c r="L74" s="565"/>
      <c r="M74" s="566"/>
      <c r="N74" s="587" t="str">
        <f>IF(足元帳!U66="","",足元帳!U66)&amp;IF(足元帳!V66="","",足元帳!V66)&amp;IF(足元帳!W66="","",足元帳!W66)&amp;IF(足元帳!X66="","",足元帳!X66)&amp;IF(足元帳!Y66="","",足元帳!Y66)&amp;IF(足元帳!Z66="","",足元帳!Z66)</f>
        <v/>
      </c>
      <c r="O74" s="565"/>
      <c r="P74" s="565"/>
      <c r="Q74" s="565"/>
      <c r="R74" s="565"/>
      <c r="S74" s="566"/>
      <c r="T74" s="661" t="str">
        <f ca="1">IFERROR(INDEX(管理シート!$CB$3:$CK$24,MATCH(W74,管理シート!$CB$3:$CB$24,0),MATCH(K74,管理シート!$CB$3:$CM$3,0)),"")</f>
        <v/>
      </c>
      <c r="U74" s="661"/>
      <c r="V74" s="661"/>
      <c r="W74" s="587" t="str">
        <f ca="1">IF(ISERROR(MATCH("●",足元帳!AA66:AJ66,0)),"",INDIRECT("足元帳!R1C"&amp;MATCH("●",足元帳!AA66:AJ66,0)+26,FALSE))</f>
        <v/>
      </c>
      <c r="X74" s="565"/>
      <c r="Y74" s="566"/>
      <c r="Z74" s="587" t="str">
        <f>IF(足元帳!AL66="","","○")</f>
        <v/>
      </c>
      <c r="AA74" s="566"/>
      <c r="AB74" s="587" t="str">
        <f>IF(足元帳!AM66="","","現金カード払い"&amp;足元帳!AM66&amp;"  ")&amp;IF(足元帳!AP66="","",足元帳!AP66&amp;"　")&amp;IF(足元帳!AQ66="","",足元帳!AQ66&amp;"　")&amp;IF(足元帳!AR66="","",足元帳!AR66&amp;"　")&amp;IF(足元帳!AS66="","",足元帳!AS66&amp;"　")&amp;IF(足元帳!AT66="","",足元帳!AT66&amp;"　")&amp;IF(足元帳!AN66="","","LOVE×2")&amp;IF(足元帳!AJ66="","","MM"&amp;足元帳!AJ66)&amp;IF(足元帳!AW66="","",W74&amp;"利用"&amp;足元帳!AW66)&amp;IF(足元帳!AX66="",""," 優待券配布"&amp;足元帳!AX66)&amp;IF(足元帳!AU66="","","メルマガ")</f>
        <v/>
      </c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565"/>
      <c r="AQ74" s="588"/>
      <c r="AR74" s="113" t="str">
        <f>IF(足元帳!A66="","",足元帳!A66)</f>
        <v/>
      </c>
      <c r="AS74" s="123">
        <f>COUNTIF(AR$4:AR74,AR74)</f>
        <v>71</v>
      </c>
    </row>
    <row r="75" spans="1:45" ht="23.45" customHeight="1">
      <c r="A75" s="586">
        <f t="shared" si="1"/>
        <v>66</v>
      </c>
      <c r="B75" s="566"/>
      <c r="C75" s="73" t="str">
        <f>IF(足元帳!AY67=1,"N",IF(足元帳!AY67=2,"R",""))</f>
        <v/>
      </c>
      <c r="D75" s="74" t="str">
        <f>IF(足元帳!AZ67&gt;0,VLOOKUP(足元帳!AZ67,管理シート!$R$4:$V$12,5,FALSE),"")</f>
        <v/>
      </c>
      <c r="E75" s="587" t="str">
        <f>IF(足元帳!J67="","",足元帳!J67)</f>
        <v/>
      </c>
      <c r="F75" s="566"/>
      <c r="G75" s="587" t="str">
        <f>IF(足元帳!K67="","",足元帳!K67)</f>
        <v/>
      </c>
      <c r="H75" s="565"/>
      <c r="I75" s="565"/>
      <c r="J75" s="566"/>
      <c r="K75" s="587" t="str">
        <f>IF(足元帳!BB67&gt;0,VLOOKUP(足元帳!BB67,管理シート!$R$4:$W$12,4,FALSE),"")</f>
        <v/>
      </c>
      <c r="L75" s="565"/>
      <c r="M75" s="566"/>
      <c r="N75" s="587" t="str">
        <f>IF(足元帳!U67="","",足元帳!U67)&amp;IF(足元帳!V67="","",足元帳!V67)&amp;IF(足元帳!W67="","",足元帳!W67)&amp;IF(足元帳!X67="","",足元帳!X67)&amp;IF(足元帳!Y67="","",足元帳!Y67)&amp;IF(足元帳!Z67="","",足元帳!Z67)</f>
        <v/>
      </c>
      <c r="O75" s="565"/>
      <c r="P75" s="565"/>
      <c r="Q75" s="565"/>
      <c r="R75" s="565"/>
      <c r="S75" s="566"/>
      <c r="T75" s="661" t="str">
        <f ca="1">IFERROR(INDEX(管理シート!$CB$3:$CK$24,MATCH(W75,管理シート!$CB$3:$CB$24,0),MATCH(K75,管理シート!$CB$3:$CM$3,0)),"")</f>
        <v/>
      </c>
      <c r="U75" s="661"/>
      <c r="V75" s="661"/>
      <c r="W75" s="587" t="str">
        <f ca="1">IF(ISERROR(MATCH("●",足元帳!AA67:AJ67,0)),"",INDIRECT("足元帳!R1C"&amp;MATCH("●",足元帳!AA67:AJ67,0)+26,FALSE))</f>
        <v/>
      </c>
      <c r="X75" s="565"/>
      <c r="Y75" s="566"/>
      <c r="Z75" s="587" t="str">
        <f>IF(足元帳!AL67="","","○")</f>
        <v/>
      </c>
      <c r="AA75" s="566"/>
      <c r="AB75" s="587" t="str">
        <f>IF(足元帳!AM67="","","現金カード払い"&amp;足元帳!AM67&amp;"  ")&amp;IF(足元帳!AP67="","",足元帳!AP67&amp;"　")&amp;IF(足元帳!AQ67="","",足元帳!AQ67&amp;"　")&amp;IF(足元帳!AR67="","",足元帳!AR67&amp;"　")&amp;IF(足元帳!AS67="","",足元帳!AS67&amp;"　")&amp;IF(足元帳!AT67="","",足元帳!AT67&amp;"　")&amp;IF(足元帳!AN67="","","LOVE×2")&amp;IF(足元帳!AJ67="","","MM"&amp;足元帳!AJ67)&amp;IF(足元帳!AW67="","",W75&amp;"利用"&amp;足元帳!AW67)&amp;IF(足元帳!AX67="",""," 優待券配布"&amp;足元帳!AX67)&amp;IF(足元帳!AU67="","","メルマガ")</f>
        <v/>
      </c>
      <c r="AC75" s="565"/>
      <c r="AD75" s="565"/>
      <c r="AE75" s="565"/>
      <c r="AF75" s="565"/>
      <c r="AG75" s="565"/>
      <c r="AH75" s="565"/>
      <c r="AI75" s="565"/>
      <c r="AJ75" s="565"/>
      <c r="AK75" s="565"/>
      <c r="AL75" s="565"/>
      <c r="AM75" s="565"/>
      <c r="AN75" s="565"/>
      <c r="AO75" s="565"/>
      <c r="AP75" s="565"/>
      <c r="AQ75" s="588"/>
      <c r="AR75" s="113" t="str">
        <f>IF(足元帳!A67="","",足元帳!A67)</f>
        <v/>
      </c>
      <c r="AS75" s="123">
        <f>COUNTIF(AR$4:AR75,AR75)</f>
        <v>72</v>
      </c>
    </row>
    <row r="76" spans="1:45" ht="23.45" customHeight="1">
      <c r="A76" s="586">
        <f t="shared" si="1"/>
        <v>67</v>
      </c>
      <c r="B76" s="566"/>
      <c r="C76" s="73" t="str">
        <f>IF(足元帳!AY68=1,"N",IF(足元帳!AY68=2,"R",""))</f>
        <v/>
      </c>
      <c r="D76" s="74" t="str">
        <f>IF(足元帳!AZ68&gt;0,VLOOKUP(足元帳!AZ68,管理シート!$R$4:$V$12,5,FALSE),"")</f>
        <v/>
      </c>
      <c r="E76" s="587" t="str">
        <f>IF(足元帳!J68="","",足元帳!J68)</f>
        <v/>
      </c>
      <c r="F76" s="566"/>
      <c r="G76" s="587" t="str">
        <f>IF(足元帳!K68="","",足元帳!K68)</f>
        <v/>
      </c>
      <c r="H76" s="565"/>
      <c r="I76" s="565"/>
      <c r="J76" s="566"/>
      <c r="K76" s="587" t="str">
        <f>IF(足元帳!BB68&gt;0,VLOOKUP(足元帳!BB68,管理シート!$R$4:$W$12,4,FALSE),"")</f>
        <v/>
      </c>
      <c r="L76" s="565"/>
      <c r="M76" s="566"/>
      <c r="N76" s="587" t="str">
        <f>IF(足元帳!U68="","",足元帳!U68)&amp;IF(足元帳!V68="","",足元帳!V68)&amp;IF(足元帳!W68="","",足元帳!W68)&amp;IF(足元帳!X68="","",足元帳!X68)&amp;IF(足元帳!Y68="","",足元帳!Y68)&amp;IF(足元帳!Z68="","",足元帳!Z68)</f>
        <v/>
      </c>
      <c r="O76" s="565"/>
      <c r="P76" s="565"/>
      <c r="Q76" s="565"/>
      <c r="R76" s="565"/>
      <c r="S76" s="566"/>
      <c r="T76" s="661" t="str">
        <f ca="1">IFERROR(INDEX(管理シート!$CB$3:$CK$24,MATCH(W76,管理シート!$CB$3:$CB$24,0),MATCH(K76,管理シート!$CB$3:$CM$3,0)),"")</f>
        <v/>
      </c>
      <c r="U76" s="661"/>
      <c r="V76" s="661"/>
      <c r="W76" s="587" t="str">
        <f ca="1">IF(ISERROR(MATCH("●",足元帳!AA68:AJ68,0)),"",INDIRECT("足元帳!R1C"&amp;MATCH("●",足元帳!AA68:AJ68,0)+26,FALSE))</f>
        <v/>
      </c>
      <c r="X76" s="565"/>
      <c r="Y76" s="566"/>
      <c r="Z76" s="587" t="str">
        <f>IF(足元帳!AL68="","","○")</f>
        <v/>
      </c>
      <c r="AA76" s="566"/>
      <c r="AB76" s="587" t="str">
        <f>IF(足元帳!AM68="","","現金カード払い"&amp;足元帳!AM68&amp;"  ")&amp;IF(足元帳!AP68="","",足元帳!AP68&amp;"　")&amp;IF(足元帳!AQ68="","",足元帳!AQ68&amp;"　")&amp;IF(足元帳!AR68="","",足元帳!AR68&amp;"　")&amp;IF(足元帳!AS68="","",足元帳!AS68&amp;"　")&amp;IF(足元帳!AT68="","",足元帳!AT68&amp;"　")&amp;IF(足元帳!AN68="","","LOVE×2")&amp;IF(足元帳!AJ68="","","MM"&amp;足元帳!AJ68)&amp;IF(足元帳!AW68="","",W76&amp;"利用"&amp;足元帳!AW68)&amp;IF(足元帳!AX68="",""," 優待券配布"&amp;足元帳!AX68)&amp;IF(足元帳!AU68="","","メルマガ")</f>
        <v/>
      </c>
      <c r="AC76" s="565"/>
      <c r="AD76" s="565"/>
      <c r="AE76" s="565"/>
      <c r="AF76" s="565"/>
      <c r="AG76" s="565"/>
      <c r="AH76" s="565"/>
      <c r="AI76" s="565"/>
      <c r="AJ76" s="565"/>
      <c r="AK76" s="565"/>
      <c r="AL76" s="565"/>
      <c r="AM76" s="565"/>
      <c r="AN76" s="565"/>
      <c r="AO76" s="565"/>
      <c r="AP76" s="565"/>
      <c r="AQ76" s="588"/>
      <c r="AR76" s="113" t="str">
        <f>IF(足元帳!A68="","",足元帳!A68)</f>
        <v/>
      </c>
      <c r="AS76" s="123">
        <f>COUNTIF(AR$4:AR76,AR76)</f>
        <v>73</v>
      </c>
    </row>
    <row r="77" spans="1:45" ht="23.45" customHeight="1">
      <c r="A77" s="586">
        <f t="shared" si="1"/>
        <v>68</v>
      </c>
      <c r="B77" s="566"/>
      <c r="C77" s="73" t="str">
        <f>IF(足元帳!AY69=1,"N",IF(足元帳!AY69=2,"R",""))</f>
        <v/>
      </c>
      <c r="D77" s="74" t="str">
        <f>IF(足元帳!AZ69&gt;0,VLOOKUP(足元帳!AZ69,管理シート!$R$4:$V$12,5,FALSE),"")</f>
        <v/>
      </c>
      <c r="E77" s="587" t="str">
        <f>IF(足元帳!J69="","",足元帳!J69)</f>
        <v/>
      </c>
      <c r="F77" s="566"/>
      <c r="G77" s="587" t="str">
        <f>IF(足元帳!K69="","",足元帳!K69)</f>
        <v/>
      </c>
      <c r="H77" s="565"/>
      <c r="I77" s="565"/>
      <c r="J77" s="566"/>
      <c r="K77" s="587" t="str">
        <f>IF(足元帳!BB69&gt;0,VLOOKUP(足元帳!BB69,管理シート!$R$4:$W$12,4,FALSE),"")</f>
        <v/>
      </c>
      <c r="L77" s="565"/>
      <c r="M77" s="566"/>
      <c r="N77" s="587" t="str">
        <f>IF(足元帳!U69="","",足元帳!U69)&amp;IF(足元帳!V69="","",足元帳!V69)&amp;IF(足元帳!W69="","",足元帳!W69)&amp;IF(足元帳!X69="","",足元帳!X69)&amp;IF(足元帳!Y69="","",足元帳!Y69)&amp;IF(足元帳!Z69="","",足元帳!Z69)</f>
        <v/>
      </c>
      <c r="O77" s="565"/>
      <c r="P77" s="565"/>
      <c r="Q77" s="565"/>
      <c r="R77" s="565"/>
      <c r="S77" s="566"/>
      <c r="T77" s="661" t="str">
        <f ca="1">IFERROR(INDEX(管理シート!$CB$3:$CK$24,MATCH(W77,管理シート!$CB$3:$CB$24,0),MATCH(K77,管理シート!$CB$3:$CM$3,0)),"")</f>
        <v/>
      </c>
      <c r="U77" s="661"/>
      <c r="V77" s="661"/>
      <c r="W77" s="587" t="str">
        <f ca="1">IF(ISERROR(MATCH("●",足元帳!AA69:AJ69,0)),"",INDIRECT("足元帳!R1C"&amp;MATCH("●",足元帳!AA69:AJ69,0)+26,FALSE))</f>
        <v/>
      </c>
      <c r="X77" s="565"/>
      <c r="Y77" s="566"/>
      <c r="Z77" s="587" t="str">
        <f>IF(足元帳!AL69="","","○")</f>
        <v/>
      </c>
      <c r="AA77" s="566"/>
      <c r="AB77" s="587" t="str">
        <f>IF(足元帳!AM69="","","現金カード払い"&amp;足元帳!AM69&amp;"  ")&amp;IF(足元帳!AP69="","",足元帳!AP69&amp;"　")&amp;IF(足元帳!AQ69="","",足元帳!AQ69&amp;"　")&amp;IF(足元帳!AR69="","",足元帳!AR69&amp;"　")&amp;IF(足元帳!AS69="","",足元帳!AS69&amp;"　")&amp;IF(足元帳!AT69="","",足元帳!AT69&amp;"　")&amp;IF(足元帳!AN69="","","LOVE×2")&amp;IF(足元帳!AJ69="","","MM"&amp;足元帳!AJ69)&amp;IF(足元帳!AW69="","",W77&amp;"利用"&amp;足元帳!AW69)&amp;IF(足元帳!AX69="",""," 優待券配布"&amp;足元帳!AX69)&amp;IF(足元帳!AU69="","","メルマガ")</f>
        <v/>
      </c>
      <c r="AC77" s="565"/>
      <c r="AD77" s="565"/>
      <c r="AE77" s="565"/>
      <c r="AF77" s="565"/>
      <c r="AG77" s="565"/>
      <c r="AH77" s="565"/>
      <c r="AI77" s="565"/>
      <c r="AJ77" s="565"/>
      <c r="AK77" s="565"/>
      <c r="AL77" s="565"/>
      <c r="AM77" s="565"/>
      <c r="AN77" s="565"/>
      <c r="AO77" s="565"/>
      <c r="AP77" s="565"/>
      <c r="AQ77" s="588"/>
      <c r="AR77" s="113" t="str">
        <f>IF(足元帳!A69="","",足元帳!A69)</f>
        <v/>
      </c>
      <c r="AS77" s="123">
        <f>COUNTIF(AR$4:AR77,AR77)</f>
        <v>74</v>
      </c>
    </row>
    <row r="78" spans="1:45" ht="23.45" customHeight="1">
      <c r="A78" s="586">
        <f t="shared" si="1"/>
        <v>69</v>
      </c>
      <c r="B78" s="566"/>
      <c r="C78" s="73" t="str">
        <f>IF(足元帳!AY70=1,"N",IF(足元帳!AY70=2,"R",""))</f>
        <v/>
      </c>
      <c r="D78" s="74" t="str">
        <f>IF(足元帳!AZ70&gt;0,VLOOKUP(足元帳!AZ70,管理シート!$R$4:$V$12,5,FALSE),"")</f>
        <v/>
      </c>
      <c r="E78" s="587" t="str">
        <f>IF(足元帳!J70="","",足元帳!J70)</f>
        <v/>
      </c>
      <c r="F78" s="566"/>
      <c r="G78" s="587" t="str">
        <f>IF(足元帳!K70="","",足元帳!K70)</f>
        <v/>
      </c>
      <c r="H78" s="565"/>
      <c r="I78" s="565"/>
      <c r="J78" s="566"/>
      <c r="K78" s="587" t="str">
        <f>IF(足元帳!BB70&gt;0,VLOOKUP(足元帳!BB70,管理シート!$R$4:$W$12,4,FALSE),"")</f>
        <v/>
      </c>
      <c r="L78" s="565"/>
      <c r="M78" s="566"/>
      <c r="N78" s="587" t="str">
        <f>IF(足元帳!U70="","",足元帳!U70)&amp;IF(足元帳!V70="","",足元帳!V70)&amp;IF(足元帳!W70="","",足元帳!W70)&amp;IF(足元帳!X70="","",足元帳!X70)&amp;IF(足元帳!Y70="","",足元帳!Y70)&amp;IF(足元帳!Z70="","",足元帳!Z70)</f>
        <v/>
      </c>
      <c r="O78" s="565"/>
      <c r="P78" s="565"/>
      <c r="Q78" s="565"/>
      <c r="R78" s="565"/>
      <c r="S78" s="566"/>
      <c r="T78" s="661" t="str">
        <f ca="1">IFERROR(INDEX(管理シート!$CB$3:$CK$24,MATCH(W78,管理シート!$CB$3:$CB$24,0),MATCH(K78,管理シート!$CB$3:$CM$3,0)),"")</f>
        <v/>
      </c>
      <c r="U78" s="661"/>
      <c r="V78" s="661"/>
      <c r="W78" s="587" t="str">
        <f ca="1">IF(ISERROR(MATCH("●",足元帳!AA70:AJ70,0)),"",INDIRECT("足元帳!R1C"&amp;MATCH("●",足元帳!AA70:AJ70,0)+26,FALSE))</f>
        <v/>
      </c>
      <c r="X78" s="565"/>
      <c r="Y78" s="566"/>
      <c r="Z78" s="587" t="str">
        <f>IF(足元帳!AL70="","","○")</f>
        <v/>
      </c>
      <c r="AA78" s="566"/>
      <c r="AB78" s="587" t="str">
        <f>IF(足元帳!AM70="","","現金カード払い"&amp;足元帳!AM70&amp;"  ")&amp;IF(足元帳!AP70="","",足元帳!AP70&amp;"　")&amp;IF(足元帳!AQ70="","",足元帳!AQ70&amp;"　")&amp;IF(足元帳!AR70="","",足元帳!AR70&amp;"　")&amp;IF(足元帳!AS70="","",足元帳!AS70&amp;"　")&amp;IF(足元帳!AT70="","",足元帳!AT70&amp;"　")&amp;IF(足元帳!AN70="","","LOVE×2")&amp;IF(足元帳!AJ70="","","MM"&amp;足元帳!AJ70)&amp;IF(足元帳!AW70="","",W78&amp;"利用"&amp;足元帳!AW70)&amp;IF(足元帳!AX70="",""," 優待券配布"&amp;足元帳!AX70)&amp;IF(足元帳!AU70="","","メルマガ")</f>
        <v/>
      </c>
      <c r="AC78" s="565"/>
      <c r="AD78" s="565"/>
      <c r="AE78" s="565"/>
      <c r="AF78" s="565"/>
      <c r="AG78" s="565"/>
      <c r="AH78" s="565"/>
      <c r="AI78" s="565"/>
      <c r="AJ78" s="565"/>
      <c r="AK78" s="565"/>
      <c r="AL78" s="565"/>
      <c r="AM78" s="565"/>
      <c r="AN78" s="565"/>
      <c r="AO78" s="565"/>
      <c r="AP78" s="565"/>
      <c r="AQ78" s="588"/>
      <c r="AR78" s="113" t="str">
        <f>IF(足元帳!A70="","",足元帳!A70)</f>
        <v/>
      </c>
      <c r="AS78" s="123">
        <f>COUNTIF(AR$4:AR78,AR78)</f>
        <v>75</v>
      </c>
    </row>
    <row r="79" spans="1:45" ht="23.45" customHeight="1">
      <c r="A79" s="586">
        <f t="shared" si="1"/>
        <v>70</v>
      </c>
      <c r="B79" s="566"/>
      <c r="C79" s="73" t="str">
        <f>IF(足元帳!AY71=1,"N",IF(足元帳!AY71=2,"R",""))</f>
        <v/>
      </c>
      <c r="D79" s="74" t="str">
        <f>IF(足元帳!AZ71&gt;0,VLOOKUP(足元帳!AZ71,管理シート!$R$4:$V$12,5,FALSE),"")</f>
        <v/>
      </c>
      <c r="E79" s="587" t="str">
        <f>IF(足元帳!J71="","",足元帳!J71)</f>
        <v/>
      </c>
      <c r="F79" s="566"/>
      <c r="G79" s="587" t="str">
        <f>IF(足元帳!K71="","",足元帳!K71)</f>
        <v/>
      </c>
      <c r="H79" s="565"/>
      <c r="I79" s="565"/>
      <c r="J79" s="566"/>
      <c r="K79" s="587" t="str">
        <f>IF(足元帳!BB71&gt;0,VLOOKUP(足元帳!BB71,管理シート!$R$4:$W$12,4,FALSE),"")</f>
        <v/>
      </c>
      <c r="L79" s="565"/>
      <c r="M79" s="566"/>
      <c r="N79" s="587" t="str">
        <f>IF(足元帳!U71="","",足元帳!U71)&amp;IF(足元帳!V71="","",足元帳!V71)&amp;IF(足元帳!W71="","",足元帳!W71)&amp;IF(足元帳!X71="","",足元帳!X71)&amp;IF(足元帳!Y71="","",足元帳!Y71)&amp;IF(足元帳!Z71="","",足元帳!Z71)</f>
        <v/>
      </c>
      <c r="O79" s="565"/>
      <c r="P79" s="565"/>
      <c r="Q79" s="565"/>
      <c r="R79" s="565"/>
      <c r="S79" s="566"/>
      <c r="T79" s="661" t="str">
        <f ca="1">IFERROR(INDEX(管理シート!$CB$3:$CK$24,MATCH(W79,管理シート!$CB$3:$CB$24,0),MATCH(K79,管理シート!$CB$3:$CM$3,0)),"")</f>
        <v/>
      </c>
      <c r="U79" s="661"/>
      <c r="V79" s="661"/>
      <c r="W79" s="587" t="str">
        <f ca="1">IF(ISERROR(MATCH("●",足元帳!AA71:AJ71,0)),"",INDIRECT("足元帳!R1C"&amp;MATCH("●",足元帳!AA71:AJ71,0)+26,FALSE))</f>
        <v/>
      </c>
      <c r="X79" s="565"/>
      <c r="Y79" s="566"/>
      <c r="Z79" s="587" t="str">
        <f>IF(足元帳!AL71="","","○")</f>
        <v/>
      </c>
      <c r="AA79" s="566"/>
      <c r="AB79" s="587" t="str">
        <f>IF(足元帳!AM71="","","現金カード払い"&amp;足元帳!AM71&amp;"  ")&amp;IF(足元帳!AP71="","",足元帳!AP71&amp;"　")&amp;IF(足元帳!AQ71="","",足元帳!AQ71&amp;"　")&amp;IF(足元帳!AR71="","",足元帳!AR71&amp;"　")&amp;IF(足元帳!AS71="","",足元帳!AS71&amp;"　")&amp;IF(足元帳!AT71="","",足元帳!AT71&amp;"　")&amp;IF(足元帳!AN71="","","LOVE×2")&amp;IF(足元帳!AJ71="","","MM"&amp;足元帳!AJ71)&amp;IF(足元帳!AW71="","",W79&amp;"利用"&amp;足元帳!AW71)&amp;IF(足元帳!AX71="",""," 優待券配布"&amp;足元帳!AX71)&amp;IF(足元帳!AU71="","","メルマガ")</f>
        <v/>
      </c>
      <c r="AC79" s="565"/>
      <c r="AD79" s="565"/>
      <c r="AE79" s="565"/>
      <c r="AF79" s="565"/>
      <c r="AG79" s="565"/>
      <c r="AH79" s="565"/>
      <c r="AI79" s="565"/>
      <c r="AJ79" s="565"/>
      <c r="AK79" s="565"/>
      <c r="AL79" s="565"/>
      <c r="AM79" s="565"/>
      <c r="AN79" s="565"/>
      <c r="AO79" s="565"/>
      <c r="AP79" s="565"/>
      <c r="AQ79" s="588"/>
      <c r="AR79" s="113" t="str">
        <f>IF(足元帳!A71="","",足元帳!A71)</f>
        <v/>
      </c>
      <c r="AS79" s="123">
        <f>COUNTIF(AR$4:AR79,AR79)</f>
        <v>76</v>
      </c>
    </row>
    <row r="80" spans="1:45" ht="23.45" customHeight="1">
      <c r="A80" s="655">
        <f t="shared" si="1"/>
        <v>71</v>
      </c>
      <c r="B80" s="604"/>
      <c r="C80" s="73" t="str">
        <f>IF(足元帳!AY72=1,"N",IF(足元帳!AY72=2,"R",""))</f>
        <v/>
      </c>
      <c r="D80" s="74" t="str">
        <f>IF(足元帳!AZ72&gt;0,VLOOKUP(足元帳!AZ72,管理シート!$R$4:$V$12,5,FALSE),"")</f>
        <v/>
      </c>
      <c r="E80" s="587" t="str">
        <f>IF(足元帳!J72="","",足元帳!J72)</f>
        <v/>
      </c>
      <c r="F80" s="566"/>
      <c r="G80" s="587" t="str">
        <f>IF(足元帳!K72="","",足元帳!K72)</f>
        <v/>
      </c>
      <c r="H80" s="565"/>
      <c r="I80" s="565"/>
      <c r="J80" s="566"/>
      <c r="K80" s="587" t="str">
        <f>IF(足元帳!BB72&gt;0,VLOOKUP(足元帳!BB72,管理シート!$R$4:$W$12,4,FALSE),"")</f>
        <v/>
      </c>
      <c r="L80" s="565"/>
      <c r="M80" s="566"/>
      <c r="N80" s="587" t="str">
        <f>IF(足元帳!U72="","",足元帳!U72)&amp;IF(足元帳!V72="","",足元帳!V72)&amp;IF(足元帳!W72="","",足元帳!W72)&amp;IF(足元帳!X72="","",足元帳!X72)&amp;IF(足元帳!Y72="","",足元帳!Y72)&amp;IF(足元帳!Z72="","",足元帳!Z72)</f>
        <v/>
      </c>
      <c r="O80" s="565"/>
      <c r="P80" s="565"/>
      <c r="Q80" s="565"/>
      <c r="R80" s="565"/>
      <c r="S80" s="566"/>
      <c r="T80" s="661" t="str">
        <f ca="1">IFERROR(INDEX(管理シート!$CB$3:$CK$24,MATCH(W80,管理シート!$CB$3:$CB$24,0),MATCH(K80,管理シート!$CB$3:$CM$3,0)),"")</f>
        <v/>
      </c>
      <c r="U80" s="661"/>
      <c r="V80" s="661"/>
      <c r="W80" s="587" t="str">
        <f ca="1">IF(ISERROR(MATCH("●",足元帳!AA72:AJ72,0)),"",INDIRECT("足元帳!R1C"&amp;MATCH("●",足元帳!AA72:AJ72,0)+26,FALSE))</f>
        <v/>
      </c>
      <c r="X80" s="565"/>
      <c r="Y80" s="566"/>
      <c r="Z80" s="587" t="str">
        <f>IF(足元帳!AL72="","","○")</f>
        <v/>
      </c>
      <c r="AA80" s="566"/>
      <c r="AB80" s="587" t="str">
        <f>IF(足元帳!AM72="","","現金カード払い"&amp;足元帳!AM72&amp;"  ")&amp;IF(足元帳!AP72="","",足元帳!AP72&amp;"　")&amp;IF(足元帳!AQ72="","",足元帳!AQ72&amp;"　")&amp;IF(足元帳!AR72="","",足元帳!AR72&amp;"　")&amp;IF(足元帳!AS72="","",足元帳!AS72&amp;"　")&amp;IF(足元帳!AT72="","",足元帳!AT72&amp;"　")&amp;IF(足元帳!AN72="","","LOVE×2")&amp;IF(足元帳!AJ72="","","MM"&amp;足元帳!AJ72)&amp;IF(足元帳!AW72="","",W80&amp;"利用"&amp;足元帳!AW72)&amp;IF(足元帳!AX72="",""," 優待券配布"&amp;足元帳!AX72)&amp;IF(足元帳!AU72="","","メルマガ")</f>
        <v/>
      </c>
      <c r="AC80" s="565"/>
      <c r="AD80" s="565"/>
      <c r="AE80" s="565"/>
      <c r="AF80" s="565"/>
      <c r="AG80" s="565"/>
      <c r="AH80" s="565"/>
      <c r="AI80" s="565"/>
      <c r="AJ80" s="565"/>
      <c r="AK80" s="565"/>
      <c r="AL80" s="565"/>
      <c r="AM80" s="565"/>
      <c r="AN80" s="565"/>
      <c r="AO80" s="565"/>
      <c r="AP80" s="565"/>
      <c r="AQ80" s="588"/>
      <c r="AR80" s="113" t="str">
        <f>IF(足元帳!A72="","",足元帳!A72)</f>
        <v/>
      </c>
      <c r="AS80" s="123">
        <f>COUNTIF(AR$4:AR80,AR80)</f>
        <v>77</v>
      </c>
    </row>
    <row r="81" spans="1:45" ht="23.45" customHeight="1">
      <c r="A81" s="655">
        <f t="shared" si="1"/>
        <v>72</v>
      </c>
      <c r="B81" s="604"/>
      <c r="C81" s="73" t="str">
        <f>IF(足元帳!AY73=1,"N",IF(足元帳!AY73=2,"R",""))</f>
        <v/>
      </c>
      <c r="D81" s="74" t="str">
        <f>IF(足元帳!AZ73&gt;0,VLOOKUP(足元帳!AZ73,管理シート!$R$4:$V$12,5,FALSE),"")</f>
        <v/>
      </c>
      <c r="E81" s="587" t="str">
        <f>IF(足元帳!J73="","",足元帳!J73)</f>
        <v/>
      </c>
      <c r="F81" s="566"/>
      <c r="G81" s="587" t="str">
        <f>IF(足元帳!K73="","",足元帳!K73)</f>
        <v/>
      </c>
      <c r="H81" s="565"/>
      <c r="I81" s="565"/>
      <c r="J81" s="566"/>
      <c r="K81" s="587" t="str">
        <f>IF(足元帳!BB73&gt;0,VLOOKUP(足元帳!BB73,管理シート!$R$4:$W$12,4,FALSE),"")</f>
        <v/>
      </c>
      <c r="L81" s="565"/>
      <c r="M81" s="566"/>
      <c r="N81" s="587" t="str">
        <f>IF(足元帳!U73="","",足元帳!U73)&amp;IF(足元帳!V73="","",足元帳!V73)&amp;IF(足元帳!W73="","",足元帳!W73)&amp;IF(足元帳!X73="","",足元帳!X73)&amp;IF(足元帳!Y73="","",足元帳!Y73)&amp;IF(足元帳!Z73="","",足元帳!Z73)</f>
        <v/>
      </c>
      <c r="O81" s="565"/>
      <c r="P81" s="565"/>
      <c r="Q81" s="565"/>
      <c r="R81" s="565"/>
      <c r="S81" s="566"/>
      <c r="T81" s="661" t="str">
        <f ca="1">IFERROR(INDEX(管理シート!$CB$3:$CK$24,MATCH(W81,管理シート!$CB$3:$CB$24,0),MATCH(K81,管理シート!$CB$3:$CM$3,0)),"")</f>
        <v/>
      </c>
      <c r="U81" s="661"/>
      <c r="V81" s="661"/>
      <c r="W81" s="587" t="str">
        <f ca="1">IF(ISERROR(MATCH("●",足元帳!AA73:AJ73,0)),"",INDIRECT("足元帳!R1C"&amp;MATCH("●",足元帳!AA73:AJ73,0)+26,FALSE))</f>
        <v/>
      </c>
      <c r="X81" s="565"/>
      <c r="Y81" s="566"/>
      <c r="Z81" s="587" t="str">
        <f>IF(足元帳!AL73="","","○")</f>
        <v/>
      </c>
      <c r="AA81" s="566"/>
      <c r="AB81" s="587" t="str">
        <f>IF(足元帳!AM73="","","現金カード払い"&amp;足元帳!AM73&amp;"  ")&amp;IF(足元帳!AP73="","",足元帳!AP73&amp;"　")&amp;IF(足元帳!AQ73="","",足元帳!AQ73&amp;"　")&amp;IF(足元帳!AR73="","",足元帳!AR73&amp;"　")&amp;IF(足元帳!AS73="","",足元帳!AS73&amp;"　")&amp;IF(足元帳!AT73="","",足元帳!AT73&amp;"　")&amp;IF(足元帳!AN73="","","LOVE×2")&amp;IF(足元帳!AJ73="","","MM"&amp;足元帳!AJ73)&amp;IF(足元帳!AW73="","",W81&amp;"利用"&amp;足元帳!AW73)&amp;IF(足元帳!AX73="",""," 優待券配布"&amp;足元帳!AX73)&amp;IF(足元帳!AU73="","","メルマガ")</f>
        <v/>
      </c>
      <c r="AC81" s="565"/>
      <c r="AD81" s="565"/>
      <c r="AE81" s="565"/>
      <c r="AF81" s="565"/>
      <c r="AG81" s="565"/>
      <c r="AH81" s="565"/>
      <c r="AI81" s="565"/>
      <c r="AJ81" s="565"/>
      <c r="AK81" s="565"/>
      <c r="AL81" s="565"/>
      <c r="AM81" s="565"/>
      <c r="AN81" s="565"/>
      <c r="AO81" s="565"/>
      <c r="AP81" s="565"/>
      <c r="AQ81" s="588"/>
      <c r="AR81" s="113" t="str">
        <f>IF(足元帳!A73="","",足元帳!A73)</f>
        <v/>
      </c>
      <c r="AS81" s="123">
        <f>COUNTIF(AR$4:AR81,AR81)</f>
        <v>78</v>
      </c>
    </row>
    <row r="82" spans="1:45" ht="23.45" customHeight="1">
      <c r="A82" s="655">
        <f t="shared" si="1"/>
        <v>73</v>
      </c>
      <c r="B82" s="604"/>
      <c r="C82" s="73" t="str">
        <f>IF(足元帳!AY74=1,"N",IF(足元帳!AY74=2,"R",""))</f>
        <v/>
      </c>
      <c r="D82" s="74" t="str">
        <f>IF(足元帳!AZ74&gt;0,VLOOKUP(足元帳!AZ74,管理シート!$R$4:$V$12,5,FALSE),"")</f>
        <v/>
      </c>
      <c r="E82" s="587" t="str">
        <f>IF(足元帳!J74="","",足元帳!J74)</f>
        <v/>
      </c>
      <c r="F82" s="566"/>
      <c r="G82" s="587" t="str">
        <f>IF(足元帳!K74="","",足元帳!K74)</f>
        <v/>
      </c>
      <c r="H82" s="565"/>
      <c r="I82" s="565"/>
      <c r="J82" s="566"/>
      <c r="K82" s="587" t="str">
        <f>IF(足元帳!BB74&gt;0,VLOOKUP(足元帳!BB74,管理シート!$R$4:$W$12,4,FALSE),"")</f>
        <v/>
      </c>
      <c r="L82" s="565"/>
      <c r="M82" s="566"/>
      <c r="N82" s="587" t="str">
        <f>IF(足元帳!U74="","",足元帳!U74)&amp;IF(足元帳!V74="","",足元帳!V74)&amp;IF(足元帳!W74="","",足元帳!W74)&amp;IF(足元帳!X74="","",足元帳!X74)&amp;IF(足元帳!Y74="","",足元帳!Y74)&amp;IF(足元帳!Z74="","",足元帳!Z74)</f>
        <v/>
      </c>
      <c r="O82" s="565"/>
      <c r="P82" s="565"/>
      <c r="Q82" s="565"/>
      <c r="R82" s="565"/>
      <c r="S82" s="566"/>
      <c r="T82" s="661" t="str">
        <f ca="1">IFERROR(INDEX(管理シート!$CB$3:$CK$24,MATCH(W82,管理シート!$CB$3:$CB$24,0),MATCH(K82,管理シート!$CB$3:$CM$3,0)),"")</f>
        <v/>
      </c>
      <c r="U82" s="661"/>
      <c r="V82" s="661"/>
      <c r="W82" s="587" t="str">
        <f ca="1">IF(ISERROR(MATCH("●",足元帳!AA74:AJ74,0)),"",INDIRECT("足元帳!R1C"&amp;MATCH("●",足元帳!AA74:AJ74,0)+26,FALSE))</f>
        <v/>
      </c>
      <c r="X82" s="565"/>
      <c r="Y82" s="566"/>
      <c r="Z82" s="587" t="str">
        <f>IF(足元帳!AL74="","","○")</f>
        <v/>
      </c>
      <c r="AA82" s="566"/>
      <c r="AB82" s="587" t="str">
        <f>IF(足元帳!AM74="","","現金カード払い"&amp;足元帳!AM74&amp;"  ")&amp;IF(足元帳!AP74="","",足元帳!AP74&amp;"　")&amp;IF(足元帳!AQ74="","",足元帳!AQ74&amp;"　")&amp;IF(足元帳!AR74="","",足元帳!AR74&amp;"　")&amp;IF(足元帳!AS74="","",足元帳!AS74&amp;"　")&amp;IF(足元帳!AT74="","",足元帳!AT74&amp;"　")&amp;IF(足元帳!AN74="","","LOVE×2")&amp;IF(足元帳!AJ74="","","MM"&amp;足元帳!AJ74)&amp;IF(足元帳!AW74="","",W82&amp;"利用"&amp;足元帳!AW74)&amp;IF(足元帳!AX74="",""," 優待券配布"&amp;足元帳!AX74)&amp;IF(足元帳!AU74="","","メルマガ")</f>
        <v/>
      </c>
      <c r="AC82" s="565"/>
      <c r="AD82" s="565"/>
      <c r="AE82" s="565"/>
      <c r="AF82" s="565"/>
      <c r="AG82" s="565"/>
      <c r="AH82" s="565"/>
      <c r="AI82" s="565"/>
      <c r="AJ82" s="565"/>
      <c r="AK82" s="565"/>
      <c r="AL82" s="565"/>
      <c r="AM82" s="565"/>
      <c r="AN82" s="565"/>
      <c r="AO82" s="565"/>
      <c r="AP82" s="565"/>
      <c r="AQ82" s="588"/>
      <c r="AR82" s="113" t="str">
        <f>IF(足元帳!A74="","",足元帳!A74)</f>
        <v/>
      </c>
      <c r="AS82" s="123">
        <f>COUNTIF(AR$4:AR82,AR82)</f>
        <v>79</v>
      </c>
    </row>
    <row r="83" spans="1:45" ht="23.45" customHeight="1">
      <c r="A83" s="655">
        <f t="shared" si="1"/>
        <v>74</v>
      </c>
      <c r="B83" s="604"/>
      <c r="C83" s="73" t="str">
        <f>IF(足元帳!AY75=1,"N",IF(足元帳!AY75=2,"R",""))</f>
        <v/>
      </c>
      <c r="D83" s="74" t="str">
        <f>IF(足元帳!AZ75&gt;0,VLOOKUP(足元帳!AZ75,管理シート!$R$4:$V$12,5,FALSE),"")</f>
        <v/>
      </c>
      <c r="E83" s="587" t="str">
        <f>IF(足元帳!J75="","",足元帳!J75)</f>
        <v/>
      </c>
      <c r="F83" s="566"/>
      <c r="G83" s="587" t="str">
        <f>IF(足元帳!K75="","",足元帳!K75)</f>
        <v/>
      </c>
      <c r="H83" s="565"/>
      <c r="I83" s="565"/>
      <c r="J83" s="566"/>
      <c r="K83" s="587" t="str">
        <f>IF(足元帳!BB75&gt;0,VLOOKUP(足元帳!BB75,管理シート!$R$4:$W$12,4,FALSE),"")</f>
        <v/>
      </c>
      <c r="L83" s="565"/>
      <c r="M83" s="566"/>
      <c r="N83" s="587" t="str">
        <f>IF(足元帳!U75="","",足元帳!U75)&amp;IF(足元帳!V75="","",足元帳!V75)&amp;IF(足元帳!W75="","",足元帳!W75)&amp;IF(足元帳!X75="","",足元帳!X75)&amp;IF(足元帳!Y75="","",足元帳!Y75)&amp;IF(足元帳!Z75="","",足元帳!Z75)</f>
        <v/>
      </c>
      <c r="O83" s="565"/>
      <c r="P83" s="565"/>
      <c r="Q83" s="565"/>
      <c r="R83" s="565"/>
      <c r="S83" s="566"/>
      <c r="T83" s="661" t="str">
        <f ca="1">IFERROR(INDEX(管理シート!$CB$3:$CK$24,MATCH(W83,管理シート!$CB$3:$CB$24,0),MATCH(K83,管理シート!$CB$3:$CM$3,0)),"")</f>
        <v/>
      </c>
      <c r="U83" s="661"/>
      <c r="V83" s="661"/>
      <c r="W83" s="587" t="str">
        <f ca="1">IF(ISERROR(MATCH("●",足元帳!AA75:AJ75,0)),"",INDIRECT("足元帳!R1C"&amp;MATCH("●",足元帳!AA75:AJ75,0)+26,FALSE))</f>
        <v/>
      </c>
      <c r="X83" s="565"/>
      <c r="Y83" s="566"/>
      <c r="Z83" s="587" t="str">
        <f>IF(足元帳!AL75="","","○")</f>
        <v/>
      </c>
      <c r="AA83" s="566"/>
      <c r="AB83" s="587" t="str">
        <f>IF(足元帳!AM75="","","現金カード払い"&amp;足元帳!AM75&amp;"  ")&amp;IF(足元帳!AP75="","",足元帳!AP75&amp;"　")&amp;IF(足元帳!AQ75="","",足元帳!AQ75&amp;"　")&amp;IF(足元帳!AR75="","",足元帳!AR75&amp;"　")&amp;IF(足元帳!AS75="","",足元帳!AS75&amp;"　")&amp;IF(足元帳!AT75="","",足元帳!AT75&amp;"　")&amp;IF(足元帳!AN75="","","LOVE×2")&amp;IF(足元帳!AJ75="","","MM"&amp;足元帳!AJ75)&amp;IF(足元帳!AW75="","",W83&amp;"利用"&amp;足元帳!AW75)&amp;IF(足元帳!AX75="",""," 優待券配布"&amp;足元帳!AX75)&amp;IF(足元帳!AU75="","","メルマガ")</f>
        <v/>
      </c>
      <c r="AC83" s="565"/>
      <c r="AD83" s="565"/>
      <c r="AE83" s="565"/>
      <c r="AF83" s="565"/>
      <c r="AG83" s="565"/>
      <c r="AH83" s="565"/>
      <c r="AI83" s="565"/>
      <c r="AJ83" s="565"/>
      <c r="AK83" s="565"/>
      <c r="AL83" s="565"/>
      <c r="AM83" s="565"/>
      <c r="AN83" s="565"/>
      <c r="AO83" s="565"/>
      <c r="AP83" s="565"/>
      <c r="AQ83" s="588"/>
      <c r="AR83" s="113" t="str">
        <f>IF(足元帳!A75="","",足元帳!A75)</f>
        <v/>
      </c>
      <c r="AS83" s="123">
        <f>COUNTIF(AR$4:AR83,AR83)</f>
        <v>80</v>
      </c>
    </row>
    <row r="84" spans="1:45" ht="23.45" customHeight="1">
      <c r="A84" s="655">
        <f t="shared" si="1"/>
        <v>75</v>
      </c>
      <c r="B84" s="604"/>
      <c r="C84" s="73" t="str">
        <f>IF(足元帳!AY76=1,"N",IF(足元帳!AY76=2,"R",""))</f>
        <v/>
      </c>
      <c r="D84" s="74" t="str">
        <f>IF(足元帳!AZ76&gt;0,VLOOKUP(足元帳!AZ76,管理シート!$R$4:$V$12,5,FALSE),"")</f>
        <v/>
      </c>
      <c r="E84" s="587" t="str">
        <f>IF(足元帳!J76="","",足元帳!J76)</f>
        <v/>
      </c>
      <c r="F84" s="566"/>
      <c r="G84" s="587" t="str">
        <f>IF(足元帳!K76="","",足元帳!K76)</f>
        <v/>
      </c>
      <c r="H84" s="565"/>
      <c r="I84" s="565"/>
      <c r="J84" s="566"/>
      <c r="K84" s="587" t="str">
        <f>IF(足元帳!BB76&gt;0,VLOOKUP(足元帳!BB76,管理シート!$R$4:$W$12,4,FALSE),"")</f>
        <v/>
      </c>
      <c r="L84" s="565"/>
      <c r="M84" s="566"/>
      <c r="N84" s="587" t="str">
        <f>IF(足元帳!U76="","",足元帳!U76)&amp;IF(足元帳!V76="","",足元帳!V76)&amp;IF(足元帳!W76="","",足元帳!W76)&amp;IF(足元帳!X76="","",足元帳!X76)&amp;IF(足元帳!Y76="","",足元帳!Y76)&amp;IF(足元帳!Z76="","",足元帳!Z76)</f>
        <v/>
      </c>
      <c r="O84" s="565"/>
      <c r="P84" s="565"/>
      <c r="Q84" s="565"/>
      <c r="R84" s="565"/>
      <c r="S84" s="566"/>
      <c r="T84" s="661" t="str">
        <f ca="1">IFERROR(INDEX(管理シート!$CB$3:$CK$24,MATCH(W84,管理シート!$CB$3:$CB$24,0),MATCH(K84,管理シート!$CB$3:$CM$3,0)),"")</f>
        <v/>
      </c>
      <c r="U84" s="661"/>
      <c r="V84" s="661"/>
      <c r="W84" s="587" t="str">
        <f ca="1">IF(ISERROR(MATCH("●",足元帳!AA76:AJ76,0)),"",INDIRECT("足元帳!R1C"&amp;MATCH("●",足元帳!AA76:AJ76,0)+26,FALSE))</f>
        <v/>
      </c>
      <c r="X84" s="565"/>
      <c r="Y84" s="566"/>
      <c r="Z84" s="587" t="str">
        <f>IF(足元帳!AL76="","","○")</f>
        <v/>
      </c>
      <c r="AA84" s="566"/>
      <c r="AB84" s="587" t="str">
        <f>IF(足元帳!AM76="","","現金カード払い"&amp;足元帳!AM76&amp;"  ")&amp;IF(足元帳!AP76="","",足元帳!AP76&amp;"　")&amp;IF(足元帳!AQ76="","",足元帳!AQ76&amp;"　")&amp;IF(足元帳!AR76="","",足元帳!AR76&amp;"　")&amp;IF(足元帳!AS76="","",足元帳!AS76&amp;"　")&amp;IF(足元帳!AT76="","",足元帳!AT76&amp;"　")&amp;IF(足元帳!AN76="","","LOVE×2")&amp;IF(足元帳!AJ76="","","MM"&amp;足元帳!AJ76)&amp;IF(足元帳!AW76="","",W84&amp;"利用"&amp;足元帳!AW76)&amp;IF(足元帳!AX76="",""," 優待券配布"&amp;足元帳!AX76)&amp;IF(足元帳!AU76="","","メルマガ")</f>
        <v/>
      </c>
      <c r="AC84" s="565"/>
      <c r="AD84" s="565"/>
      <c r="AE84" s="565"/>
      <c r="AF84" s="565"/>
      <c r="AG84" s="565"/>
      <c r="AH84" s="565"/>
      <c r="AI84" s="565"/>
      <c r="AJ84" s="565"/>
      <c r="AK84" s="565"/>
      <c r="AL84" s="565"/>
      <c r="AM84" s="565"/>
      <c r="AN84" s="565"/>
      <c r="AO84" s="565"/>
      <c r="AP84" s="565"/>
      <c r="AQ84" s="588"/>
      <c r="AR84" s="113" t="str">
        <f>IF(足元帳!A76="","",足元帳!A76)</f>
        <v/>
      </c>
      <c r="AS84" s="123">
        <f>COUNTIF(AR$4:AR84,AR84)</f>
        <v>81</v>
      </c>
    </row>
    <row r="85" spans="1:45" ht="23.45" customHeight="1">
      <c r="A85" s="655">
        <f t="shared" si="1"/>
        <v>76</v>
      </c>
      <c r="B85" s="604"/>
      <c r="C85" s="73" t="str">
        <f>IF(足元帳!AY77=1,"N",IF(足元帳!AY77=2,"R",""))</f>
        <v/>
      </c>
      <c r="D85" s="74" t="str">
        <f>IF(足元帳!AZ77&gt;0,VLOOKUP(足元帳!AZ77,管理シート!$R$4:$V$12,5,FALSE),"")</f>
        <v/>
      </c>
      <c r="E85" s="587" t="str">
        <f>IF(足元帳!J77="","",足元帳!J77)</f>
        <v/>
      </c>
      <c r="F85" s="566"/>
      <c r="G85" s="587" t="str">
        <f>IF(足元帳!K77="","",足元帳!K77)</f>
        <v/>
      </c>
      <c r="H85" s="565"/>
      <c r="I85" s="565"/>
      <c r="J85" s="566"/>
      <c r="K85" s="587" t="str">
        <f>IF(足元帳!BB77&gt;0,VLOOKUP(足元帳!BB77,管理シート!$R$4:$W$12,4,FALSE),"")</f>
        <v/>
      </c>
      <c r="L85" s="565"/>
      <c r="M85" s="566"/>
      <c r="N85" s="587" t="str">
        <f>IF(足元帳!U77="","",足元帳!U77)&amp;IF(足元帳!V77="","",足元帳!V77)&amp;IF(足元帳!W77="","",足元帳!W77)&amp;IF(足元帳!X77="","",足元帳!X77)&amp;IF(足元帳!Y77="","",足元帳!Y77)&amp;IF(足元帳!Z77="","",足元帳!Z77)</f>
        <v/>
      </c>
      <c r="O85" s="565"/>
      <c r="P85" s="565"/>
      <c r="Q85" s="565"/>
      <c r="R85" s="565"/>
      <c r="S85" s="566"/>
      <c r="T85" s="661" t="str">
        <f ca="1">IFERROR(INDEX(管理シート!$CB$3:$CK$24,MATCH(W85,管理シート!$CB$3:$CB$24,0),MATCH(K85,管理シート!$CB$3:$CM$3,0)),"")</f>
        <v/>
      </c>
      <c r="U85" s="661"/>
      <c r="V85" s="661"/>
      <c r="W85" s="587" t="str">
        <f ca="1">IF(ISERROR(MATCH("●",足元帳!AA77:AJ77,0)),"",INDIRECT("足元帳!R1C"&amp;MATCH("●",足元帳!AA77:AJ77,0)+26,FALSE))</f>
        <v/>
      </c>
      <c r="X85" s="565"/>
      <c r="Y85" s="566"/>
      <c r="Z85" s="587" t="str">
        <f>IF(足元帳!AL77="","","○")</f>
        <v/>
      </c>
      <c r="AA85" s="566"/>
      <c r="AB85" s="587" t="str">
        <f>IF(足元帳!AM77="","","現金カード払い"&amp;足元帳!AM77&amp;"  ")&amp;IF(足元帳!AP77="","",足元帳!AP77&amp;"　")&amp;IF(足元帳!AQ77="","",足元帳!AQ77&amp;"　")&amp;IF(足元帳!AR77="","",足元帳!AR77&amp;"　")&amp;IF(足元帳!AS77="","",足元帳!AS77&amp;"　")&amp;IF(足元帳!AT77="","",足元帳!AT77&amp;"　")&amp;IF(足元帳!AN77="","","LOVE×2")&amp;IF(足元帳!AJ77="","","MM"&amp;足元帳!AJ77)&amp;IF(足元帳!AW77="","",W85&amp;"利用"&amp;足元帳!AW77)&amp;IF(足元帳!AX77="",""," 優待券配布"&amp;足元帳!AX77)&amp;IF(足元帳!AU77="","","メルマガ")</f>
        <v/>
      </c>
      <c r="AC85" s="565"/>
      <c r="AD85" s="565"/>
      <c r="AE85" s="565"/>
      <c r="AF85" s="565"/>
      <c r="AG85" s="565"/>
      <c r="AH85" s="565"/>
      <c r="AI85" s="565"/>
      <c r="AJ85" s="565"/>
      <c r="AK85" s="565"/>
      <c r="AL85" s="565"/>
      <c r="AM85" s="565"/>
      <c r="AN85" s="565"/>
      <c r="AO85" s="565"/>
      <c r="AP85" s="565"/>
      <c r="AQ85" s="588"/>
      <c r="AR85" s="113" t="str">
        <f>IF(足元帳!A77="","",足元帳!A77)</f>
        <v/>
      </c>
      <c r="AS85" s="123">
        <f>COUNTIF(AR$4:AR85,AR85)</f>
        <v>82</v>
      </c>
    </row>
    <row r="86" spans="1:45" ht="23.45" customHeight="1">
      <c r="A86" s="655">
        <f t="shared" si="1"/>
        <v>77</v>
      </c>
      <c r="B86" s="604"/>
      <c r="C86" s="73" t="str">
        <f>IF(足元帳!AY78=1,"N",IF(足元帳!AY78=2,"R",""))</f>
        <v/>
      </c>
      <c r="D86" s="74" t="str">
        <f>IF(足元帳!AZ78&gt;0,VLOOKUP(足元帳!AZ78,管理シート!$R$4:$V$12,5,FALSE),"")</f>
        <v/>
      </c>
      <c r="E86" s="587" t="str">
        <f>IF(足元帳!J78="","",足元帳!J78)</f>
        <v/>
      </c>
      <c r="F86" s="566"/>
      <c r="G86" s="587" t="str">
        <f>IF(足元帳!K78="","",足元帳!K78)</f>
        <v/>
      </c>
      <c r="H86" s="565"/>
      <c r="I86" s="565"/>
      <c r="J86" s="566"/>
      <c r="K86" s="587" t="str">
        <f>IF(足元帳!BB78&gt;0,VLOOKUP(足元帳!BB78,管理シート!$R$4:$W$12,4,FALSE),"")</f>
        <v/>
      </c>
      <c r="L86" s="565"/>
      <c r="M86" s="566"/>
      <c r="N86" s="587" t="str">
        <f>IF(足元帳!U78="","",足元帳!U78)&amp;IF(足元帳!V78="","",足元帳!V78)&amp;IF(足元帳!W78="","",足元帳!W78)&amp;IF(足元帳!X78="","",足元帳!X78)&amp;IF(足元帳!Y78="","",足元帳!Y78)&amp;IF(足元帳!Z78="","",足元帳!Z78)</f>
        <v/>
      </c>
      <c r="O86" s="565"/>
      <c r="P86" s="565"/>
      <c r="Q86" s="565"/>
      <c r="R86" s="565"/>
      <c r="S86" s="566"/>
      <c r="T86" s="661" t="str">
        <f ca="1">IFERROR(INDEX(管理シート!$CB$3:$CK$24,MATCH(W86,管理シート!$CB$3:$CB$24,0),MATCH(K86,管理シート!$CB$3:$CM$3,0)),"")</f>
        <v/>
      </c>
      <c r="U86" s="661"/>
      <c r="V86" s="661"/>
      <c r="W86" s="587" t="str">
        <f ca="1">IF(ISERROR(MATCH("●",足元帳!AA78:AJ78,0)),"",INDIRECT("足元帳!R1C"&amp;MATCH("●",足元帳!AA78:AJ78,0)+26,FALSE))</f>
        <v/>
      </c>
      <c r="X86" s="565"/>
      <c r="Y86" s="566"/>
      <c r="Z86" s="587" t="str">
        <f>IF(足元帳!AL78="","","○")</f>
        <v/>
      </c>
      <c r="AA86" s="566"/>
      <c r="AB86" s="587" t="str">
        <f>IF(足元帳!AM78="","","現金カード払い"&amp;足元帳!AM78&amp;"  ")&amp;IF(足元帳!AP78="","",足元帳!AP78&amp;"　")&amp;IF(足元帳!AQ78="","",足元帳!AQ78&amp;"　")&amp;IF(足元帳!AR78="","",足元帳!AR78&amp;"　")&amp;IF(足元帳!AS78="","",足元帳!AS78&amp;"　")&amp;IF(足元帳!AT78="","",足元帳!AT78&amp;"　")&amp;IF(足元帳!AN78="","","LOVE×2")&amp;IF(足元帳!AJ78="","","MM"&amp;足元帳!AJ78)&amp;IF(足元帳!AW78="","",W86&amp;"利用"&amp;足元帳!AW78)&amp;IF(足元帳!AX78="",""," 優待券配布"&amp;足元帳!AX78)&amp;IF(足元帳!AU78="","","メルマガ")</f>
        <v/>
      </c>
      <c r="AC86" s="565"/>
      <c r="AD86" s="565"/>
      <c r="AE86" s="565"/>
      <c r="AF86" s="565"/>
      <c r="AG86" s="565"/>
      <c r="AH86" s="565"/>
      <c r="AI86" s="565"/>
      <c r="AJ86" s="565"/>
      <c r="AK86" s="565"/>
      <c r="AL86" s="565"/>
      <c r="AM86" s="565"/>
      <c r="AN86" s="565"/>
      <c r="AO86" s="565"/>
      <c r="AP86" s="565"/>
      <c r="AQ86" s="588"/>
      <c r="AR86" s="113" t="str">
        <f>IF(足元帳!A78="","",足元帳!A78)</f>
        <v/>
      </c>
      <c r="AS86" s="123">
        <f>COUNTIF(AR$4:AR86,AR86)</f>
        <v>83</v>
      </c>
    </row>
    <row r="87" spans="1:45" ht="23.45" customHeight="1">
      <c r="A87" s="655">
        <f t="shared" si="1"/>
        <v>78</v>
      </c>
      <c r="B87" s="604"/>
      <c r="C87" s="73" t="str">
        <f>IF(足元帳!AY79=1,"N",IF(足元帳!AY79=2,"R",""))</f>
        <v/>
      </c>
      <c r="D87" s="74" t="str">
        <f>IF(足元帳!AZ79&gt;0,VLOOKUP(足元帳!AZ79,管理シート!$R$4:$V$12,5,FALSE),"")</f>
        <v/>
      </c>
      <c r="E87" s="587" t="str">
        <f>IF(足元帳!J79="","",足元帳!J79)</f>
        <v/>
      </c>
      <c r="F87" s="566"/>
      <c r="G87" s="587" t="str">
        <f>IF(足元帳!K79="","",足元帳!K79)</f>
        <v/>
      </c>
      <c r="H87" s="565"/>
      <c r="I87" s="565"/>
      <c r="J87" s="566"/>
      <c r="K87" s="587" t="str">
        <f>IF(足元帳!BB79&gt;0,VLOOKUP(足元帳!BB79,管理シート!$R$4:$W$12,4,FALSE),"")</f>
        <v/>
      </c>
      <c r="L87" s="565"/>
      <c r="M87" s="566"/>
      <c r="N87" s="587" t="str">
        <f>IF(足元帳!U79="","",足元帳!U79)&amp;IF(足元帳!V79="","",足元帳!V79)&amp;IF(足元帳!W79="","",足元帳!W79)&amp;IF(足元帳!X79="","",足元帳!X79)&amp;IF(足元帳!Y79="","",足元帳!Y79)&amp;IF(足元帳!Z79="","",足元帳!Z79)</f>
        <v/>
      </c>
      <c r="O87" s="565"/>
      <c r="P87" s="565"/>
      <c r="Q87" s="565"/>
      <c r="R87" s="565"/>
      <c r="S87" s="566"/>
      <c r="T87" s="661" t="str">
        <f ca="1">IFERROR(INDEX(管理シート!$CB$3:$CK$24,MATCH(W87,管理シート!$CB$3:$CB$24,0),MATCH(K87,管理シート!$CB$3:$CM$3,0)),"")</f>
        <v/>
      </c>
      <c r="U87" s="661"/>
      <c r="V87" s="661"/>
      <c r="W87" s="587" t="str">
        <f ca="1">IF(ISERROR(MATCH("●",足元帳!AA79:AJ79,0)),"",INDIRECT("足元帳!R1C"&amp;MATCH("●",足元帳!AA79:AJ79,0)+26,FALSE))</f>
        <v/>
      </c>
      <c r="X87" s="565"/>
      <c r="Y87" s="566"/>
      <c r="Z87" s="587" t="str">
        <f>IF(足元帳!AL79="","","○")</f>
        <v/>
      </c>
      <c r="AA87" s="566"/>
      <c r="AB87" s="587" t="str">
        <f>IF(足元帳!AM79="","","現金カード払い"&amp;足元帳!AM79&amp;"  ")&amp;IF(足元帳!AP79="","",足元帳!AP79&amp;"　")&amp;IF(足元帳!AQ79="","",足元帳!AQ79&amp;"　")&amp;IF(足元帳!AR79="","",足元帳!AR79&amp;"　")&amp;IF(足元帳!AS79="","",足元帳!AS79&amp;"　")&amp;IF(足元帳!AT79="","",足元帳!AT79&amp;"　")&amp;IF(足元帳!AN79="","","LOVE×2")&amp;IF(足元帳!AJ79="","","MM"&amp;足元帳!AJ79)&amp;IF(足元帳!AW79="","",W87&amp;"利用"&amp;足元帳!AW79)&amp;IF(足元帳!AX79="",""," 優待券配布"&amp;足元帳!AX79)&amp;IF(足元帳!AU79="","","メルマガ")</f>
        <v/>
      </c>
      <c r="AC87" s="565"/>
      <c r="AD87" s="565"/>
      <c r="AE87" s="565"/>
      <c r="AF87" s="565"/>
      <c r="AG87" s="565"/>
      <c r="AH87" s="565"/>
      <c r="AI87" s="565"/>
      <c r="AJ87" s="565"/>
      <c r="AK87" s="565"/>
      <c r="AL87" s="565"/>
      <c r="AM87" s="565"/>
      <c r="AN87" s="565"/>
      <c r="AO87" s="565"/>
      <c r="AP87" s="565"/>
      <c r="AQ87" s="588"/>
      <c r="AR87" s="113" t="str">
        <f>IF(足元帳!A79="","",足元帳!A79)</f>
        <v/>
      </c>
      <c r="AS87" s="123">
        <f>COUNTIF(AR$4:AR87,AR87)</f>
        <v>84</v>
      </c>
    </row>
    <row r="88" spans="1:45" ht="23.45" customHeight="1">
      <c r="A88" s="655">
        <f t="shared" si="1"/>
        <v>79</v>
      </c>
      <c r="B88" s="604"/>
      <c r="C88" s="73" t="str">
        <f>IF(足元帳!AY80=1,"N",IF(足元帳!AY80=2,"R",""))</f>
        <v/>
      </c>
      <c r="D88" s="74" t="str">
        <f>IF(足元帳!AZ80&gt;0,VLOOKUP(足元帳!AZ80,管理シート!$R$4:$V$12,5,FALSE),"")</f>
        <v/>
      </c>
      <c r="E88" s="587" t="str">
        <f>IF(足元帳!J80="","",足元帳!J80)</f>
        <v/>
      </c>
      <c r="F88" s="566"/>
      <c r="G88" s="587" t="str">
        <f>IF(足元帳!K80="","",足元帳!K80)</f>
        <v/>
      </c>
      <c r="H88" s="565"/>
      <c r="I88" s="565"/>
      <c r="J88" s="566"/>
      <c r="K88" s="587" t="str">
        <f>IF(足元帳!BB80&gt;0,VLOOKUP(足元帳!BB80,管理シート!$R$4:$W$12,4,FALSE),"")</f>
        <v/>
      </c>
      <c r="L88" s="565"/>
      <c r="M88" s="566"/>
      <c r="N88" s="587" t="str">
        <f>IF(足元帳!U80="","",足元帳!U80)&amp;IF(足元帳!V80="","",足元帳!V80)&amp;IF(足元帳!W80="","",足元帳!W80)&amp;IF(足元帳!X80="","",足元帳!X80)&amp;IF(足元帳!Y80="","",足元帳!Y80)&amp;IF(足元帳!Z80="","",足元帳!Z80)</f>
        <v/>
      </c>
      <c r="O88" s="565"/>
      <c r="P88" s="565"/>
      <c r="Q88" s="565"/>
      <c r="R88" s="565"/>
      <c r="S88" s="566"/>
      <c r="T88" s="661" t="str">
        <f ca="1">IFERROR(INDEX(管理シート!$CB$3:$CK$24,MATCH(W88,管理シート!$CB$3:$CB$24,0),MATCH(K88,管理シート!$CB$3:$CM$3,0)),"")</f>
        <v/>
      </c>
      <c r="U88" s="661"/>
      <c r="V88" s="661"/>
      <c r="W88" s="587" t="str">
        <f ca="1">IF(ISERROR(MATCH("●",足元帳!AA80:AJ80,0)),"",INDIRECT("足元帳!R1C"&amp;MATCH("●",足元帳!AA80:AJ80,0)+26,FALSE))</f>
        <v/>
      </c>
      <c r="X88" s="565"/>
      <c r="Y88" s="566"/>
      <c r="Z88" s="587" t="str">
        <f>IF(足元帳!AL80="","","○")</f>
        <v/>
      </c>
      <c r="AA88" s="566"/>
      <c r="AB88" s="587" t="str">
        <f>IF(足元帳!AM80="","","現金カード払い"&amp;足元帳!AM80&amp;"  ")&amp;IF(足元帳!AP80="","",足元帳!AP80&amp;"　")&amp;IF(足元帳!AQ80="","",足元帳!AQ80&amp;"　")&amp;IF(足元帳!AR80="","",足元帳!AR80&amp;"　")&amp;IF(足元帳!AS80="","",足元帳!AS80&amp;"　")&amp;IF(足元帳!AT80="","",足元帳!AT80&amp;"　")&amp;IF(足元帳!AN80="","","LOVE×2")&amp;IF(足元帳!AJ80="","","MM"&amp;足元帳!AJ80)&amp;IF(足元帳!AW80="","",W88&amp;"利用"&amp;足元帳!AW80)&amp;IF(足元帳!AX80="",""," 優待券配布"&amp;足元帳!AX80)&amp;IF(足元帳!AU80="","","メルマガ")</f>
        <v/>
      </c>
      <c r="AC88" s="565"/>
      <c r="AD88" s="565"/>
      <c r="AE88" s="565"/>
      <c r="AF88" s="565"/>
      <c r="AG88" s="565"/>
      <c r="AH88" s="565"/>
      <c r="AI88" s="565"/>
      <c r="AJ88" s="565"/>
      <c r="AK88" s="565"/>
      <c r="AL88" s="565"/>
      <c r="AM88" s="565"/>
      <c r="AN88" s="565"/>
      <c r="AO88" s="565"/>
      <c r="AP88" s="565"/>
      <c r="AQ88" s="588"/>
      <c r="AR88" s="113" t="str">
        <f>IF(足元帳!A80="","",足元帳!A80)</f>
        <v/>
      </c>
      <c r="AS88" s="123">
        <f>COUNTIF(AR$4:AR88,AR88)</f>
        <v>85</v>
      </c>
    </row>
    <row r="89" spans="1:45" ht="23.45" customHeight="1" thickBot="1">
      <c r="A89" s="663">
        <f t="shared" si="1"/>
        <v>80</v>
      </c>
      <c r="B89" s="608"/>
      <c r="C89" s="76" t="str">
        <f>IF(足元帳!AY81=1,"N",IF(足元帳!AY81=2,"R",""))</f>
        <v/>
      </c>
      <c r="D89" s="77" t="str">
        <f>IF(足元帳!AZ81&gt;0,VLOOKUP(足元帳!AZ81,管理シート!$R$4:$V$12,5,FALSE),"")</f>
        <v/>
      </c>
      <c r="E89" s="597" t="str">
        <f>IF(足元帳!J81="","",足元帳!J81)</f>
        <v/>
      </c>
      <c r="F89" s="596"/>
      <c r="G89" s="597" t="str">
        <f>IF(足元帳!K81="","",足元帳!K81)</f>
        <v/>
      </c>
      <c r="H89" s="589"/>
      <c r="I89" s="589"/>
      <c r="J89" s="596"/>
      <c r="K89" s="597" t="str">
        <f>IF(足元帳!BB81&gt;0,VLOOKUP(足元帳!BB81,管理シート!$R$4:$W$12,4,FALSE),"")</f>
        <v/>
      </c>
      <c r="L89" s="589"/>
      <c r="M89" s="596"/>
      <c r="N89" s="597" t="str">
        <f>IF(足元帳!U81="","",足元帳!U81)&amp;IF(足元帳!V81="","",足元帳!V81)&amp;IF(足元帳!W81="","",足元帳!W81)&amp;IF(足元帳!X81="","",足元帳!X81)&amp;IF(足元帳!Y81="","",足元帳!Y81)&amp;IF(足元帳!Z81="","",足元帳!Z81)</f>
        <v/>
      </c>
      <c r="O89" s="589"/>
      <c r="P89" s="589"/>
      <c r="Q89" s="589"/>
      <c r="R89" s="589"/>
      <c r="S89" s="596"/>
      <c r="T89" s="608" t="str">
        <f ca="1">IFERROR(INDEX(管理シート!$CB$3:$CK$24,MATCH(W89,管理シート!$CB$3:$CB$24,0),MATCH(K89,管理シート!$CB$3:$CM$3,0)),"")</f>
        <v/>
      </c>
      <c r="U89" s="608"/>
      <c r="V89" s="608"/>
      <c r="W89" s="597" t="str">
        <f ca="1">IF(ISERROR(MATCH("●",足元帳!AA81:AJ81,0)),"",INDIRECT("足元帳!R1C"&amp;MATCH("●",足元帳!AA81:AJ81,0)+26,FALSE))</f>
        <v/>
      </c>
      <c r="X89" s="589"/>
      <c r="Y89" s="596"/>
      <c r="Z89" s="597" t="str">
        <f>IF(足元帳!AL81="","","○")</f>
        <v/>
      </c>
      <c r="AA89" s="596"/>
      <c r="AB89" s="597" t="str">
        <f>IF(足元帳!AM81="","","現金カード払い"&amp;足元帳!AM81&amp;"  ")&amp;IF(足元帳!AP81="","",足元帳!AP81&amp;"　")&amp;IF(足元帳!AQ81="","",足元帳!AQ81&amp;"　")&amp;IF(足元帳!AR81="","",足元帳!AR81&amp;"　")&amp;IF(足元帳!AS81="","",足元帳!AS81&amp;"　")&amp;IF(足元帳!AT81="","",足元帳!AT81&amp;"　")&amp;IF(足元帳!AN81="","","LOVE×2")&amp;IF(足元帳!AJ81="","","MM"&amp;足元帳!AJ81)&amp;IF(足元帳!AW81="","",W89&amp;"利用"&amp;足元帳!AW81)&amp;IF(足元帳!AX81="",""," 優待券配布"&amp;足元帳!AX81)&amp;IF(足元帳!AU81="","","メルマガ")</f>
        <v/>
      </c>
      <c r="AC89" s="589"/>
      <c r="AD89" s="589"/>
      <c r="AE89" s="589"/>
      <c r="AF89" s="589"/>
      <c r="AG89" s="589"/>
      <c r="AH89" s="589"/>
      <c r="AI89" s="589"/>
      <c r="AJ89" s="589"/>
      <c r="AK89" s="589"/>
      <c r="AL89" s="589"/>
      <c r="AM89" s="589"/>
      <c r="AN89" s="589"/>
      <c r="AO89" s="589"/>
      <c r="AP89" s="589"/>
      <c r="AQ89" s="590"/>
      <c r="AR89" s="113" t="str">
        <f>IF(足元帳!A81="","",足元帳!A81)</f>
        <v/>
      </c>
      <c r="AS89" s="123">
        <f>COUNTIF(AR$4:AR89,AR89)</f>
        <v>86</v>
      </c>
    </row>
    <row r="90" spans="1:45" ht="23.45" customHeight="1">
      <c r="A90" s="659" t="s">
        <v>159</v>
      </c>
      <c r="B90" s="660"/>
      <c r="C90" s="120" t="s">
        <v>183</v>
      </c>
      <c r="D90" s="122" t="s">
        <v>184</v>
      </c>
      <c r="E90" s="636">
        <f>IF((COUNTIF(C50:C89,"N")+COUNTIF(C50:C89,"R"))=0,COUNTIF(C50:C89,"N"),COUNTIF(C50:C89,"N")+E44)</f>
        <v>0</v>
      </c>
      <c r="F90" s="636"/>
      <c r="G90" s="122" t="s">
        <v>185</v>
      </c>
      <c r="H90" s="130" t="s">
        <v>186</v>
      </c>
      <c r="I90" s="122" t="s">
        <v>187</v>
      </c>
      <c r="J90" s="122" t="s">
        <v>184</v>
      </c>
      <c r="K90" s="636">
        <f>IF((COUNTIF(C50:C89,"R")+COUNTIF(C50:C89,"N"))=0,COUNTIF(C50:C89,"R"),COUNTIF(C50:C89,"R")+K44)</f>
        <v>0</v>
      </c>
      <c r="L90" s="636"/>
      <c r="M90" s="122" t="s">
        <v>185</v>
      </c>
      <c r="N90" s="130" t="s">
        <v>188</v>
      </c>
      <c r="O90" s="636">
        <f>IF(E90+K90=0,0,E90+K90)</f>
        <v>0</v>
      </c>
      <c r="P90" s="636"/>
      <c r="Q90" s="122"/>
      <c r="R90" s="122" t="s">
        <v>14</v>
      </c>
      <c r="S90" s="122" t="s">
        <v>189</v>
      </c>
      <c r="T90" s="636">
        <f>COUNTIF(D4:D43,"姫")+COUNTIF(D50:D89,"姫")</f>
        <v>0</v>
      </c>
      <c r="U90" s="636"/>
      <c r="V90" s="122" t="s">
        <v>190</v>
      </c>
      <c r="W90" s="290" t="s">
        <v>384</v>
      </c>
      <c r="X90" s="122" t="s">
        <v>5</v>
      </c>
      <c r="Y90" s="122" t="s">
        <v>385</v>
      </c>
      <c r="Z90" s="636">
        <f>COUNTIF(D4:D43,"本")+COUNTIF(D50:D89,"本")</f>
        <v>0</v>
      </c>
      <c r="AA90" s="636"/>
      <c r="AB90" s="122" t="s">
        <v>190</v>
      </c>
      <c r="AC90" s="130" t="s">
        <v>186</v>
      </c>
      <c r="AD90" s="122" t="s">
        <v>191</v>
      </c>
      <c r="AE90" s="122" t="s">
        <v>189</v>
      </c>
      <c r="AF90" s="636">
        <f>COUNTIF(D4:D43,"ネ")+COUNTIF(D50:D89,"ネ")</f>
        <v>0</v>
      </c>
      <c r="AG90" s="636"/>
      <c r="AH90" s="122" t="s">
        <v>190</v>
      </c>
      <c r="AI90" s="122" t="s">
        <v>186</v>
      </c>
      <c r="AJ90" s="122" t="s">
        <v>0</v>
      </c>
      <c r="AK90" s="122" t="s">
        <v>189</v>
      </c>
      <c r="AL90" s="636">
        <f>COUNTIF(D4:D43,"写")+COUNTIF(D50:D89,"写")</f>
        <v>0</v>
      </c>
      <c r="AM90" s="636"/>
      <c r="AN90" s="122" t="s">
        <v>190</v>
      </c>
      <c r="AO90" s="130" t="s">
        <v>166</v>
      </c>
      <c r="AP90" s="636">
        <f>T90+Z90+AF90+AL90</f>
        <v>0</v>
      </c>
      <c r="AQ90" s="662"/>
    </row>
    <row r="91" spans="1:45" ht="23.45" customHeight="1">
      <c r="A91" s="665" t="s">
        <v>160</v>
      </c>
      <c r="B91" s="666"/>
      <c r="C91" s="666"/>
      <c r="D91" s="666"/>
      <c r="E91" s="666"/>
      <c r="F91" s="666"/>
      <c r="G91" s="666" t="s">
        <v>192</v>
      </c>
      <c r="H91" s="666"/>
      <c r="I91" s="666" t="s">
        <v>162</v>
      </c>
      <c r="J91" s="666"/>
      <c r="K91" s="666"/>
      <c r="L91" s="666"/>
      <c r="M91" s="666"/>
      <c r="N91" s="666"/>
      <c r="O91" s="666" t="s">
        <v>192</v>
      </c>
      <c r="P91" s="666"/>
      <c r="Q91" s="666" t="s">
        <v>163</v>
      </c>
      <c r="R91" s="666"/>
      <c r="S91" s="666"/>
      <c r="T91" s="666"/>
      <c r="U91" s="666"/>
      <c r="V91" s="666"/>
      <c r="W91" s="666" t="s">
        <v>384</v>
      </c>
      <c r="X91" s="666"/>
      <c r="Y91" s="666" t="s">
        <v>165</v>
      </c>
      <c r="Z91" s="666"/>
      <c r="AA91" s="666"/>
      <c r="AB91" s="666"/>
      <c r="AC91" s="666"/>
      <c r="AD91" s="666"/>
      <c r="AE91" s="666" t="s">
        <v>166</v>
      </c>
      <c r="AF91" s="666"/>
      <c r="AG91" s="666" t="s">
        <v>167</v>
      </c>
      <c r="AH91" s="666"/>
      <c r="AI91" s="666"/>
      <c r="AJ91" s="666"/>
      <c r="AK91" s="666"/>
      <c r="AL91" s="666"/>
      <c r="AM91" s="666"/>
      <c r="AN91" s="666"/>
      <c r="AO91" s="666"/>
      <c r="AP91" s="666"/>
      <c r="AQ91" s="670"/>
    </row>
    <row r="92" spans="1:45" ht="23.45" customHeight="1" thickBot="1">
      <c r="A92" s="668">
        <f>IF(P136&gt;0,"",精算表!$BD$46)</f>
        <v>0</v>
      </c>
      <c r="B92" s="669"/>
      <c r="C92" s="669"/>
      <c r="D92" s="669"/>
      <c r="E92" s="669"/>
      <c r="F92" s="669"/>
      <c r="G92" s="656" t="s">
        <v>192</v>
      </c>
      <c r="H92" s="656"/>
      <c r="I92" s="669">
        <f>IF(P136&gt;0,"",精算表!$BD$49)</f>
        <v>0</v>
      </c>
      <c r="J92" s="669"/>
      <c r="K92" s="669"/>
      <c r="L92" s="669"/>
      <c r="M92" s="669"/>
      <c r="N92" s="669"/>
      <c r="O92" s="656" t="s">
        <v>192</v>
      </c>
      <c r="P92" s="656"/>
      <c r="Q92" s="669">
        <f>IF(P136&gt;0,"",精算表!$BD$50)</f>
        <v>0</v>
      </c>
      <c r="R92" s="669"/>
      <c r="S92" s="669"/>
      <c r="T92" s="669"/>
      <c r="U92" s="669"/>
      <c r="V92" s="669"/>
      <c r="W92" s="656" t="s">
        <v>384</v>
      </c>
      <c r="X92" s="656"/>
      <c r="Y92" s="669">
        <f>IF(P136&gt;0,"",精算表!$BD$56)</f>
        <v>0</v>
      </c>
      <c r="Z92" s="669"/>
      <c r="AA92" s="669"/>
      <c r="AB92" s="669"/>
      <c r="AC92" s="669"/>
      <c r="AD92" s="669"/>
      <c r="AE92" s="656" t="s">
        <v>166</v>
      </c>
      <c r="AF92" s="656"/>
      <c r="AG92" s="657">
        <f>IF(P136&gt;0,"",A92-I92-Q92+Y92)</f>
        <v>0</v>
      </c>
      <c r="AH92" s="656"/>
      <c r="AI92" s="656"/>
      <c r="AJ92" s="656"/>
      <c r="AK92" s="656"/>
      <c r="AL92" s="656"/>
      <c r="AM92" s="656"/>
      <c r="AN92" s="656"/>
      <c r="AO92" s="656"/>
      <c r="AP92" s="656"/>
      <c r="AQ92" s="658"/>
    </row>
    <row r="93" spans="1:45" ht="35.1" customHeight="1">
      <c r="AD93" s="113" t="s">
        <v>297</v>
      </c>
      <c r="AF93" s="585" t="str">
        <f>TEXT(精算表!W1,"yyyy")</f>
        <v>2019</v>
      </c>
      <c r="AG93" s="585"/>
      <c r="AH93" s="113" t="s">
        <v>143</v>
      </c>
      <c r="AI93" s="585">
        <f>MONTH(精算表!W1)</f>
        <v>10</v>
      </c>
      <c r="AJ93" s="585"/>
      <c r="AK93" s="585"/>
      <c r="AL93" s="578" t="s">
        <v>144</v>
      </c>
      <c r="AM93" s="578"/>
      <c r="AN93" s="585">
        <f>DAY(精算表!W1)</f>
        <v>17</v>
      </c>
      <c r="AO93" s="585"/>
      <c r="AP93" s="578" t="s">
        <v>145</v>
      </c>
      <c r="AQ93" s="578"/>
    </row>
    <row r="94" spans="1:45" ht="35.1" customHeight="1" thickBot="1">
      <c r="A94" s="579">
        <v>3</v>
      </c>
      <c r="B94" s="579"/>
      <c r="C94" s="579"/>
      <c r="D94" s="579"/>
      <c r="E94" s="579"/>
      <c r="F94" s="579"/>
      <c r="G94" s="579"/>
      <c r="H94" s="579"/>
      <c r="I94" s="579"/>
      <c r="J94" s="579"/>
      <c r="K94" s="579"/>
      <c r="L94" s="579"/>
      <c r="M94" s="579"/>
      <c r="N94" s="579"/>
      <c r="O94" s="579"/>
      <c r="P94" s="579"/>
      <c r="Q94" s="579"/>
      <c r="R94" s="579"/>
      <c r="S94" s="579"/>
      <c r="T94" s="579"/>
      <c r="U94" s="579"/>
      <c r="V94" s="579"/>
      <c r="W94" s="579"/>
      <c r="X94" s="579"/>
      <c r="Y94" s="579"/>
      <c r="Z94" s="579"/>
      <c r="AA94" s="579"/>
      <c r="AB94" s="579"/>
      <c r="AC94" s="579"/>
      <c r="AD94" s="579"/>
      <c r="AE94" s="579"/>
      <c r="AF94" s="579"/>
      <c r="AG94" s="579"/>
      <c r="AH94" s="579"/>
      <c r="AI94" s="579"/>
      <c r="AJ94" s="579"/>
      <c r="AK94" s="579"/>
      <c r="AL94" s="579"/>
      <c r="AM94" s="579"/>
      <c r="AN94" s="579"/>
      <c r="AO94" s="579"/>
      <c r="AP94" s="579"/>
      <c r="AQ94" s="579"/>
    </row>
    <row r="95" spans="1:45" ht="23.45" customHeight="1" thickBot="1">
      <c r="A95" s="580" t="s">
        <v>146</v>
      </c>
      <c r="B95" s="581"/>
      <c r="C95" s="582" t="s">
        <v>147</v>
      </c>
      <c r="D95" s="581"/>
      <c r="E95" s="582" t="s">
        <v>6</v>
      </c>
      <c r="F95" s="581"/>
      <c r="G95" s="664" t="s">
        <v>148</v>
      </c>
      <c r="H95" s="664"/>
      <c r="I95" s="664"/>
      <c r="J95" s="664"/>
      <c r="K95" s="664" t="s">
        <v>180</v>
      </c>
      <c r="L95" s="664"/>
      <c r="M95" s="664"/>
      <c r="N95" s="582" t="s">
        <v>181</v>
      </c>
      <c r="O95" s="583"/>
      <c r="P95" s="583"/>
      <c r="Q95" s="583"/>
      <c r="R95" s="583"/>
      <c r="S95" s="581"/>
      <c r="T95" s="582" t="s">
        <v>2</v>
      </c>
      <c r="U95" s="583"/>
      <c r="V95" s="581"/>
      <c r="W95" s="582" t="s">
        <v>383</v>
      </c>
      <c r="X95" s="583"/>
      <c r="Y95" s="581"/>
      <c r="Z95" s="582" t="s">
        <v>182</v>
      </c>
      <c r="AA95" s="581"/>
      <c r="AB95" s="582" t="s">
        <v>151</v>
      </c>
      <c r="AC95" s="583"/>
      <c r="AD95" s="583"/>
      <c r="AE95" s="583"/>
      <c r="AF95" s="583"/>
      <c r="AG95" s="583"/>
      <c r="AH95" s="583"/>
      <c r="AI95" s="583"/>
      <c r="AJ95" s="583"/>
      <c r="AK95" s="583"/>
      <c r="AL95" s="583"/>
      <c r="AM95" s="583"/>
      <c r="AN95" s="583"/>
      <c r="AO95" s="583"/>
      <c r="AP95" s="583"/>
      <c r="AQ95" s="584"/>
    </row>
    <row r="96" spans="1:45" ht="23.45" customHeight="1">
      <c r="A96" s="667">
        <v>81</v>
      </c>
      <c r="B96" s="661"/>
      <c r="C96" s="120" t="str">
        <f>IF(足元帳!AY82=1,"N",IF(足元帳!AY82=2,"R",""))</f>
        <v/>
      </c>
      <c r="D96" s="241" t="str">
        <f>IF(足元帳!AZ82&gt;0,VLOOKUP(足元帳!AZ82,管理シート!$R$4:$V$12,5,FALSE),"")</f>
        <v/>
      </c>
      <c r="E96" s="661" t="str">
        <f>IF(足元帳!J82="","",足元帳!J82)</f>
        <v/>
      </c>
      <c r="F96" s="661"/>
      <c r="G96" s="661" t="str">
        <f>IF(足元帳!K82="","",足元帳!K82)</f>
        <v/>
      </c>
      <c r="H96" s="661"/>
      <c r="I96" s="661"/>
      <c r="J96" s="661"/>
      <c r="K96" s="661" t="str">
        <f>IF(足元帳!BB82&gt;0,VLOOKUP(足元帳!BB82,管理シート!$R$4:$W$12,4,FALSE),"")</f>
        <v/>
      </c>
      <c r="L96" s="661"/>
      <c r="M96" s="661"/>
      <c r="N96" s="661" t="str">
        <f>IF(足元帳!U82="","",足元帳!U82)&amp;IF(足元帳!V82="","",足元帳!V82)&amp;IF(足元帳!W82="","",足元帳!W82)&amp;IF(足元帳!X82="","",足元帳!X82)&amp;IF(足元帳!Y82="","",足元帳!Y82)&amp;IF(足元帳!Z82="","",足元帳!Z82)</f>
        <v/>
      </c>
      <c r="O96" s="661"/>
      <c r="P96" s="661"/>
      <c r="Q96" s="661"/>
      <c r="R96" s="661"/>
      <c r="S96" s="661"/>
      <c r="T96" s="661" t="str">
        <f ca="1">IFERROR(INDEX(管理シート!$CB$3:$CK$24,MATCH(W96,管理シート!$CB$3:$CB$24,0),MATCH(K96,管理シート!$CB$3:$CM$3,0)),"")</f>
        <v/>
      </c>
      <c r="U96" s="661"/>
      <c r="V96" s="661"/>
      <c r="W96" s="635" t="str">
        <f ca="1">IF(ISERROR(MATCH("●",足元帳!AA82:AJ82,0)),"",INDIRECT("足元帳!R1C"&amp;MATCH("●",足元帳!AA82:AJ82,0)+26,FALSE))</f>
        <v/>
      </c>
      <c r="X96" s="636"/>
      <c r="Y96" s="649"/>
      <c r="Z96" s="661" t="str">
        <f>IF(足元帳!AL82="","","○")</f>
        <v/>
      </c>
      <c r="AA96" s="661"/>
      <c r="AB96" s="635" t="str">
        <f>IF(足元帳!AM82="","","現金カード払い"&amp;足元帳!AM82&amp;"  ")&amp;IF(足元帳!AP82="","",足元帳!AP82&amp;"　")&amp;IF(足元帳!AQ82="","",足元帳!AQ82&amp;"　")&amp;IF(足元帳!AR82="","",足元帳!AR82&amp;"　")&amp;IF(足元帳!AS82="","",足元帳!AS82&amp;"　")&amp;IF(足元帳!AT82="","",足元帳!AT82&amp;"　")&amp;IF(足元帳!AN82="","","LOVE×2")&amp;IF(足元帳!AJ82="","","MM"&amp;足元帳!AJ82)&amp;IF(足元帳!AW82="","",W96&amp;"利用"&amp;足元帳!AW82)&amp;IF(足元帳!AX82="",""," 優待券配布"&amp;足元帳!AX82)&amp;IF(足元帳!AU82="","","メルマガ")</f>
        <v/>
      </c>
      <c r="AC96" s="636"/>
      <c r="AD96" s="636"/>
      <c r="AE96" s="636"/>
      <c r="AF96" s="636"/>
      <c r="AG96" s="636"/>
      <c r="AH96" s="636"/>
      <c r="AI96" s="636"/>
      <c r="AJ96" s="636"/>
      <c r="AK96" s="636"/>
      <c r="AL96" s="636"/>
      <c r="AM96" s="636"/>
      <c r="AN96" s="636"/>
      <c r="AO96" s="636"/>
      <c r="AP96" s="636"/>
      <c r="AQ96" s="662"/>
      <c r="AR96" s="113" t="str">
        <f>IF(足元帳!A82="","",足元帳!A82)</f>
        <v/>
      </c>
      <c r="AS96" s="123">
        <f>COUNTIF(AR$4:AR96,AR96)</f>
        <v>93</v>
      </c>
    </row>
    <row r="97" spans="1:45" ht="23.45" customHeight="1">
      <c r="A97" s="586">
        <f>A96+1</f>
        <v>82</v>
      </c>
      <c r="B97" s="566"/>
      <c r="C97" s="73" t="str">
        <f>IF(足元帳!AY83=1,"N",IF(足元帳!AY83=2,"R",""))</f>
        <v/>
      </c>
      <c r="D97" s="74" t="str">
        <f>IF(足元帳!AZ83&gt;0,VLOOKUP(足元帳!AZ83,管理シート!$R$4:$V$12,5,FALSE),"")</f>
        <v/>
      </c>
      <c r="E97" s="587" t="str">
        <f>IF(足元帳!J83="","",足元帳!J83)</f>
        <v/>
      </c>
      <c r="F97" s="566"/>
      <c r="G97" s="587" t="str">
        <f>IF(足元帳!K83="","",足元帳!K83)</f>
        <v/>
      </c>
      <c r="H97" s="565"/>
      <c r="I97" s="565"/>
      <c r="J97" s="566"/>
      <c r="K97" s="587" t="str">
        <f>IF(足元帳!BB83&gt;0,VLOOKUP(足元帳!BB83,管理シート!$R$4:$W$12,4,FALSE),"")</f>
        <v/>
      </c>
      <c r="L97" s="565"/>
      <c r="M97" s="566"/>
      <c r="N97" s="587" t="str">
        <f>IF(足元帳!U83="","",足元帳!U83)&amp;IF(足元帳!V83="","",足元帳!V83)&amp;IF(足元帳!W83="","",足元帳!W83)&amp;IF(足元帳!X83="","",足元帳!X83)&amp;IF(足元帳!Y83="","",足元帳!Y83)&amp;IF(足元帳!Z83="","",足元帳!Z83)</f>
        <v/>
      </c>
      <c r="O97" s="565"/>
      <c r="P97" s="565"/>
      <c r="Q97" s="565"/>
      <c r="R97" s="565"/>
      <c r="S97" s="566"/>
      <c r="T97" s="661" t="str">
        <f ca="1">IFERROR(INDEX(管理シート!$CB$3:$CK$24,MATCH(W97,管理シート!$CB$3:$CB$24,0),MATCH(K97,管理シート!$CB$3:$CM$3,0)),"")</f>
        <v/>
      </c>
      <c r="U97" s="661"/>
      <c r="V97" s="661"/>
      <c r="W97" s="587" t="str">
        <f ca="1">IF(ISERROR(MATCH("●",足元帳!AA83:AJ83,0)),"",INDIRECT("足元帳!R1C"&amp;MATCH("●",足元帳!AA83:AJ83,0)+26,FALSE))</f>
        <v/>
      </c>
      <c r="X97" s="565"/>
      <c r="Y97" s="566"/>
      <c r="Z97" s="587" t="str">
        <f>IF(足元帳!AL83="","","○")</f>
        <v/>
      </c>
      <c r="AA97" s="566"/>
      <c r="AB97" s="635" t="str">
        <f>IF(足元帳!AM83="","","現金カード払い"&amp;足元帳!AM83&amp;"  ")&amp;IF(足元帳!AP83="","",足元帳!AP83&amp;"　")&amp;IF(足元帳!AQ83="","",足元帳!AQ83&amp;"　")&amp;IF(足元帳!AR83="","",足元帳!AR83&amp;"　")&amp;IF(足元帳!AS83="","",足元帳!AS83&amp;"　")&amp;IF(足元帳!AT83="","",足元帳!AT83&amp;"　")&amp;IF(足元帳!AN83="","","LOVE×2")&amp;IF(足元帳!AJ83="","","MM"&amp;足元帳!AJ83)&amp;IF(足元帳!AW83="","",W97&amp;"利用"&amp;足元帳!AW83)&amp;IF(足元帳!AX83="",""," 優待券配布"&amp;足元帳!AX83)&amp;IF(足元帳!AU83="","","メルマガ")</f>
        <v/>
      </c>
      <c r="AC97" s="636"/>
      <c r="AD97" s="636"/>
      <c r="AE97" s="636"/>
      <c r="AF97" s="636"/>
      <c r="AG97" s="636"/>
      <c r="AH97" s="636"/>
      <c r="AI97" s="636"/>
      <c r="AJ97" s="636"/>
      <c r="AK97" s="636"/>
      <c r="AL97" s="636"/>
      <c r="AM97" s="636"/>
      <c r="AN97" s="636"/>
      <c r="AO97" s="636"/>
      <c r="AP97" s="636"/>
      <c r="AQ97" s="662"/>
      <c r="AR97" s="113" t="str">
        <f>IF(足元帳!A83="","",足元帳!A83)</f>
        <v/>
      </c>
      <c r="AS97" s="123">
        <f>COUNTIF(AR$4:AR97,AR97)</f>
        <v>94</v>
      </c>
    </row>
    <row r="98" spans="1:45" ht="23.45" customHeight="1">
      <c r="A98" s="586">
        <f t="shared" ref="A98:A135" si="2">A97+1</f>
        <v>83</v>
      </c>
      <c r="B98" s="566"/>
      <c r="C98" s="73" t="str">
        <f>IF(足元帳!AY84=1,"N",IF(足元帳!AY84=2,"R",""))</f>
        <v/>
      </c>
      <c r="D98" s="74" t="str">
        <f>IF(足元帳!AZ84&gt;0,VLOOKUP(足元帳!AZ84,管理シート!$R$4:$V$12,5,FALSE),"")</f>
        <v/>
      </c>
      <c r="E98" s="587" t="str">
        <f>IF(足元帳!J84="","",足元帳!J84)</f>
        <v/>
      </c>
      <c r="F98" s="566"/>
      <c r="G98" s="587" t="str">
        <f>IF(足元帳!K84="","",足元帳!K84)</f>
        <v/>
      </c>
      <c r="H98" s="565"/>
      <c r="I98" s="565"/>
      <c r="J98" s="566"/>
      <c r="K98" s="587" t="str">
        <f>IF(足元帳!BB84&gt;0,VLOOKUP(足元帳!BB84,管理シート!$R$4:$W$12,4,FALSE),"")</f>
        <v/>
      </c>
      <c r="L98" s="565"/>
      <c r="M98" s="566"/>
      <c r="N98" s="587" t="str">
        <f>IF(足元帳!U84="","",足元帳!U84)&amp;IF(足元帳!V84="","",足元帳!V84)&amp;IF(足元帳!W84="","",足元帳!W84)&amp;IF(足元帳!X84="","",足元帳!X84)&amp;IF(足元帳!Y84="","",足元帳!Y84)&amp;IF(足元帳!Z84="","",足元帳!Z84)</f>
        <v/>
      </c>
      <c r="O98" s="565"/>
      <c r="P98" s="565"/>
      <c r="Q98" s="565"/>
      <c r="R98" s="565"/>
      <c r="S98" s="566"/>
      <c r="T98" s="661" t="str">
        <f ca="1">IFERROR(INDEX(管理シート!$CB$3:$CK$24,MATCH(W98,管理シート!$CB$3:$CB$24,0),MATCH(K98,管理シート!$CB$3:$CM$3,0)),"")</f>
        <v/>
      </c>
      <c r="U98" s="661"/>
      <c r="V98" s="661"/>
      <c r="W98" s="587" t="str">
        <f ca="1">IF(ISERROR(MATCH("●",足元帳!AA84:AJ84,0)),"",INDIRECT("足元帳!R1C"&amp;MATCH("●",足元帳!AA84:AJ84,0)+26,FALSE))</f>
        <v/>
      </c>
      <c r="X98" s="565"/>
      <c r="Y98" s="566"/>
      <c r="Z98" s="587" t="str">
        <f>IF(足元帳!AL84="","","○")</f>
        <v/>
      </c>
      <c r="AA98" s="566"/>
      <c r="AB98" s="635" t="str">
        <f>IF(足元帳!AM84="","","現金カード払い"&amp;足元帳!AM84&amp;"  ")&amp;IF(足元帳!AP84="","",足元帳!AP84&amp;"　")&amp;IF(足元帳!AQ84="","",足元帳!AQ84&amp;"　")&amp;IF(足元帳!AR84="","",足元帳!AR84&amp;"　")&amp;IF(足元帳!AS84="","",足元帳!AS84&amp;"　")&amp;IF(足元帳!AT84="","",足元帳!AT84&amp;"　")&amp;IF(足元帳!AN84="","","LOVE×2")&amp;IF(足元帳!AJ84="","","MM"&amp;足元帳!AJ84)&amp;IF(足元帳!AW84="","",W98&amp;"利用"&amp;足元帳!AW84)&amp;IF(足元帳!AX84="",""," 優待券配布"&amp;足元帳!AX84)&amp;IF(足元帳!AU84="","","メルマガ")</f>
        <v/>
      </c>
      <c r="AC98" s="636"/>
      <c r="AD98" s="636"/>
      <c r="AE98" s="636"/>
      <c r="AF98" s="636"/>
      <c r="AG98" s="636"/>
      <c r="AH98" s="636"/>
      <c r="AI98" s="636"/>
      <c r="AJ98" s="636"/>
      <c r="AK98" s="636"/>
      <c r="AL98" s="636"/>
      <c r="AM98" s="636"/>
      <c r="AN98" s="636"/>
      <c r="AO98" s="636"/>
      <c r="AP98" s="636"/>
      <c r="AQ98" s="662"/>
      <c r="AR98" s="113" t="str">
        <f>IF(足元帳!A84="","",足元帳!A84)</f>
        <v/>
      </c>
      <c r="AS98" s="123">
        <f>COUNTIF(AR$4:AR98,AR98)</f>
        <v>95</v>
      </c>
    </row>
    <row r="99" spans="1:45" ht="23.45" customHeight="1">
      <c r="A99" s="586">
        <f t="shared" si="2"/>
        <v>84</v>
      </c>
      <c r="B99" s="566"/>
      <c r="C99" s="73" t="str">
        <f>IF(足元帳!AY85=1,"N",IF(足元帳!AY85=2,"R",""))</f>
        <v/>
      </c>
      <c r="D99" s="74" t="str">
        <f>IF(足元帳!AZ85&gt;0,VLOOKUP(足元帳!AZ85,管理シート!$R$4:$V$12,5,FALSE),"")</f>
        <v/>
      </c>
      <c r="E99" s="587" t="str">
        <f>IF(足元帳!J85="","",足元帳!J85)</f>
        <v/>
      </c>
      <c r="F99" s="566"/>
      <c r="G99" s="587" t="str">
        <f>IF(足元帳!K85="","",足元帳!K85)</f>
        <v/>
      </c>
      <c r="H99" s="565"/>
      <c r="I99" s="565"/>
      <c r="J99" s="566"/>
      <c r="K99" s="587" t="str">
        <f>IF(足元帳!BB85&gt;0,VLOOKUP(足元帳!BB85,管理シート!$R$4:$W$12,4,FALSE),"")</f>
        <v/>
      </c>
      <c r="L99" s="565"/>
      <c r="M99" s="566"/>
      <c r="N99" s="587" t="str">
        <f>IF(足元帳!U85="","",足元帳!U85)&amp;IF(足元帳!V85="","",足元帳!V85)&amp;IF(足元帳!W85="","",足元帳!W85)&amp;IF(足元帳!X85="","",足元帳!X85)&amp;IF(足元帳!Y85="","",足元帳!Y85)&amp;IF(足元帳!Z85="","",足元帳!Z85)</f>
        <v/>
      </c>
      <c r="O99" s="565"/>
      <c r="P99" s="565"/>
      <c r="Q99" s="565"/>
      <c r="R99" s="565"/>
      <c r="S99" s="566"/>
      <c r="T99" s="661" t="str">
        <f ca="1">IFERROR(INDEX(管理シート!$CB$3:$CK$24,MATCH(W99,管理シート!$CB$3:$CB$24,0),MATCH(K99,管理シート!$CB$3:$CM$3,0)),"")</f>
        <v/>
      </c>
      <c r="U99" s="661"/>
      <c r="V99" s="661"/>
      <c r="W99" s="587" t="str">
        <f ca="1">IF(ISERROR(MATCH("●",足元帳!AA85:AJ85,0)),"",INDIRECT("足元帳!R1C"&amp;MATCH("●",足元帳!AA85:AJ85,0)+26,FALSE))</f>
        <v/>
      </c>
      <c r="X99" s="565"/>
      <c r="Y99" s="566"/>
      <c r="Z99" s="587" t="str">
        <f>IF(足元帳!AL85="","","○")</f>
        <v/>
      </c>
      <c r="AA99" s="566"/>
      <c r="AB99" s="635" t="str">
        <f>IF(足元帳!AM85="","","現金カード払い"&amp;足元帳!AM85&amp;"  ")&amp;IF(足元帳!AP85="","",足元帳!AP85&amp;"　")&amp;IF(足元帳!AQ85="","",足元帳!AQ85&amp;"　")&amp;IF(足元帳!AR85="","",足元帳!AR85&amp;"　")&amp;IF(足元帳!AS85="","",足元帳!AS85&amp;"　")&amp;IF(足元帳!AT85="","",足元帳!AT85&amp;"　")&amp;IF(足元帳!AN85="","","LOVE×2")&amp;IF(足元帳!AJ85="","","MM"&amp;足元帳!AJ85)&amp;IF(足元帳!AW85="","",W99&amp;"利用"&amp;足元帳!AW85)&amp;IF(足元帳!AX85="",""," 優待券配布"&amp;足元帳!AX85)&amp;IF(足元帳!AU85="","","メルマガ")</f>
        <v/>
      </c>
      <c r="AC99" s="636"/>
      <c r="AD99" s="636"/>
      <c r="AE99" s="636"/>
      <c r="AF99" s="636"/>
      <c r="AG99" s="636"/>
      <c r="AH99" s="636"/>
      <c r="AI99" s="636"/>
      <c r="AJ99" s="636"/>
      <c r="AK99" s="636"/>
      <c r="AL99" s="636"/>
      <c r="AM99" s="636"/>
      <c r="AN99" s="636"/>
      <c r="AO99" s="636"/>
      <c r="AP99" s="636"/>
      <c r="AQ99" s="662"/>
      <c r="AR99" s="113" t="str">
        <f>IF(足元帳!A85="","",足元帳!A85)</f>
        <v/>
      </c>
      <c r="AS99" s="123">
        <f>COUNTIF(AR$4:AR99,AR99)</f>
        <v>96</v>
      </c>
    </row>
    <row r="100" spans="1:45" ht="23.45" customHeight="1">
      <c r="A100" s="586">
        <f t="shared" si="2"/>
        <v>85</v>
      </c>
      <c r="B100" s="566"/>
      <c r="C100" s="73" t="str">
        <f>IF(足元帳!AY86=1,"N",IF(足元帳!AY86=2,"R",""))</f>
        <v/>
      </c>
      <c r="D100" s="74" t="str">
        <f>IF(足元帳!AZ86&gt;0,VLOOKUP(足元帳!AZ86,管理シート!$R$4:$V$12,5,FALSE),"")</f>
        <v/>
      </c>
      <c r="E100" s="587" t="str">
        <f>IF(足元帳!J86="","",足元帳!J86)</f>
        <v/>
      </c>
      <c r="F100" s="566"/>
      <c r="G100" s="587" t="str">
        <f>IF(足元帳!K86="","",足元帳!K86)</f>
        <v/>
      </c>
      <c r="H100" s="565"/>
      <c r="I100" s="565"/>
      <c r="J100" s="566"/>
      <c r="K100" s="587" t="str">
        <f>IF(足元帳!BB86&gt;0,VLOOKUP(足元帳!BB86,管理シート!$R$4:$W$12,4,FALSE),"")</f>
        <v/>
      </c>
      <c r="L100" s="565"/>
      <c r="M100" s="566"/>
      <c r="N100" s="587" t="str">
        <f>IF(足元帳!U86="","",足元帳!U86)&amp;IF(足元帳!V86="","",足元帳!V86)&amp;IF(足元帳!W86="","",足元帳!W86)&amp;IF(足元帳!X86="","",足元帳!X86)&amp;IF(足元帳!Y86="","",足元帳!Y86)&amp;IF(足元帳!Z86="","",足元帳!Z86)</f>
        <v/>
      </c>
      <c r="O100" s="565"/>
      <c r="P100" s="565"/>
      <c r="Q100" s="565"/>
      <c r="R100" s="565"/>
      <c r="S100" s="566"/>
      <c r="T100" s="661" t="str">
        <f ca="1">IFERROR(INDEX(管理シート!$CB$3:$CK$24,MATCH(W100,管理シート!$CB$3:$CB$24,0),MATCH(K100,管理シート!$CB$3:$CM$3,0)),"")</f>
        <v/>
      </c>
      <c r="U100" s="661"/>
      <c r="V100" s="661"/>
      <c r="W100" s="587" t="str">
        <f ca="1">IF(ISERROR(MATCH("●",足元帳!AA86:AJ86,0)),"",INDIRECT("足元帳!R1C"&amp;MATCH("●",足元帳!AA86:AJ86,0)+26,FALSE))</f>
        <v/>
      </c>
      <c r="X100" s="565"/>
      <c r="Y100" s="566"/>
      <c r="Z100" s="587" t="str">
        <f>IF(足元帳!AL86="","","○")</f>
        <v/>
      </c>
      <c r="AA100" s="566"/>
      <c r="AB100" s="635" t="str">
        <f>IF(足元帳!AM86="","","現金カード払い"&amp;足元帳!AM86&amp;"  ")&amp;IF(足元帳!AP86="","",足元帳!AP86&amp;"　")&amp;IF(足元帳!AQ86="","",足元帳!AQ86&amp;"　")&amp;IF(足元帳!AR86="","",足元帳!AR86&amp;"　")&amp;IF(足元帳!AS86="","",足元帳!AS86&amp;"　")&amp;IF(足元帳!AT86="","",足元帳!AT86&amp;"　")&amp;IF(足元帳!AN86="","","LOVE×2")&amp;IF(足元帳!AJ86="","","MM"&amp;足元帳!AJ86)&amp;IF(足元帳!AW86="","",W100&amp;"利用"&amp;足元帳!AW86)&amp;IF(足元帳!AX86="",""," 優待券配布"&amp;足元帳!AX86)&amp;IF(足元帳!AU86="","","メルマガ")</f>
        <v/>
      </c>
      <c r="AC100" s="636"/>
      <c r="AD100" s="636"/>
      <c r="AE100" s="636"/>
      <c r="AF100" s="636"/>
      <c r="AG100" s="636"/>
      <c r="AH100" s="636"/>
      <c r="AI100" s="636"/>
      <c r="AJ100" s="636"/>
      <c r="AK100" s="636"/>
      <c r="AL100" s="636"/>
      <c r="AM100" s="636"/>
      <c r="AN100" s="636"/>
      <c r="AO100" s="636"/>
      <c r="AP100" s="636"/>
      <c r="AQ100" s="662"/>
      <c r="AR100" s="113" t="str">
        <f>IF(足元帳!A86="","",足元帳!A86)</f>
        <v/>
      </c>
      <c r="AS100" s="123">
        <f>COUNTIF(AR$4:AR100,AR100)</f>
        <v>97</v>
      </c>
    </row>
    <row r="101" spans="1:45" ht="23.45" customHeight="1">
      <c r="A101" s="586">
        <f t="shared" si="2"/>
        <v>86</v>
      </c>
      <c r="B101" s="566"/>
      <c r="C101" s="73" t="str">
        <f>IF(足元帳!AY87=1,"N",IF(足元帳!AY87=2,"R",""))</f>
        <v/>
      </c>
      <c r="D101" s="74" t="str">
        <f>IF(足元帳!AZ87&gt;0,VLOOKUP(足元帳!AZ87,管理シート!$R$4:$V$12,5,FALSE),"")</f>
        <v/>
      </c>
      <c r="E101" s="587" t="str">
        <f>IF(足元帳!J87="","",足元帳!J87)</f>
        <v/>
      </c>
      <c r="F101" s="566"/>
      <c r="G101" s="587" t="str">
        <f>IF(足元帳!K87="","",足元帳!K87)</f>
        <v/>
      </c>
      <c r="H101" s="565"/>
      <c r="I101" s="565"/>
      <c r="J101" s="566"/>
      <c r="K101" s="587" t="str">
        <f>IF(足元帳!BB87&gt;0,VLOOKUP(足元帳!BB87,管理シート!$R$4:$W$12,4,FALSE),"")</f>
        <v/>
      </c>
      <c r="L101" s="565"/>
      <c r="M101" s="566"/>
      <c r="N101" s="587" t="str">
        <f>IF(足元帳!U87="","",足元帳!U87)&amp;IF(足元帳!V87="","",足元帳!V87)&amp;IF(足元帳!W87="","",足元帳!W87)&amp;IF(足元帳!X87="","",足元帳!X87)&amp;IF(足元帳!Y87="","",足元帳!Y87)&amp;IF(足元帳!Z87="","",足元帳!Z87)</f>
        <v/>
      </c>
      <c r="O101" s="565"/>
      <c r="P101" s="565"/>
      <c r="Q101" s="565"/>
      <c r="R101" s="565"/>
      <c r="S101" s="566"/>
      <c r="T101" s="661" t="str">
        <f ca="1">IFERROR(INDEX(管理シート!$CB$3:$CK$24,MATCH(W101,管理シート!$CB$3:$CB$24,0),MATCH(K101,管理シート!$CB$3:$CM$3,0)),"")</f>
        <v/>
      </c>
      <c r="U101" s="661"/>
      <c r="V101" s="661"/>
      <c r="W101" s="587" t="str">
        <f ca="1">IF(ISERROR(MATCH("●",足元帳!AA87:AJ87,0)),"",INDIRECT("足元帳!R1C"&amp;MATCH("●",足元帳!AA87:AJ87,0)+26,FALSE))</f>
        <v/>
      </c>
      <c r="X101" s="565"/>
      <c r="Y101" s="566"/>
      <c r="Z101" s="587" t="str">
        <f>IF(足元帳!AL87="","","○")</f>
        <v/>
      </c>
      <c r="AA101" s="566"/>
      <c r="AB101" s="635" t="str">
        <f>IF(足元帳!AM87="","","現金カード払い"&amp;足元帳!AM87&amp;"  ")&amp;IF(足元帳!AP87="","",足元帳!AP87&amp;"　")&amp;IF(足元帳!AQ87="","",足元帳!AQ87&amp;"　")&amp;IF(足元帳!AR87="","",足元帳!AR87&amp;"　")&amp;IF(足元帳!AS87="","",足元帳!AS87&amp;"　")&amp;IF(足元帳!AT87="","",足元帳!AT87&amp;"　")&amp;IF(足元帳!AN87="","","LOVE×2")&amp;IF(足元帳!AJ87="","","MM"&amp;足元帳!AJ87)&amp;IF(足元帳!AW87="","",W101&amp;"利用"&amp;足元帳!AW87)&amp;IF(足元帳!AX87="",""," 優待券配布"&amp;足元帳!AX87)&amp;IF(足元帳!AU87="","","メルマガ")</f>
        <v/>
      </c>
      <c r="AC101" s="636"/>
      <c r="AD101" s="636"/>
      <c r="AE101" s="636"/>
      <c r="AF101" s="636"/>
      <c r="AG101" s="636"/>
      <c r="AH101" s="636"/>
      <c r="AI101" s="636"/>
      <c r="AJ101" s="636"/>
      <c r="AK101" s="636"/>
      <c r="AL101" s="636"/>
      <c r="AM101" s="636"/>
      <c r="AN101" s="636"/>
      <c r="AO101" s="636"/>
      <c r="AP101" s="636"/>
      <c r="AQ101" s="662"/>
      <c r="AR101" s="113" t="str">
        <f>IF(足元帳!A87="","",足元帳!A87)</f>
        <v/>
      </c>
      <c r="AS101" s="123">
        <f>COUNTIF(AR$4:AR101,AR101)</f>
        <v>98</v>
      </c>
    </row>
    <row r="102" spans="1:45" ht="23.45" customHeight="1">
      <c r="A102" s="586">
        <f t="shared" si="2"/>
        <v>87</v>
      </c>
      <c r="B102" s="566"/>
      <c r="C102" s="73" t="str">
        <f>IF(足元帳!AY88=1,"N",IF(足元帳!AY88=2,"R",""))</f>
        <v/>
      </c>
      <c r="D102" s="74" t="str">
        <f>IF(足元帳!AZ88&gt;0,VLOOKUP(足元帳!AZ88,管理シート!$R$4:$V$12,5,FALSE),"")</f>
        <v/>
      </c>
      <c r="E102" s="587" t="str">
        <f>IF(足元帳!J88="","",足元帳!J88)</f>
        <v/>
      </c>
      <c r="F102" s="566"/>
      <c r="G102" s="587" t="str">
        <f>IF(足元帳!K88="","",足元帳!K88)</f>
        <v/>
      </c>
      <c r="H102" s="565"/>
      <c r="I102" s="565"/>
      <c r="J102" s="566"/>
      <c r="K102" s="587" t="str">
        <f>IF(足元帳!BB88&gt;0,VLOOKUP(足元帳!BB88,管理シート!$R$4:$W$12,4,FALSE),"")</f>
        <v/>
      </c>
      <c r="L102" s="565"/>
      <c r="M102" s="566"/>
      <c r="N102" s="587" t="str">
        <f>IF(足元帳!U88="","",足元帳!U88)&amp;IF(足元帳!V88="","",足元帳!V88)&amp;IF(足元帳!W88="","",足元帳!W88)&amp;IF(足元帳!X88="","",足元帳!X88)&amp;IF(足元帳!Y88="","",足元帳!Y88)&amp;IF(足元帳!Z88="","",足元帳!Z88)</f>
        <v/>
      </c>
      <c r="O102" s="565"/>
      <c r="P102" s="565"/>
      <c r="Q102" s="565"/>
      <c r="R102" s="565"/>
      <c r="S102" s="566"/>
      <c r="T102" s="661" t="str">
        <f ca="1">IFERROR(INDEX(管理シート!$CB$3:$CK$24,MATCH(W102,管理シート!$CB$3:$CB$24,0),MATCH(K102,管理シート!$CB$3:$CM$3,0)),"")</f>
        <v/>
      </c>
      <c r="U102" s="661"/>
      <c r="V102" s="661"/>
      <c r="W102" s="587" t="str">
        <f ca="1">IF(ISERROR(MATCH("●",足元帳!AA88:AJ88,0)),"",INDIRECT("足元帳!R1C"&amp;MATCH("●",足元帳!AA88:AJ88,0)+26,FALSE))</f>
        <v/>
      </c>
      <c r="X102" s="565"/>
      <c r="Y102" s="566"/>
      <c r="Z102" s="587" t="str">
        <f>IF(足元帳!AL88="","","○")</f>
        <v/>
      </c>
      <c r="AA102" s="566"/>
      <c r="AB102" s="635" t="str">
        <f>IF(足元帳!AM88="","","現金カード払い"&amp;足元帳!AM88&amp;"  ")&amp;IF(足元帳!AP88="","",足元帳!AP88&amp;"　")&amp;IF(足元帳!AQ88="","",足元帳!AQ88&amp;"　")&amp;IF(足元帳!AR88="","",足元帳!AR88&amp;"　")&amp;IF(足元帳!AS88="","",足元帳!AS88&amp;"　")&amp;IF(足元帳!AT88="","",足元帳!AT88&amp;"　")&amp;IF(足元帳!AN88="","","LOVE×2")&amp;IF(足元帳!AJ88="","","MM"&amp;足元帳!AJ88)&amp;IF(足元帳!AW88="","",W102&amp;"利用"&amp;足元帳!AW88)&amp;IF(足元帳!AX88="",""," 優待券配布"&amp;足元帳!AX88)&amp;IF(足元帳!AU88="","","メルマガ")</f>
        <v/>
      </c>
      <c r="AC102" s="636"/>
      <c r="AD102" s="636"/>
      <c r="AE102" s="636"/>
      <c r="AF102" s="636"/>
      <c r="AG102" s="636"/>
      <c r="AH102" s="636"/>
      <c r="AI102" s="636"/>
      <c r="AJ102" s="636"/>
      <c r="AK102" s="636"/>
      <c r="AL102" s="636"/>
      <c r="AM102" s="636"/>
      <c r="AN102" s="636"/>
      <c r="AO102" s="636"/>
      <c r="AP102" s="636"/>
      <c r="AQ102" s="662"/>
      <c r="AR102" s="113" t="str">
        <f>IF(足元帳!A88="","",足元帳!A88)</f>
        <v/>
      </c>
      <c r="AS102" s="123">
        <f>COUNTIF(AR$4:AR102,AR102)</f>
        <v>99</v>
      </c>
    </row>
    <row r="103" spans="1:45" ht="23.45" customHeight="1">
      <c r="A103" s="586">
        <f t="shared" si="2"/>
        <v>88</v>
      </c>
      <c r="B103" s="566"/>
      <c r="C103" s="73" t="str">
        <f>IF(足元帳!AY89=1,"N",IF(足元帳!AY89=2,"R",""))</f>
        <v/>
      </c>
      <c r="D103" s="74" t="str">
        <f>IF(足元帳!AZ89&gt;0,VLOOKUP(足元帳!AZ89,管理シート!$R$4:$V$12,5,FALSE),"")</f>
        <v/>
      </c>
      <c r="E103" s="587" t="str">
        <f>IF(足元帳!J89="","",足元帳!J89)</f>
        <v/>
      </c>
      <c r="F103" s="566"/>
      <c r="G103" s="587" t="str">
        <f>IF(足元帳!K89="","",足元帳!K89)</f>
        <v/>
      </c>
      <c r="H103" s="565"/>
      <c r="I103" s="565"/>
      <c r="J103" s="566"/>
      <c r="K103" s="587" t="str">
        <f>IF(足元帳!BB89&gt;0,VLOOKUP(足元帳!BB89,管理シート!$R$4:$W$12,4,FALSE),"")</f>
        <v/>
      </c>
      <c r="L103" s="565"/>
      <c r="M103" s="566"/>
      <c r="N103" s="587" t="str">
        <f>IF(足元帳!U89="","",足元帳!U89)&amp;IF(足元帳!V89="","",足元帳!V89)&amp;IF(足元帳!W89="","",足元帳!W89)&amp;IF(足元帳!X89="","",足元帳!X89)&amp;IF(足元帳!Y89="","",足元帳!Y89)&amp;IF(足元帳!Z89="","",足元帳!Z89)</f>
        <v/>
      </c>
      <c r="O103" s="565"/>
      <c r="P103" s="565"/>
      <c r="Q103" s="565"/>
      <c r="R103" s="565"/>
      <c r="S103" s="566"/>
      <c r="T103" s="661" t="str">
        <f ca="1">IFERROR(INDEX(管理シート!$CB$3:$CK$24,MATCH(W103,管理シート!$CB$3:$CB$24,0),MATCH(K103,管理シート!$CB$3:$CM$3,0)),"")</f>
        <v/>
      </c>
      <c r="U103" s="661"/>
      <c r="V103" s="661"/>
      <c r="W103" s="587" t="str">
        <f ca="1">IF(ISERROR(MATCH("●",足元帳!AA89:AJ89,0)),"",INDIRECT("足元帳!R1C"&amp;MATCH("●",足元帳!AA89:AJ89,0)+26,FALSE))</f>
        <v/>
      </c>
      <c r="X103" s="565"/>
      <c r="Y103" s="566"/>
      <c r="Z103" s="587" t="str">
        <f>IF(足元帳!AL89="","","○")</f>
        <v/>
      </c>
      <c r="AA103" s="566"/>
      <c r="AB103" s="635" t="str">
        <f>IF(足元帳!AM89="","","現金カード払い"&amp;足元帳!AM89&amp;"  ")&amp;IF(足元帳!AP89="","",足元帳!AP89&amp;"　")&amp;IF(足元帳!AQ89="","",足元帳!AQ89&amp;"　")&amp;IF(足元帳!AR89="","",足元帳!AR89&amp;"　")&amp;IF(足元帳!AS89="","",足元帳!AS89&amp;"　")&amp;IF(足元帳!AT89="","",足元帳!AT89&amp;"　")&amp;IF(足元帳!AN89="","","LOVE×2")&amp;IF(足元帳!AJ89="","","MM"&amp;足元帳!AJ89)&amp;IF(足元帳!AW89="","",W103&amp;"利用"&amp;足元帳!AW89)&amp;IF(足元帳!AX89="",""," 優待券配布"&amp;足元帳!AX89)&amp;IF(足元帳!AU89="","","メルマガ")</f>
        <v/>
      </c>
      <c r="AC103" s="636"/>
      <c r="AD103" s="636"/>
      <c r="AE103" s="636"/>
      <c r="AF103" s="636"/>
      <c r="AG103" s="636"/>
      <c r="AH103" s="636"/>
      <c r="AI103" s="636"/>
      <c r="AJ103" s="636"/>
      <c r="AK103" s="636"/>
      <c r="AL103" s="636"/>
      <c r="AM103" s="636"/>
      <c r="AN103" s="636"/>
      <c r="AO103" s="636"/>
      <c r="AP103" s="636"/>
      <c r="AQ103" s="662"/>
      <c r="AR103" s="113" t="str">
        <f>IF(足元帳!A89="","",足元帳!A89)</f>
        <v/>
      </c>
      <c r="AS103" s="123">
        <f>COUNTIF(AR$4:AR103,AR103)</f>
        <v>100</v>
      </c>
    </row>
    <row r="104" spans="1:45" ht="23.45" customHeight="1">
      <c r="A104" s="586">
        <f t="shared" si="2"/>
        <v>89</v>
      </c>
      <c r="B104" s="566"/>
      <c r="C104" s="73" t="str">
        <f>IF(足元帳!AY90=1,"N",IF(足元帳!AY90=2,"R",""))</f>
        <v/>
      </c>
      <c r="D104" s="74" t="str">
        <f>IF(足元帳!AZ90&gt;0,VLOOKUP(足元帳!AZ90,管理シート!$R$4:$V$12,5,FALSE),"")</f>
        <v/>
      </c>
      <c r="E104" s="587" t="str">
        <f>IF(足元帳!J90="","",足元帳!J90)</f>
        <v/>
      </c>
      <c r="F104" s="566"/>
      <c r="G104" s="587" t="str">
        <f>IF(足元帳!K90="","",足元帳!K90)</f>
        <v/>
      </c>
      <c r="H104" s="565"/>
      <c r="I104" s="565"/>
      <c r="J104" s="566"/>
      <c r="K104" s="587" t="str">
        <f>IF(足元帳!BB90&gt;0,VLOOKUP(足元帳!BB90,管理シート!$R$4:$W$12,4,FALSE),"")</f>
        <v/>
      </c>
      <c r="L104" s="565"/>
      <c r="M104" s="566"/>
      <c r="N104" s="587" t="str">
        <f>IF(足元帳!U90="","",足元帳!U90)&amp;IF(足元帳!V90="","",足元帳!V90)&amp;IF(足元帳!W90="","",足元帳!W90)&amp;IF(足元帳!X90="","",足元帳!X90)&amp;IF(足元帳!Y90="","",足元帳!Y90)&amp;IF(足元帳!Z90="","",足元帳!Z90)</f>
        <v/>
      </c>
      <c r="O104" s="565"/>
      <c r="P104" s="565"/>
      <c r="Q104" s="565"/>
      <c r="R104" s="565"/>
      <c r="S104" s="566"/>
      <c r="T104" s="661" t="str">
        <f ca="1">IFERROR(INDEX(管理シート!$CB$3:$CK$24,MATCH(W104,管理シート!$CB$3:$CB$24,0),MATCH(K104,管理シート!$CB$3:$CM$3,0)),"")</f>
        <v/>
      </c>
      <c r="U104" s="661"/>
      <c r="V104" s="661"/>
      <c r="W104" s="587" t="str">
        <f ca="1">IF(ISERROR(MATCH("●",足元帳!AA90:AJ90,0)),"",INDIRECT("足元帳!R1C"&amp;MATCH("●",足元帳!AA90:AJ90,0)+26,FALSE))</f>
        <v/>
      </c>
      <c r="X104" s="565"/>
      <c r="Y104" s="566"/>
      <c r="Z104" s="587" t="str">
        <f>IF(足元帳!AL90="","","○")</f>
        <v/>
      </c>
      <c r="AA104" s="566"/>
      <c r="AB104" s="635" t="str">
        <f>IF(足元帳!AM90="","","現金カード払い"&amp;足元帳!AM90&amp;"  ")&amp;IF(足元帳!AP90="","",足元帳!AP90&amp;"　")&amp;IF(足元帳!AQ90="","",足元帳!AQ90&amp;"　")&amp;IF(足元帳!AR90="","",足元帳!AR90&amp;"　")&amp;IF(足元帳!AS90="","",足元帳!AS90&amp;"　")&amp;IF(足元帳!AT90="","",足元帳!AT90&amp;"　")&amp;IF(足元帳!AN90="","","LOVE×2")&amp;IF(足元帳!AJ90="","","MM"&amp;足元帳!AJ90)&amp;IF(足元帳!AW90="","",W104&amp;"利用"&amp;足元帳!AW90)&amp;IF(足元帳!AX90="",""," 優待券配布"&amp;足元帳!AX90)&amp;IF(足元帳!AU90="","","メルマガ")</f>
        <v/>
      </c>
      <c r="AC104" s="636"/>
      <c r="AD104" s="636"/>
      <c r="AE104" s="636"/>
      <c r="AF104" s="636"/>
      <c r="AG104" s="636"/>
      <c r="AH104" s="636"/>
      <c r="AI104" s="636"/>
      <c r="AJ104" s="636"/>
      <c r="AK104" s="636"/>
      <c r="AL104" s="636"/>
      <c r="AM104" s="636"/>
      <c r="AN104" s="636"/>
      <c r="AO104" s="636"/>
      <c r="AP104" s="636"/>
      <c r="AQ104" s="662"/>
      <c r="AR104" s="113" t="str">
        <f>IF(足元帳!A90="","",足元帳!A90)</f>
        <v/>
      </c>
      <c r="AS104" s="123">
        <f>COUNTIF(AR$4:AR104,AR104)</f>
        <v>101</v>
      </c>
    </row>
    <row r="105" spans="1:45" ht="23.45" customHeight="1">
      <c r="A105" s="586">
        <f t="shared" si="2"/>
        <v>90</v>
      </c>
      <c r="B105" s="566"/>
      <c r="C105" s="73" t="str">
        <f>IF(足元帳!AY91=1,"N",IF(足元帳!AY91=2,"R",""))</f>
        <v/>
      </c>
      <c r="D105" s="74" t="str">
        <f>IF(足元帳!AZ91&gt;0,VLOOKUP(足元帳!AZ91,管理シート!$R$4:$V$12,5,FALSE),"")</f>
        <v/>
      </c>
      <c r="E105" s="587" t="str">
        <f>IF(足元帳!J91="","",足元帳!J91)</f>
        <v/>
      </c>
      <c r="F105" s="566"/>
      <c r="G105" s="587" t="str">
        <f>IF(足元帳!K91="","",足元帳!K91)</f>
        <v/>
      </c>
      <c r="H105" s="565"/>
      <c r="I105" s="565"/>
      <c r="J105" s="566"/>
      <c r="K105" s="587" t="str">
        <f>IF(足元帳!BB91&gt;0,VLOOKUP(足元帳!BB91,管理シート!$R$4:$W$12,4,FALSE),"")</f>
        <v/>
      </c>
      <c r="L105" s="565"/>
      <c r="M105" s="566"/>
      <c r="N105" s="587" t="str">
        <f>IF(足元帳!U91="","",足元帳!U91)&amp;IF(足元帳!V91="","",足元帳!V91)&amp;IF(足元帳!W91="","",足元帳!W91)&amp;IF(足元帳!X91="","",足元帳!X91)&amp;IF(足元帳!Y91="","",足元帳!Y91)&amp;IF(足元帳!Z91="","",足元帳!Z91)</f>
        <v/>
      </c>
      <c r="O105" s="565"/>
      <c r="P105" s="565"/>
      <c r="Q105" s="565"/>
      <c r="R105" s="565"/>
      <c r="S105" s="566"/>
      <c r="T105" s="661" t="str">
        <f ca="1">IFERROR(INDEX(管理シート!$CB$3:$CK$24,MATCH(W105,管理シート!$CB$3:$CB$24,0),MATCH(K105,管理シート!$CB$3:$CM$3,0)),"")</f>
        <v/>
      </c>
      <c r="U105" s="661"/>
      <c r="V105" s="661"/>
      <c r="W105" s="587" t="str">
        <f ca="1">IF(ISERROR(MATCH("●",足元帳!AA91:AJ91,0)),"",INDIRECT("足元帳!R1C"&amp;MATCH("●",足元帳!AA91:AJ91,0)+26,FALSE))</f>
        <v/>
      </c>
      <c r="X105" s="565"/>
      <c r="Y105" s="566"/>
      <c r="Z105" s="587" t="str">
        <f>IF(足元帳!AL91="","","○")</f>
        <v/>
      </c>
      <c r="AA105" s="566"/>
      <c r="AB105" s="635" t="str">
        <f>IF(足元帳!AM91="","","現金カード払い"&amp;足元帳!AM91&amp;"  ")&amp;IF(足元帳!AP91="","",足元帳!AP91&amp;"　")&amp;IF(足元帳!AQ91="","",足元帳!AQ91&amp;"　")&amp;IF(足元帳!AR91="","",足元帳!AR91&amp;"　")&amp;IF(足元帳!AS91="","",足元帳!AS91&amp;"　")&amp;IF(足元帳!AT91="","",足元帳!AT91&amp;"　")&amp;IF(足元帳!AN91="","","LOVE×2")&amp;IF(足元帳!AJ91="","","MM"&amp;足元帳!AJ91)&amp;IF(足元帳!AW91="","",W105&amp;"利用"&amp;足元帳!AW91)&amp;IF(足元帳!AX91="",""," 優待券配布"&amp;足元帳!AX91)&amp;IF(足元帳!AU91="","","メルマガ")</f>
        <v/>
      </c>
      <c r="AC105" s="636"/>
      <c r="AD105" s="636"/>
      <c r="AE105" s="636"/>
      <c r="AF105" s="636"/>
      <c r="AG105" s="636"/>
      <c r="AH105" s="636"/>
      <c r="AI105" s="636"/>
      <c r="AJ105" s="636"/>
      <c r="AK105" s="636"/>
      <c r="AL105" s="636"/>
      <c r="AM105" s="636"/>
      <c r="AN105" s="636"/>
      <c r="AO105" s="636"/>
      <c r="AP105" s="636"/>
      <c r="AQ105" s="662"/>
      <c r="AR105" s="113" t="str">
        <f>IF(足元帳!A91="","",足元帳!A91)</f>
        <v/>
      </c>
      <c r="AS105" s="123">
        <f>COUNTIF(AR$4:AR105,AR105)</f>
        <v>102</v>
      </c>
    </row>
    <row r="106" spans="1:45" ht="23.45" customHeight="1">
      <c r="A106" s="586">
        <f t="shared" si="2"/>
        <v>91</v>
      </c>
      <c r="B106" s="566"/>
      <c r="C106" s="73" t="str">
        <f>IF(足元帳!AY92=1,"N",IF(足元帳!AY92=2,"R",""))</f>
        <v/>
      </c>
      <c r="D106" s="74" t="str">
        <f>IF(足元帳!AZ92&gt;0,VLOOKUP(足元帳!AZ92,管理シート!$R$4:$V$12,5,FALSE),"")</f>
        <v/>
      </c>
      <c r="E106" s="587" t="str">
        <f>IF(足元帳!J92="","",足元帳!J92)</f>
        <v/>
      </c>
      <c r="F106" s="566"/>
      <c r="G106" s="587" t="str">
        <f>IF(足元帳!K92="","",足元帳!K92)</f>
        <v/>
      </c>
      <c r="H106" s="565"/>
      <c r="I106" s="565"/>
      <c r="J106" s="566"/>
      <c r="K106" s="587" t="str">
        <f>IF(足元帳!BB92&gt;0,VLOOKUP(足元帳!BB92,管理シート!$R$4:$W$12,4,FALSE),"")</f>
        <v/>
      </c>
      <c r="L106" s="565"/>
      <c r="M106" s="566"/>
      <c r="N106" s="587" t="str">
        <f>IF(足元帳!U92="","",足元帳!U92)&amp;IF(足元帳!V92="","",足元帳!V92)&amp;IF(足元帳!W92="","",足元帳!W92)&amp;IF(足元帳!X92="","",足元帳!X92)&amp;IF(足元帳!Y92="","",足元帳!Y92)&amp;IF(足元帳!Z92="","",足元帳!Z92)</f>
        <v/>
      </c>
      <c r="O106" s="565"/>
      <c r="P106" s="565"/>
      <c r="Q106" s="565"/>
      <c r="R106" s="565"/>
      <c r="S106" s="566"/>
      <c r="T106" s="661" t="str">
        <f ca="1">IFERROR(INDEX(管理シート!$CB$3:$CK$24,MATCH(W106,管理シート!$CB$3:$CB$24,0),MATCH(K106,管理シート!$CB$3:$CM$3,0)),"")</f>
        <v/>
      </c>
      <c r="U106" s="661"/>
      <c r="V106" s="661"/>
      <c r="W106" s="587" t="str">
        <f ca="1">IF(ISERROR(MATCH("●",足元帳!AA92:AJ92,0)),"",INDIRECT("足元帳!R1C"&amp;MATCH("●",足元帳!AA92:AJ92,0)+26,FALSE))</f>
        <v/>
      </c>
      <c r="X106" s="565"/>
      <c r="Y106" s="566"/>
      <c r="Z106" s="587" t="str">
        <f>IF(足元帳!AL92="","","○")</f>
        <v/>
      </c>
      <c r="AA106" s="566"/>
      <c r="AB106" s="635" t="str">
        <f>IF(足元帳!AM92="","","現金カード払い"&amp;足元帳!AM92&amp;"  ")&amp;IF(足元帳!AP92="","",足元帳!AP92&amp;"　")&amp;IF(足元帳!AQ92="","",足元帳!AQ92&amp;"　")&amp;IF(足元帳!AR92="","",足元帳!AR92&amp;"　")&amp;IF(足元帳!AS92="","",足元帳!AS92&amp;"　")&amp;IF(足元帳!AT92="","",足元帳!AT92&amp;"　")&amp;IF(足元帳!AN92="","","LOVE×2")&amp;IF(足元帳!AJ92="","","MM"&amp;足元帳!AJ92)&amp;IF(足元帳!AW92="","",W106&amp;"利用"&amp;足元帳!AW92)&amp;IF(足元帳!AX92="",""," 優待券配布"&amp;足元帳!AX92)&amp;IF(足元帳!AU92="","","メルマガ")</f>
        <v/>
      </c>
      <c r="AC106" s="636"/>
      <c r="AD106" s="636"/>
      <c r="AE106" s="636"/>
      <c r="AF106" s="636"/>
      <c r="AG106" s="636"/>
      <c r="AH106" s="636"/>
      <c r="AI106" s="636"/>
      <c r="AJ106" s="636"/>
      <c r="AK106" s="636"/>
      <c r="AL106" s="636"/>
      <c r="AM106" s="636"/>
      <c r="AN106" s="636"/>
      <c r="AO106" s="636"/>
      <c r="AP106" s="636"/>
      <c r="AQ106" s="662"/>
      <c r="AR106" s="113" t="str">
        <f>IF(足元帳!A92="","",足元帳!A92)</f>
        <v/>
      </c>
      <c r="AS106" s="123">
        <f>COUNTIF(AR$4:AR106,AR106)</f>
        <v>103</v>
      </c>
    </row>
    <row r="107" spans="1:45" ht="23.45" customHeight="1">
      <c r="A107" s="586">
        <f t="shared" si="2"/>
        <v>92</v>
      </c>
      <c r="B107" s="566"/>
      <c r="C107" s="73" t="str">
        <f>IF(足元帳!AY93=1,"N",IF(足元帳!AY93=2,"R",""))</f>
        <v/>
      </c>
      <c r="D107" s="74" t="str">
        <f>IF(足元帳!AZ93&gt;0,VLOOKUP(足元帳!AZ93,管理シート!$R$4:$V$12,5,FALSE),"")</f>
        <v/>
      </c>
      <c r="E107" s="587" t="str">
        <f>IF(足元帳!J93="","",足元帳!J93)</f>
        <v/>
      </c>
      <c r="F107" s="566"/>
      <c r="G107" s="587" t="str">
        <f>IF(足元帳!K93="","",足元帳!K93)</f>
        <v/>
      </c>
      <c r="H107" s="565"/>
      <c r="I107" s="565"/>
      <c r="J107" s="566"/>
      <c r="K107" s="587" t="str">
        <f>IF(足元帳!BB93&gt;0,VLOOKUP(足元帳!BB93,管理シート!$R$4:$W$12,4,FALSE),"")</f>
        <v/>
      </c>
      <c r="L107" s="565"/>
      <c r="M107" s="566"/>
      <c r="N107" s="587" t="str">
        <f>IF(足元帳!U93="","",足元帳!U93)&amp;IF(足元帳!V93="","",足元帳!V93)&amp;IF(足元帳!W93="","",足元帳!W93)&amp;IF(足元帳!X93="","",足元帳!X93)&amp;IF(足元帳!Y93="","",足元帳!Y93)&amp;IF(足元帳!Z93="","",足元帳!Z93)</f>
        <v/>
      </c>
      <c r="O107" s="565"/>
      <c r="P107" s="565"/>
      <c r="Q107" s="565"/>
      <c r="R107" s="565"/>
      <c r="S107" s="566"/>
      <c r="T107" s="661" t="str">
        <f ca="1">IFERROR(INDEX(管理シート!$CB$3:$CK$24,MATCH(W107,管理シート!$CB$3:$CB$24,0),MATCH(K107,管理シート!$CB$3:$CM$3,0)),"")</f>
        <v/>
      </c>
      <c r="U107" s="661"/>
      <c r="V107" s="661"/>
      <c r="W107" s="587" t="str">
        <f ca="1">IF(ISERROR(MATCH("●",足元帳!AA93:AJ93,0)),"",INDIRECT("足元帳!R1C"&amp;MATCH("●",足元帳!AA93:AJ93,0)+26,FALSE))</f>
        <v/>
      </c>
      <c r="X107" s="565"/>
      <c r="Y107" s="566"/>
      <c r="Z107" s="587" t="str">
        <f>IF(足元帳!AL93="","","○")</f>
        <v/>
      </c>
      <c r="AA107" s="566"/>
      <c r="AB107" s="635" t="str">
        <f>IF(足元帳!AM93="","","現金カード払い"&amp;足元帳!AM93&amp;"  ")&amp;IF(足元帳!AP93="","",足元帳!AP93&amp;"　")&amp;IF(足元帳!AQ93="","",足元帳!AQ93&amp;"　")&amp;IF(足元帳!AR93="","",足元帳!AR93&amp;"　")&amp;IF(足元帳!AS93="","",足元帳!AS93&amp;"　")&amp;IF(足元帳!AT93="","",足元帳!AT93&amp;"　")&amp;IF(足元帳!AN93="","","LOVE×2")&amp;IF(足元帳!AJ93="","","MM"&amp;足元帳!AJ93)&amp;IF(足元帳!AW93="","",W107&amp;"利用"&amp;足元帳!AW93)&amp;IF(足元帳!AX93="",""," 優待券配布"&amp;足元帳!AX93)&amp;IF(足元帳!AU93="","","メルマガ")</f>
        <v/>
      </c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62"/>
      <c r="AR107" s="113" t="str">
        <f>IF(足元帳!A93="","",足元帳!A93)</f>
        <v/>
      </c>
      <c r="AS107" s="123">
        <f>COUNTIF(AR$4:AR107,AR107)</f>
        <v>104</v>
      </c>
    </row>
    <row r="108" spans="1:45" ht="23.45" customHeight="1">
      <c r="A108" s="586">
        <f t="shared" si="2"/>
        <v>93</v>
      </c>
      <c r="B108" s="566"/>
      <c r="C108" s="73" t="str">
        <f>IF(足元帳!AY94=1,"N",IF(足元帳!AY94=2,"R",""))</f>
        <v/>
      </c>
      <c r="D108" s="74" t="str">
        <f>IF(足元帳!AZ94&gt;0,VLOOKUP(足元帳!AZ94,管理シート!$R$4:$V$12,5,FALSE),"")</f>
        <v/>
      </c>
      <c r="E108" s="587" t="str">
        <f>IF(足元帳!J94="","",足元帳!J94)</f>
        <v/>
      </c>
      <c r="F108" s="566"/>
      <c r="G108" s="587" t="str">
        <f>IF(足元帳!K94="","",足元帳!K94)</f>
        <v/>
      </c>
      <c r="H108" s="565"/>
      <c r="I108" s="565"/>
      <c r="J108" s="566"/>
      <c r="K108" s="587" t="str">
        <f>IF(足元帳!BB94&gt;0,VLOOKUP(足元帳!BB94,管理シート!$R$4:$W$12,4,FALSE),"")</f>
        <v/>
      </c>
      <c r="L108" s="565"/>
      <c r="M108" s="566"/>
      <c r="N108" s="587" t="str">
        <f>IF(足元帳!U94="","",足元帳!U94)&amp;IF(足元帳!V94="","",足元帳!V94)&amp;IF(足元帳!W94="","",足元帳!W94)&amp;IF(足元帳!X94="","",足元帳!X94)&amp;IF(足元帳!Y94="","",足元帳!Y94)&amp;IF(足元帳!Z94="","",足元帳!Z94)</f>
        <v/>
      </c>
      <c r="O108" s="565"/>
      <c r="P108" s="565"/>
      <c r="Q108" s="565"/>
      <c r="R108" s="565"/>
      <c r="S108" s="566"/>
      <c r="T108" s="661" t="str">
        <f ca="1">IFERROR(INDEX(管理シート!$CB$3:$CK$24,MATCH(W108,管理シート!$CB$3:$CB$24,0),MATCH(K108,管理シート!$CB$3:$CM$3,0)),"")</f>
        <v/>
      </c>
      <c r="U108" s="661"/>
      <c r="V108" s="661"/>
      <c r="W108" s="587" t="str">
        <f ca="1">IF(ISERROR(MATCH("●",足元帳!AA94:AJ94,0)),"",INDIRECT("足元帳!R1C"&amp;MATCH("●",足元帳!AA94:AJ94,0)+26,FALSE))</f>
        <v/>
      </c>
      <c r="X108" s="565"/>
      <c r="Y108" s="566"/>
      <c r="Z108" s="587" t="str">
        <f>IF(足元帳!AL94="","","○")</f>
        <v/>
      </c>
      <c r="AA108" s="566"/>
      <c r="AB108" s="635" t="str">
        <f>IF(足元帳!AM94="","","現金カード払い"&amp;足元帳!AM94&amp;"  ")&amp;IF(足元帳!AP94="","",足元帳!AP94&amp;"　")&amp;IF(足元帳!AQ94="","",足元帳!AQ94&amp;"　")&amp;IF(足元帳!AR94="","",足元帳!AR94&amp;"　")&amp;IF(足元帳!AS94="","",足元帳!AS94&amp;"　")&amp;IF(足元帳!AT94="","",足元帳!AT94&amp;"　")&amp;IF(足元帳!AN94="","","LOVE×2")&amp;IF(足元帳!AJ94="","","MM"&amp;足元帳!AJ94)&amp;IF(足元帳!AW94="","",W108&amp;"利用"&amp;足元帳!AW94)&amp;IF(足元帳!AX94="",""," 優待券配布"&amp;足元帳!AX94)&amp;IF(足元帳!AU94="","","メルマガ")</f>
        <v/>
      </c>
      <c r="AC108" s="636"/>
      <c r="AD108" s="636"/>
      <c r="AE108" s="636"/>
      <c r="AF108" s="636"/>
      <c r="AG108" s="636"/>
      <c r="AH108" s="636"/>
      <c r="AI108" s="636"/>
      <c r="AJ108" s="636"/>
      <c r="AK108" s="636"/>
      <c r="AL108" s="636"/>
      <c r="AM108" s="636"/>
      <c r="AN108" s="636"/>
      <c r="AO108" s="636"/>
      <c r="AP108" s="636"/>
      <c r="AQ108" s="662"/>
      <c r="AR108" s="113" t="str">
        <f>IF(足元帳!A94="","",足元帳!A94)</f>
        <v/>
      </c>
      <c r="AS108" s="123">
        <f>COUNTIF(AR$4:AR108,AR108)</f>
        <v>105</v>
      </c>
    </row>
    <row r="109" spans="1:45" ht="23.45" customHeight="1">
      <c r="A109" s="586">
        <f t="shared" si="2"/>
        <v>94</v>
      </c>
      <c r="B109" s="566"/>
      <c r="C109" s="73" t="str">
        <f>IF(足元帳!AY95=1,"N",IF(足元帳!AY95=2,"R",""))</f>
        <v/>
      </c>
      <c r="D109" s="74" t="str">
        <f>IF(足元帳!AZ95&gt;0,VLOOKUP(足元帳!AZ95,管理シート!$R$4:$V$12,5,FALSE),"")</f>
        <v/>
      </c>
      <c r="E109" s="587" t="str">
        <f>IF(足元帳!J95="","",足元帳!J95)</f>
        <v/>
      </c>
      <c r="F109" s="566"/>
      <c r="G109" s="587" t="str">
        <f>IF(足元帳!K95="","",足元帳!K95)</f>
        <v/>
      </c>
      <c r="H109" s="565"/>
      <c r="I109" s="565"/>
      <c r="J109" s="566"/>
      <c r="K109" s="587" t="str">
        <f>IF(足元帳!BB95&gt;0,VLOOKUP(足元帳!BB95,管理シート!$R$4:$W$12,4,FALSE),"")</f>
        <v/>
      </c>
      <c r="L109" s="565"/>
      <c r="M109" s="566"/>
      <c r="N109" s="587" t="str">
        <f>IF(足元帳!U95="","",足元帳!U95)&amp;IF(足元帳!V95="","",足元帳!V95)&amp;IF(足元帳!W95="","",足元帳!W95)&amp;IF(足元帳!X95="","",足元帳!X95)&amp;IF(足元帳!Y95="","",足元帳!Y95)&amp;IF(足元帳!Z95="","",足元帳!Z95)</f>
        <v/>
      </c>
      <c r="O109" s="565"/>
      <c r="P109" s="565"/>
      <c r="Q109" s="565"/>
      <c r="R109" s="565"/>
      <c r="S109" s="566"/>
      <c r="T109" s="661" t="str">
        <f ca="1">IFERROR(INDEX(管理シート!$CB$3:$CK$24,MATCH(W109,管理シート!$CB$3:$CB$24,0),MATCH(K109,管理シート!$CB$3:$CM$3,0)),"")</f>
        <v/>
      </c>
      <c r="U109" s="661"/>
      <c r="V109" s="661"/>
      <c r="W109" s="587" t="str">
        <f ca="1">IF(ISERROR(MATCH("●",足元帳!AA95:AJ95,0)),"",INDIRECT("足元帳!R1C"&amp;MATCH("●",足元帳!AA95:AJ95,0)+26,FALSE))</f>
        <v/>
      </c>
      <c r="X109" s="565"/>
      <c r="Y109" s="566"/>
      <c r="Z109" s="587" t="str">
        <f>IF(足元帳!AL95="","","○")</f>
        <v/>
      </c>
      <c r="AA109" s="566"/>
      <c r="AB109" s="635" t="str">
        <f>IF(足元帳!AM95="","","現金カード払い"&amp;足元帳!AM95&amp;"  ")&amp;IF(足元帳!AP95="","",足元帳!AP95&amp;"　")&amp;IF(足元帳!AQ95="","",足元帳!AQ95&amp;"　")&amp;IF(足元帳!AR95="","",足元帳!AR95&amp;"　")&amp;IF(足元帳!AS95="","",足元帳!AS95&amp;"　")&amp;IF(足元帳!AT95="","",足元帳!AT95&amp;"　")&amp;IF(足元帳!AN95="","","LOVE×2")&amp;IF(足元帳!AJ95="","","MM"&amp;足元帳!AJ95)&amp;IF(足元帳!AW95="","",W109&amp;"利用"&amp;足元帳!AW95)&amp;IF(足元帳!AX95="",""," 優待券配布"&amp;足元帳!AX95)&amp;IF(足元帳!AU95="","","メルマガ")</f>
        <v/>
      </c>
      <c r="AC109" s="636"/>
      <c r="AD109" s="636"/>
      <c r="AE109" s="636"/>
      <c r="AF109" s="636"/>
      <c r="AG109" s="636"/>
      <c r="AH109" s="636"/>
      <c r="AI109" s="636"/>
      <c r="AJ109" s="636"/>
      <c r="AK109" s="636"/>
      <c r="AL109" s="636"/>
      <c r="AM109" s="636"/>
      <c r="AN109" s="636"/>
      <c r="AO109" s="636"/>
      <c r="AP109" s="636"/>
      <c r="AQ109" s="662"/>
      <c r="AR109" s="113" t="str">
        <f>IF(足元帳!A95="","",足元帳!A95)</f>
        <v/>
      </c>
      <c r="AS109" s="123">
        <f>COUNTIF(AR$4:AR109,AR109)</f>
        <v>106</v>
      </c>
    </row>
    <row r="110" spans="1:45" ht="23.45" customHeight="1">
      <c r="A110" s="586">
        <f t="shared" si="2"/>
        <v>95</v>
      </c>
      <c r="B110" s="566"/>
      <c r="C110" s="73" t="str">
        <f>IF(足元帳!AY96=1,"N",IF(足元帳!AY96=2,"R",""))</f>
        <v/>
      </c>
      <c r="D110" s="74" t="str">
        <f>IF(足元帳!AZ96&gt;0,VLOOKUP(足元帳!AZ96,管理シート!$R$4:$V$12,5,FALSE),"")</f>
        <v/>
      </c>
      <c r="E110" s="587" t="str">
        <f>IF(足元帳!J96="","",足元帳!J96)</f>
        <v/>
      </c>
      <c r="F110" s="566"/>
      <c r="G110" s="587" t="str">
        <f>IF(足元帳!K96="","",足元帳!K96)</f>
        <v/>
      </c>
      <c r="H110" s="565"/>
      <c r="I110" s="565"/>
      <c r="J110" s="566"/>
      <c r="K110" s="587" t="str">
        <f>IF(足元帳!BB96&gt;0,VLOOKUP(足元帳!BB96,管理シート!$R$4:$W$12,4,FALSE),"")</f>
        <v/>
      </c>
      <c r="L110" s="565"/>
      <c r="M110" s="566"/>
      <c r="N110" s="587" t="str">
        <f>IF(足元帳!U96="","",足元帳!U96)&amp;IF(足元帳!V96="","",足元帳!V96)&amp;IF(足元帳!W96="","",足元帳!W96)&amp;IF(足元帳!X96="","",足元帳!X96)&amp;IF(足元帳!Y96="","",足元帳!Y96)&amp;IF(足元帳!Z96="","",足元帳!Z96)</f>
        <v/>
      </c>
      <c r="O110" s="565"/>
      <c r="P110" s="565"/>
      <c r="Q110" s="565"/>
      <c r="R110" s="565"/>
      <c r="S110" s="566"/>
      <c r="T110" s="661" t="str">
        <f ca="1">IFERROR(INDEX(管理シート!$CB$3:$CK$24,MATCH(W110,管理シート!$CB$3:$CB$24,0),MATCH(K110,管理シート!$CB$3:$CM$3,0)),"")</f>
        <v/>
      </c>
      <c r="U110" s="661"/>
      <c r="V110" s="661"/>
      <c r="W110" s="587" t="str">
        <f ca="1">IF(ISERROR(MATCH("●",足元帳!AA96:AJ96,0)),"",INDIRECT("足元帳!R1C"&amp;MATCH("●",足元帳!AA96:AJ96,0)+26,FALSE))</f>
        <v/>
      </c>
      <c r="X110" s="565"/>
      <c r="Y110" s="566"/>
      <c r="Z110" s="587" t="str">
        <f>IF(足元帳!AL96="","","○")</f>
        <v/>
      </c>
      <c r="AA110" s="566"/>
      <c r="AB110" s="635" t="str">
        <f>IF(足元帳!AM96="","","現金カード払い"&amp;足元帳!AM96&amp;"  ")&amp;IF(足元帳!AP96="","",足元帳!AP96&amp;"　")&amp;IF(足元帳!AQ96="","",足元帳!AQ96&amp;"　")&amp;IF(足元帳!AR96="","",足元帳!AR96&amp;"　")&amp;IF(足元帳!AS96="","",足元帳!AS96&amp;"　")&amp;IF(足元帳!AT96="","",足元帳!AT96&amp;"　")&amp;IF(足元帳!AN96="","","LOVE×2")&amp;IF(足元帳!AJ96="","","MM"&amp;足元帳!AJ96)&amp;IF(足元帳!AW96="","",W110&amp;"利用"&amp;足元帳!AW96)&amp;IF(足元帳!AX96="",""," 優待券配布"&amp;足元帳!AX96)&amp;IF(足元帳!AU96="","","メルマガ")</f>
        <v/>
      </c>
      <c r="AC110" s="636"/>
      <c r="AD110" s="636"/>
      <c r="AE110" s="636"/>
      <c r="AF110" s="636"/>
      <c r="AG110" s="636"/>
      <c r="AH110" s="636"/>
      <c r="AI110" s="636"/>
      <c r="AJ110" s="636"/>
      <c r="AK110" s="636"/>
      <c r="AL110" s="636"/>
      <c r="AM110" s="636"/>
      <c r="AN110" s="636"/>
      <c r="AO110" s="636"/>
      <c r="AP110" s="636"/>
      <c r="AQ110" s="662"/>
      <c r="AR110" s="113" t="str">
        <f>IF(足元帳!A96="","",足元帳!A96)</f>
        <v/>
      </c>
      <c r="AS110" s="123">
        <f>COUNTIF(AR$4:AR110,AR110)</f>
        <v>107</v>
      </c>
    </row>
    <row r="111" spans="1:45" ht="23.45" customHeight="1">
      <c r="A111" s="586">
        <f t="shared" si="2"/>
        <v>96</v>
      </c>
      <c r="B111" s="566"/>
      <c r="C111" s="73" t="str">
        <f>IF(足元帳!AY97=1,"N",IF(足元帳!AY97=2,"R",""))</f>
        <v/>
      </c>
      <c r="D111" s="74" t="str">
        <f>IF(足元帳!AZ97&gt;0,VLOOKUP(足元帳!AZ97,管理シート!$R$4:$V$12,5,FALSE),"")</f>
        <v/>
      </c>
      <c r="E111" s="587" t="str">
        <f>IF(足元帳!J97="","",足元帳!J97)</f>
        <v/>
      </c>
      <c r="F111" s="566"/>
      <c r="G111" s="587" t="str">
        <f>IF(足元帳!K97="","",足元帳!K97)</f>
        <v/>
      </c>
      <c r="H111" s="565"/>
      <c r="I111" s="565"/>
      <c r="J111" s="566"/>
      <c r="K111" s="587" t="str">
        <f>IF(足元帳!BB97&gt;0,VLOOKUP(足元帳!BB97,管理シート!$R$4:$W$12,4,FALSE),"")</f>
        <v/>
      </c>
      <c r="L111" s="565"/>
      <c r="M111" s="566"/>
      <c r="N111" s="587" t="str">
        <f>IF(足元帳!U97="","",足元帳!U97)&amp;IF(足元帳!V97="","",足元帳!V97)&amp;IF(足元帳!W97="","",足元帳!W97)&amp;IF(足元帳!X97="","",足元帳!X97)&amp;IF(足元帳!Y97="","",足元帳!Y97)&amp;IF(足元帳!Z97="","",足元帳!Z97)</f>
        <v/>
      </c>
      <c r="O111" s="565"/>
      <c r="P111" s="565"/>
      <c r="Q111" s="565"/>
      <c r="R111" s="565"/>
      <c r="S111" s="566"/>
      <c r="T111" s="661" t="str">
        <f ca="1">IFERROR(INDEX(管理シート!$CB$3:$CK$24,MATCH(W111,管理シート!$CB$3:$CB$24,0),MATCH(K111,管理シート!$CB$3:$CM$3,0)),"")</f>
        <v/>
      </c>
      <c r="U111" s="661"/>
      <c r="V111" s="661"/>
      <c r="W111" s="587" t="str">
        <f ca="1">IF(ISERROR(MATCH("●",足元帳!AA97:AJ97,0)),"",INDIRECT("足元帳!R1C"&amp;MATCH("●",足元帳!AA97:AJ97,0)+26,FALSE))</f>
        <v/>
      </c>
      <c r="X111" s="565"/>
      <c r="Y111" s="566"/>
      <c r="Z111" s="587" t="str">
        <f>IF(足元帳!AL97="","","○")</f>
        <v/>
      </c>
      <c r="AA111" s="566"/>
      <c r="AB111" s="635" t="str">
        <f>IF(足元帳!AM97="","","現金カード払い"&amp;足元帳!AM97&amp;"  ")&amp;IF(足元帳!AP97="","",足元帳!AP97&amp;"　")&amp;IF(足元帳!AQ97="","",足元帳!AQ97&amp;"　")&amp;IF(足元帳!AR97="","",足元帳!AR97&amp;"　")&amp;IF(足元帳!AS97="","",足元帳!AS97&amp;"　")&amp;IF(足元帳!AT97="","",足元帳!AT97&amp;"　")&amp;IF(足元帳!AN97="","","LOVE×2")&amp;IF(足元帳!AJ97="","","MM"&amp;足元帳!AJ97)&amp;IF(足元帳!AW97="","",W111&amp;"利用"&amp;足元帳!AW97)&amp;IF(足元帳!AX97="",""," 優待券配布"&amp;足元帳!AX97)&amp;IF(足元帳!AU97="","","メルマガ")</f>
        <v/>
      </c>
      <c r="AC111" s="636"/>
      <c r="AD111" s="636"/>
      <c r="AE111" s="636"/>
      <c r="AF111" s="636"/>
      <c r="AG111" s="636"/>
      <c r="AH111" s="636"/>
      <c r="AI111" s="636"/>
      <c r="AJ111" s="636"/>
      <c r="AK111" s="636"/>
      <c r="AL111" s="636"/>
      <c r="AM111" s="636"/>
      <c r="AN111" s="636"/>
      <c r="AO111" s="636"/>
      <c r="AP111" s="636"/>
      <c r="AQ111" s="662"/>
      <c r="AR111" s="113" t="str">
        <f>IF(足元帳!A97="","",足元帳!A97)</f>
        <v/>
      </c>
      <c r="AS111" s="123">
        <f>COUNTIF(AR$4:AR111,AR111)</f>
        <v>108</v>
      </c>
    </row>
    <row r="112" spans="1:45" ht="23.45" customHeight="1">
      <c r="A112" s="586">
        <f t="shared" si="2"/>
        <v>97</v>
      </c>
      <c r="B112" s="566"/>
      <c r="C112" s="73" t="str">
        <f>IF(足元帳!AY98=1,"N",IF(足元帳!AY98=2,"R",""))</f>
        <v/>
      </c>
      <c r="D112" s="74" t="str">
        <f>IF(足元帳!AZ98&gt;0,VLOOKUP(足元帳!AZ98,管理シート!$R$4:$V$12,5,FALSE),"")</f>
        <v/>
      </c>
      <c r="E112" s="587" t="str">
        <f>IF(足元帳!J98="","",足元帳!J98)</f>
        <v/>
      </c>
      <c r="F112" s="566"/>
      <c r="G112" s="587" t="str">
        <f>IF(足元帳!K98="","",足元帳!K98)</f>
        <v/>
      </c>
      <c r="H112" s="565"/>
      <c r="I112" s="565"/>
      <c r="J112" s="566"/>
      <c r="K112" s="587" t="str">
        <f>IF(足元帳!BB98&gt;0,VLOOKUP(足元帳!BB98,管理シート!$R$4:$W$12,4,FALSE),"")</f>
        <v/>
      </c>
      <c r="L112" s="565"/>
      <c r="M112" s="566"/>
      <c r="N112" s="587" t="str">
        <f>IF(足元帳!U98="","",足元帳!U98)&amp;IF(足元帳!V98="","",足元帳!V98)&amp;IF(足元帳!W98="","",足元帳!W98)&amp;IF(足元帳!X98="","",足元帳!X98)&amp;IF(足元帳!Y98="","",足元帳!Y98)&amp;IF(足元帳!Z98="","",足元帳!Z98)</f>
        <v/>
      </c>
      <c r="O112" s="565"/>
      <c r="P112" s="565"/>
      <c r="Q112" s="565"/>
      <c r="R112" s="565"/>
      <c r="S112" s="566"/>
      <c r="T112" s="661" t="str">
        <f ca="1">IFERROR(INDEX(管理シート!$CB$3:$CK$24,MATCH(W112,管理シート!$CB$3:$CB$24,0),MATCH(K112,管理シート!$CB$3:$CM$3,0)),"")</f>
        <v/>
      </c>
      <c r="U112" s="661"/>
      <c r="V112" s="661"/>
      <c r="W112" s="587" t="str">
        <f ca="1">IF(ISERROR(MATCH("●",足元帳!AA98:AJ98,0)),"",INDIRECT("足元帳!R1C"&amp;MATCH("●",足元帳!AA98:AJ98,0)+26,FALSE))</f>
        <v/>
      </c>
      <c r="X112" s="565"/>
      <c r="Y112" s="566"/>
      <c r="Z112" s="587" t="str">
        <f>IF(足元帳!AL98="","","○")</f>
        <v/>
      </c>
      <c r="AA112" s="566"/>
      <c r="AB112" s="635" t="str">
        <f>IF(足元帳!AM98="","","現金カード払い"&amp;足元帳!AM98&amp;"  ")&amp;IF(足元帳!AP98="","",足元帳!AP98&amp;"　")&amp;IF(足元帳!AQ98="","",足元帳!AQ98&amp;"　")&amp;IF(足元帳!AR98="","",足元帳!AR98&amp;"　")&amp;IF(足元帳!AS98="","",足元帳!AS98&amp;"　")&amp;IF(足元帳!AT98="","",足元帳!AT98&amp;"　")&amp;IF(足元帳!AN98="","","LOVE×2")&amp;IF(足元帳!AJ98="","","MM"&amp;足元帳!AJ98)&amp;IF(足元帳!AW98="","",W112&amp;"利用"&amp;足元帳!AW98)&amp;IF(足元帳!AX98="",""," 優待券配布"&amp;足元帳!AX98)&amp;IF(足元帳!AU98="","","メルマガ")</f>
        <v/>
      </c>
      <c r="AC112" s="636"/>
      <c r="AD112" s="636"/>
      <c r="AE112" s="636"/>
      <c r="AF112" s="636"/>
      <c r="AG112" s="636"/>
      <c r="AH112" s="636"/>
      <c r="AI112" s="636"/>
      <c r="AJ112" s="636"/>
      <c r="AK112" s="636"/>
      <c r="AL112" s="636"/>
      <c r="AM112" s="636"/>
      <c r="AN112" s="636"/>
      <c r="AO112" s="636"/>
      <c r="AP112" s="636"/>
      <c r="AQ112" s="662"/>
      <c r="AR112" s="113" t="str">
        <f>IF(足元帳!A98="","",足元帳!A98)</f>
        <v/>
      </c>
      <c r="AS112" s="123">
        <f>COUNTIF(AR$4:AR112,AR112)</f>
        <v>109</v>
      </c>
    </row>
    <row r="113" spans="1:45" ht="23.45" customHeight="1">
      <c r="A113" s="586">
        <f t="shared" si="2"/>
        <v>98</v>
      </c>
      <c r="B113" s="566"/>
      <c r="C113" s="73" t="str">
        <f>IF(足元帳!AY99=1,"N",IF(足元帳!AY99=2,"R",""))</f>
        <v/>
      </c>
      <c r="D113" s="74" t="str">
        <f>IF(足元帳!AZ99&gt;0,VLOOKUP(足元帳!AZ99,管理シート!$R$4:$V$12,5,FALSE),"")</f>
        <v/>
      </c>
      <c r="E113" s="587" t="str">
        <f>IF(足元帳!J99="","",足元帳!J99)</f>
        <v/>
      </c>
      <c r="F113" s="566"/>
      <c r="G113" s="587" t="str">
        <f>IF(足元帳!K99="","",足元帳!K99)</f>
        <v/>
      </c>
      <c r="H113" s="565"/>
      <c r="I113" s="565"/>
      <c r="J113" s="566"/>
      <c r="K113" s="587" t="str">
        <f>IF(足元帳!BB99&gt;0,VLOOKUP(足元帳!BB99,管理シート!$R$4:$W$12,4,FALSE),"")</f>
        <v/>
      </c>
      <c r="L113" s="565"/>
      <c r="M113" s="566"/>
      <c r="N113" s="587" t="str">
        <f>IF(足元帳!U99="","",足元帳!U99)&amp;IF(足元帳!V99="","",足元帳!V99)&amp;IF(足元帳!W99="","",足元帳!W99)&amp;IF(足元帳!X99="","",足元帳!X99)&amp;IF(足元帳!Y99="","",足元帳!Y99)&amp;IF(足元帳!Z99="","",足元帳!Z99)</f>
        <v/>
      </c>
      <c r="O113" s="565"/>
      <c r="P113" s="565"/>
      <c r="Q113" s="565"/>
      <c r="R113" s="565"/>
      <c r="S113" s="566"/>
      <c r="T113" s="661" t="str">
        <f ca="1">IFERROR(INDEX(管理シート!$CB$3:$CK$24,MATCH(W113,管理シート!$CB$3:$CB$24,0),MATCH(K113,管理シート!$CB$3:$CM$3,0)),"")</f>
        <v/>
      </c>
      <c r="U113" s="661"/>
      <c r="V113" s="661"/>
      <c r="W113" s="587" t="str">
        <f ca="1">IF(ISERROR(MATCH("●",足元帳!AA99:AJ99,0)),"",INDIRECT("足元帳!R1C"&amp;MATCH("●",足元帳!AA99:AJ99,0)+26,FALSE))</f>
        <v/>
      </c>
      <c r="X113" s="565"/>
      <c r="Y113" s="566"/>
      <c r="Z113" s="587" t="str">
        <f>IF(足元帳!AL99="","","○")</f>
        <v/>
      </c>
      <c r="AA113" s="566"/>
      <c r="AB113" s="635" t="str">
        <f>IF(足元帳!AM99="","","現金カード払い"&amp;足元帳!AM99&amp;"  ")&amp;IF(足元帳!AP99="","",足元帳!AP99&amp;"　")&amp;IF(足元帳!AQ99="","",足元帳!AQ99&amp;"　")&amp;IF(足元帳!AR99="","",足元帳!AR99&amp;"　")&amp;IF(足元帳!AS99="","",足元帳!AS99&amp;"　")&amp;IF(足元帳!AT99="","",足元帳!AT99&amp;"　")&amp;IF(足元帳!AN99="","","LOVE×2")&amp;IF(足元帳!AJ99="","","MM"&amp;足元帳!AJ99)&amp;IF(足元帳!AW99="","",W113&amp;"利用"&amp;足元帳!AW99)&amp;IF(足元帳!AX99="",""," 優待券配布"&amp;足元帳!AX99)&amp;IF(足元帳!AU99="","","メルマガ")</f>
        <v/>
      </c>
      <c r="AC113" s="636"/>
      <c r="AD113" s="636"/>
      <c r="AE113" s="636"/>
      <c r="AF113" s="636"/>
      <c r="AG113" s="636"/>
      <c r="AH113" s="636"/>
      <c r="AI113" s="636"/>
      <c r="AJ113" s="636"/>
      <c r="AK113" s="636"/>
      <c r="AL113" s="636"/>
      <c r="AM113" s="636"/>
      <c r="AN113" s="636"/>
      <c r="AO113" s="636"/>
      <c r="AP113" s="636"/>
      <c r="AQ113" s="662"/>
      <c r="AR113" s="113" t="str">
        <f>IF(足元帳!A99="","",足元帳!A99)</f>
        <v/>
      </c>
      <c r="AS113" s="123">
        <f>COUNTIF(AR$4:AR113,AR113)</f>
        <v>110</v>
      </c>
    </row>
    <row r="114" spans="1:45" ht="23.45" customHeight="1">
      <c r="A114" s="586">
        <f t="shared" si="2"/>
        <v>99</v>
      </c>
      <c r="B114" s="566"/>
      <c r="C114" s="73" t="str">
        <f>IF(足元帳!AY100=1,"N",IF(足元帳!AY100=2,"R",""))</f>
        <v/>
      </c>
      <c r="D114" s="74" t="str">
        <f>IF(足元帳!AZ100&gt;0,VLOOKUP(足元帳!AZ100,管理シート!$R$4:$V$12,5,FALSE),"")</f>
        <v/>
      </c>
      <c r="E114" s="587" t="str">
        <f>IF(足元帳!J100="","",足元帳!J100)</f>
        <v/>
      </c>
      <c r="F114" s="566"/>
      <c r="G114" s="587" t="str">
        <f>IF(足元帳!K100="","",足元帳!K100)</f>
        <v/>
      </c>
      <c r="H114" s="565"/>
      <c r="I114" s="565"/>
      <c r="J114" s="566"/>
      <c r="K114" s="587" t="str">
        <f>IF(足元帳!BB100&gt;0,VLOOKUP(足元帳!BB100,管理シート!$R$4:$W$12,4,FALSE),"")</f>
        <v/>
      </c>
      <c r="L114" s="565"/>
      <c r="M114" s="566"/>
      <c r="N114" s="587" t="str">
        <f>IF(足元帳!U100="","",足元帳!U100)&amp;IF(足元帳!V100="","",足元帳!V100)&amp;IF(足元帳!W100="","",足元帳!W100)&amp;IF(足元帳!X100="","",足元帳!X100)&amp;IF(足元帳!Y100="","",足元帳!Y100)&amp;IF(足元帳!Z100="","",足元帳!Z100)</f>
        <v/>
      </c>
      <c r="O114" s="565"/>
      <c r="P114" s="565"/>
      <c r="Q114" s="565"/>
      <c r="R114" s="565"/>
      <c r="S114" s="566"/>
      <c r="T114" s="661" t="str">
        <f ca="1">IFERROR(INDEX(管理シート!$CB$3:$CK$24,MATCH(W114,管理シート!$CB$3:$CB$24,0),MATCH(K114,管理シート!$CB$3:$CM$3,0)),"")</f>
        <v/>
      </c>
      <c r="U114" s="661"/>
      <c r="V114" s="661"/>
      <c r="W114" s="587" t="str">
        <f ca="1">IF(ISERROR(MATCH("●",足元帳!AA100:AJ100,0)),"",INDIRECT("足元帳!R1C"&amp;MATCH("●",足元帳!AA100:AJ100,0)+26,FALSE))</f>
        <v/>
      </c>
      <c r="X114" s="565"/>
      <c r="Y114" s="566"/>
      <c r="Z114" s="587" t="str">
        <f>IF(足元帳!AL100="","","○")</f>
        <v/>
      </c>
      <c r="AA114" s="566"/>
      <c r="AB114" s="635" t="str">
        <f>IF(足元帳!AM100="","","現金カード払い"&amp;足元帳!AM100&amp;"  ")&amp;IF(足元帳!AP100="","",足元帳!AP100&amp;"　")&amp;IF(足元帳!AQ100="","",足元帳!AQ100&amp;"　")&amp;IF(足元帳!AR100="","",足元帳!AR100&amp;"　")&amp;IF(足元帳!AS100="","",足元帳!AS100&amp;"　")&amp;IF(足元帳!AT100="","",足元帳!AT100&amp;"　")&amp;IF(足元帳!AN100="","","LOVE×2")&amp;IF(足元帳!AJ100="","","MM"&amp;足元帳!AJ100)&amp;IF(足元帳!AW100="","",W114&amp;"利用"&amp;足元帳!AW100)&amp;IF(足元帳!AX100="",""," 優待券配布"&amp;足元帳!AX100)&amp;IF(足元帳!AU100="","","メルマガ")</f>
        <v/>
      </c>
      <c r="AC114" s="636"/>
      <c r="AD114" s="636"/>
      <c r="AE114" s="636"/>
      <c r="AF114" s="636"/>
      <c r="AG114" s="636"/>
      <c r="AH114" s="636"/>
      <c r="AI114" s="636"/>
      <c r="AJ114" s="636"/>
      <c r="AK114" s="636"/>
      <c r="AL114" s="636"/>
      <c r="AM114" s="636"/>
      <c r="AN114" s="636"/>
      <c r="AO114" s="636"/>
      <c r="AP114" s="636"/>
      <c r="AQ114" s="662"/>
      <c r="AR114" s="113" t="str">
        <f>IF(足元帳!A100="","",足元帳!A100)</f>
        <v/>
      </c>
      <c r="AS114" s="123">
        <f>COUNTIF(AR$4:AR114,AR114)</f>
        <v>111</v>
      </c>
    </row>
    <row r="115" spans="1:45" ht="23.45" customHeight="1">
      <c r="A115" s="586">
        <f t="shared" si="2"/>
        <v>100</v>
      </c>
      <c r="B115" s="566"/>
      <c r="C115" s="73" t="str">
        <f>IF(足元帳!AY101=1,"N",IF(足元帳!AY101=2,"R",""))</f>
        <v/>
      </c>
      <c r="D115" s="74" t="str">
        <f>IF(足元帳!AZ101&gt;0,VLOOKUP(足元帳!AZ101,管理シート!$R$4:$V$12,5,FALSE),"")</f>
        <v/>
      </c>
      <c r="E115" s="587" t="str">
        <f>IF(足元帳!J101="","",足元帳!J101)</f>
        <v/>
      </c>
      <c r="F115" s="566"/>
      <c r="G115" s="587" t="str">
        <f>IF(足元帳!K101="","",足元帳!K101)</f>
        <v/>
      </c>
      <c r="H115" s="565"/>
      <c r="I115" s="565"/>
      <c r="J115" s="566"/>
      <c r="K115" s="587" t="str">
        <f>IF(足元帳!BB101&gt;0,VLOOKUP(足元帳!BB101,管理シート!$R$4:$W$12,4,FALSE),"")</f>
        <v/>
      </c>
      <c r="L115" s="565"/>
      <c r="M115" s="566"/>
      <c r="N115" s="587" t="str">
        <f>IF(足元帳!U101="","",足元帳!U101)&amp;IF(足元帳!V101="","",足元帳!V101)&amp;IF(足元帳!W101="","",足元帳!W101)&amp;IF(足元帳!X101="","",足元帳!X101)&amp;IF(足元帳!Y101="","",足元帳!Y101)&amp;IF(足元帳!Z101="","",足元帳!Z101)</f>
        <v/>
      </c>
      <c r="O115" s="565"/>
      <c r="P115" s="565"/>
      <c r="Q115" s="565"/>
      <c r="R115" s="565"/>
      <c r="S115" s="566"/>
      <c r="T115" s="661" t="str">
        <f ca="1">IFERROR(INDEX(管理シート!$CB$3:$CK$24,MATCH(W115,管理シート!$CB$3:$CB$24,0),MATCH(K115,管理シート!$CB$3:$CM$3,0)),"")</f>
        <v/>
      </c>
      <c r="U115" s="661"/>
      <c r="V115" s="661"/>
      <c r="W115" s="587" t="str">
        <f ca="1">IF(ISERROR(MATCH("●",足元帳!AA101:AJ101,0)),"",INDIRECT("足元帳!R1C"&amp;MATCH("●",足元帳!AA101:AJ101,0)+26,FALSE))</f>
        <v/>
      </c>
      <c r="X115" s="565"/>
      <c r="Y115" s="566"/>
      <c r="Z115" s="587" t="str">
        <f>IF(足元帳!AL101="","","○")</f>
        <v/>
      </c>
      <c r="AA115" s="566"/>
      <c r="AB115" s="635" t="str">
        <f>IF(足元帳!AM101="","","現金カード払い"&amp;足元帳!AM101&amp;"  ")&amp;IF(足元帳!AP101="","",足元帳!AP101&amp;"　")&amp;IF(足元帳!AQ101="","",足元帳!AQ101&amp;"　")&amp;IF(足元帳!AR101="","",足元帳!AR101&amp;"　")&amp;IF(足元帳!AS101="","",足元帳!AS101&amp;"　")&amp;IF(足元帳!AT101="","",足元帳!AT101&amp;"　")&amp;IF(足元帳!AN101="","","LOVE×2")&amp;IF(足元帳!AJ101="","","MM"&amp;足元帳!AJ101)&amp;IF(足元帳!AW101="","",W115&amp;"利用"&amp;足元帳!AW101)&amp;IF(足元帳!AX101="",""," 優待券配布"&amp;足元帳!AX101)&amp;IF(足元帳!AU101="","","メルマガ")</f>
        <v/>
      </c>
      <c r="AC115" s="636"/>
      <c r="AD115" s="636"/>
      <c r="AE115" s="636"/>
      <c r="AF115" s="636"/>
      <c r="AG115" s="636"/>
      <c r="AH115" s="636"/>
      <c r="AI115" s="636"/>
      <c r="AJ115" s="636"/>
      <c r="AK115" s="636"/>
      <c r="AL115" s="636"/>
      <c r="AM115" s="636"/>
      <c r="AN115" s="636"/>
      <c r="AO115" s="636"/>
      <c r="AP115" s="636"/>
      <c r="AQ115" s="662"/>
      <c r="AR115" s="113" t="str">
        <f>IF(足元帳!A101="","",足元帳!A101)</f>
        <v/>
      </c>
      <c r="AS115" s="123">
        <f>COUNTIF(AR$4:AR115,AR115)</f>
        <v>112</v>
      </c>
    </row>
    <row r="116" spans="1:45" ht="23.45" customHeight="1">
      <c r="A116" s="586">
        <f t="shared" si="2"/>
        <v>101</v>
      </c>
      <c r="B116" s="566"/>
      <c r="C116" s="73" t="str">
        <f>IF(足元帳!AY102=1,"N",IF(足元帳!AY102=2,"R",""))</f>
        <v/>
      </c>
      <c r="D116" s="74" t="str">
        <f>IF(足元帳!AZ102&gt;0,VLOOKUP(足元帳!AZ102,管理シート!$R$4:$V$12,5,FALSE),"")</f>
        <v/>
      </c>
      <c r="E116" s="587" t="str">
        <f>IF(足元帳!J102="","",足元帳!J102)</f>
        <v/>
      </c>
      <c r="F116" s="566"/>
      <c r="G116" s="587" t="str">
        <f>IF(足元帳!K102="","",足元帳!K102)</f>
        <v/>
      </c>
      <c r="H116" s="565"/>
      <c r="I116" s="565"/>
      <c r="J116" s="566"/>
      <c r="K116" s="587" t="str">
        <f>IF(足元帳!BB102&gt;0,VLOOKUP(足元帳!BB102,管理シート!$R$4:$W$12,4,FALSE),"")</f>
        <v/>
      </c>
      <c r="L116" s="565"/>
      <c r="M116" s="566"/>
      <c r="N116" s="587" t="str">
        <f>IF(足元帳!U102="","",足元帳!U102)&amp;IF(足元帳!V102="","",足元帳!V102)&amp;IF(足元帳!W102="","",足元帳!W102)&amp;IF(足元帳!X102="","",足元帳!X102)&amp;IF(足元帳!Y102="","",足元帳!Y102)&amp;IF(足元帳!Z102="","",足元帳!Z102)</f>
        <v/>
      </c>
      <c r="O116" s="565"/>
      <c r="P116" s="565"/>
      <c r="Q116" s="565"/>
      <c r="R116" s="565"/>
      <c r="S116" s="566"/>
      <c r="T116" s="661" t="str">
        <f ca="1">IFERROR(INDEX(管理シート!$CB$3:$CK$24,MATCH(W116,管理シート!$CB$3:$CB$24,0),MATCH(K116,管理シート!$CB$3:$CM$3,0)),"")</f>
        <v/>
      </c>
      <c r="U116" s="661"/>
      <c r="V116" s="661"/>
      <c r="W116" s="587" t="str">
        <f ca="1">IF(ISERROR(MATCH("●",足元帳!AA102:AJ102,0)),"",INDIRECT("足元帳!R1C"&amp;MATCH("●",足元帳!AA102:AJ102,0)+26,FALSE))</f>
        <v/>
      </c>
      <c r="X116" s="565"/>
      <c r="Y116" s="566"/>
      <c r="Z116" s="587" t="str">
        <f>IF(足元帳!AL102="","","○")</f>
        <v/>
      </c>
      <c r="AA116" s="566"/>
      <c r="AB116" s="635" t="str">
        <f>IF(足元帳!AM102="","","現金カード払い"&amp;足元帳!AM102&amp;"  ")&amp;IF(足元帳!AP102="","",足元帳!AP102&amp;"　")&amp;IF(足元帳!AQ102="","",足元帳!AQ102&amp;"　")&amp;IF(足元帳!AR102="","",足元帳!AR102&amp;"　")&amp;IF(足元帳!AS102="","",足元帳!AS102&amp;"　")&amp;IF(足元帳!AT102="","",足元帳!AT102&amp;"　")&amp;IF(足元帳!AN102="","","LOVE×2")&amp;IF(足元帳!AJ102="","","MM"&amp;足元帳!AJ102)&amp;IF(足元帳!AW102="","",W116&amp;"利用"&amp;足元帳!AW102)&amp;IF(足元帳!AX102="",""," 優待券配布"&amp;足元帳!AX102)&amp;IF(足元帳!AU102="","","メルマガ")</f>
        <v/>
      </c>
      <c r="AC116" s="636"/>
      <c r="AD116" s="636"/>
      <c r="AE116" s="636"/>
      <c r="AF116" s="636"/>
      <c r="AG116" s="636"/>
      <c r="AH116" s="636"/>
      <c r="AI116" s="636"/>
      <c r="AJ116" s="636"/>
      <c r="AK116" s="636"/>
      <c r="AL116" s="636"/>
      <c r="AM116" s="636"/>
      <c r="AN116" s="636"/>
      <c r="AO116" s="636"/>
      <c r="AP116" s="636"/>
      <c r="AQ116" s="662"/>
      <c r="AR116" s="113" t="str">
        <f>IF(足元帳!A102="","",足元帳!A102)</f>
        <v/>
      </c>
      <c r="AS116" s="123">
        <f>COUNTIF(AR$4:AR116,AR116)</f>
        <v>113</v>
      </c>
    </row>
    <row r="117" spans="1:45" ht="23.45" customHeight="1">
      <c r="A117" s="586">
        <f t="shared" si="2"/>
        <v>102</v>
      </c>
      <c r="B117" s="566"/>
      <c r="C117" s="73" t="str">
        <f>IF(足元帳!AY103=1,"N",IF(足元帳!AY103=2,"R",""))</f>
        <v/>
      </c>
      <c r="D117" s="74" t="str">
        <f>IF(足元帳!AZ103&gt;0,VLOOKUP(足元帳!AZ103,管理シート!$R$4:$V$12,5,FALSE),"")</f>
        <v/>
      </c>
      <c r="E117" s="587" t="str">
        <f>IF(足元帳!J103="","",足元帳!J103)</f>
        <v/>
      </c>
      <c r="F117" s="566"/>
      <c r="G117" s="587" t="str">
        <f>IF(足元帳!K103="","",足元帳!K103)</f>
        <v/>
      </c>
      <c r="H117" s="565"/>
      <c r="I117" s="565"/>
      <c r="J117" s="566"/>
      <c r="K117" s="587" t="str">
        <f>IF(足元帳!BB103&gt;0,VLOOKUP(足元帳!BB103,管理シート!$R$4:$W$12,4,FALSE),"")</f>
        <v/>
      </c>
      <c r="L117" s="565"/>
      <c r="M117" s="566"/>
      <c r="N117" s="587" t="str">
        <f>IF(足元帳!U103="","",足元帳!U103)&amp;IF(足元帳!V103="","",足元帳!V103)&amp;IF(足元帳!W103="","",足元帳!W103)&amp;IF(足元帳!X103="","",足元帳!X103)&amp;IF(足元帳!Y103="","",足元帳!Y103)&amp;IF(足元帳!Z103="","",足元帳!Z103)</f>
        <v/>
      </c>
      <c r="O117" s="565"/>
      <c r="P117" s="565"/>
      <c r="Q117" s="565"/>
      <c r="R117" s="565"/>
      <c r="S117" s="566"/>
      <c r="T117" s="661" t="str">
        <f ca="1">IFERROR(INDEX(管理シート!$CB$3:$CK$24,MATCH(W117,管理シート!$CB$3:$CB$24,0),MATCH(K117,管理シート!$CB$3:$CM$3,0)),"")</f>
        <v/>
      </c>
      <c r="U117" s="661"/>
      <c r="V117" s="661"/>
      <c r="W117" s="587" t="str">
        <f ca="1">IF(ISERROR(MATCH("●",足元帳!AA103:AJ103,0)),"",INDIRECT("足元帳!R1C"&amp;MATCH("●",足元帳!AA103:AJ103,0)+26,FALSE))</f>
        <v/>
      </c>
      <c r="X117" s="565"/>
      <c r="Y117" s="566"/>
      <c r="Z117" s="587" t="str">
        <f>IF(足元帳!AL103="","","○")</f>
        <v/>
      </c>
      <c r="AA117" s="566"/>
      <c r="AB117" s="635" t="str">
        <f>IF(足元帳!AM103="","","現金カード払い"&amp;足元帳!AM103&amp;"  ")&amp;IF(足元帳!AP103="","",足元帳!AP103&amp;"　")&amp;IF(足元帳!AQ103="","",足元帳!AQ103&amp;"　")&amp;IF(足元帳!AR103="","",足元帳!AR103&amp;"　")&amp;IF(足元帳!AS103="","",足元帳!AS103&amp;"　")&amp;IF(足元帳!AT103="","",足元帳!AT103&amp;"　")&amp;IF(足元帳!AN103="","","LOVE×2")&amp;IF(足元帳!AJ103="","","MM"&amp;足元帳!AJ103)&amp;IF(足元帳!AW103="","",W117&amp;"利用"&amp;足元帳!AW103)&amp;IF(足元帳!AX103="",""," 優待券配布"&amp;足元帳!AX103)&amp;IF(足元帳!AU103="","","メルマガ")</f>
        <v/>
      </c>
      <c r="AC117" s="636"/>
      <c r="AD117" s="636"/>
      <c r="AE117" s="636"/>
      <c r="AF117" s="636"/>
      <c r="AG117" s="636"/>
      <c r="AH117" s="636"/>
      <c r="AI117" s="636"/>
      <c r="AJ117" s="636"/>
      <c r="AK117" s="636"/>
      <c r="AL117" s="636"/>
      <c r="AM117" s="636"/>
      <c r="AN117" s="636"/>
      <c r="AO117" s="636"/>
      <c r="AP117" s="636"/>
      <c r="AQ117" s="662"/>
      <c r="AR117" s="113" t="str">
        <f>IF(足元帳!A103="","",足元帳!A103)</f>
        <v/>
      </c>
      <c r="AS117" s="123">
        <f>COUNTIF(AR$4:AR117,AR117)</f>
        <v>114</v>
      </c>
    </row>
    <row r="118" spans="1:45" ht="23.45" customHeight="1">
      <c r="A118" s="586">
        <f t="shared" si="2"/>
        <v>103</v>
      </c>
      <c r="B118" s="566"/>
      <c r="C118" s="73" t="str">
        <f>IF(足元帳!AY104=1,"N",IF(足元帳!AY104=2,"R",""))</f>
        <v/>
      </c>
      <c r="D118" s="74" t="str">
        <f>IF(足元帳!AZ104&gt;0,VLOOKUP(足元帳!AZ104,管理シート!$R$4:$V$12,5,FALSE),"")</f>
        <v/>
      </c>
      <c r="E118" s="587" t="str">
        <f>IF(足元帳!J104="","",足元帳!J104)</f>
        <v/>
      </c>
      <c r="F118" s="566"/>
      <c r="G118" s="587" t="str">
        <f>IF(足元帳!K104="","",足元帳!K104)</f>
        <v/>
      </c>
      <c r="H118" s="565"/>
      <c r="I118" s="565"/>
      <c r="J118" s="566"/>
      <c r="K118" s="587" t="str">
        <f>IF(足元帳!BB104&gt;0,VLOOKUP(足元帳!BB104,管理シート!$R$4:$W$12,4,FALSE),"")</f>
        <v/>
      </c>
      <c r="L118" s="565"/>
      <c r="M118" s="566"/>
      <c r="N118" s="587" t="str">
        <f>IF(足元帳!U104="","",足元帳!U104)&amp;IF(足元帳!V104="","",足元帳!V104)&amp;IF(足元帳!W104="","",足元帳!W104)&amp;IF(足元帳!X104="","",足元帳!X104)&amp;IF(足元帳!Y104="","",足元帳!Y104)&amp;IF(足元帳!Z104="","",足元帳!Z104)</f>
        <v/>
      </c>
      <c r="O118" s="565"/>
      <c r="P118" s="565"/>
      <c r="Q118" s="565"/>
      <c r="R118" s="565"/>
      <c r="S118" s="566"/>
      <c r="T118" s="661" t="str">
        <f ca="1">IFERROR(INDEX(管理シート!$CB$3:$CK$24,MATCH(W118,管理シート!$CB$3:$CB$24,0),MATCH(K118,管理シート!$CB$3:$CM$3,0)),"")</f>
        <v/>
      </c>
      <c r="U118" s="661"/>
      <c r="V118" s="661"/>
      <c r="W118" s="587" t="str">
        <f ca="1">IF(ISERROR(MATCH("●",足元帳!AA104:AJ104,0)),"",INDIRECT("足元帳!R1C"&amp;MATCH("●",足元帳!AA104:AJ104,0)+26,FALSE))</f>
        <v/>
      </c>
      <c r="X118" s="565"/>
      <c r="Y118" s="566"/>
      <c r="Z118" s="587" t="str">
        <f>IF(足元帳!AL104="","","○")</f>
        <v/>
      </c>
      <c r="AA118" s="566"/>
      <c r="AB118" s="635" t="str">
        <f>IF(足元帳!AM104="","","現金カード払い"&amp;足元帳!AM104&amp;"  ")&amp;IF(足元帳!AP104="","",足元帳!AP104&amp;"　")&amp;IF(足元帳!AQ104="","",足元帳!AQ104&amp;"　")&amp;IF(足元帳!AR104="","",足元帳!AR104&amp;"　")&amp;IF(足元帳!AS104="","",足元帳!AS104&amp;"　")&amp;IF(足元帳!AT104="","",足元帳!AT104&amp;"　")&amp;IF(足元帳!AN104="","","LOVE×2")&amp;IF(足元帳!AJ104="","","MM"&amp;足元帳!AJ104)&amp;IF(足元帳!AW104="","",W118&amp;"利用"&amp;足元帳!AW104)&amp;IF(足元帳!AX104="",""," 優待券配布"&amp;足元帳!AX104)&amp;IF(足元帳!AU104="","","メルマガ")</f>
        <v/>
      </c>
      <c r="AC118" s="636"/>
      <c r="AD118" s="636"/>
      <c r="AE118" s="636"/>
      <c r="AF118" s="636"/>
      <c r="AG118" s="636"/>
      <c r="AH118" s="636"/>
      <c r="AI118" s="636"/>
      <c r="AJ118" s="636"/>
      <c r="AK118" s="636"/>
      <c r="AL118" s="636"/>
      <c r="AM118" s="636"/>
      <c r="AN118" s="636"/>
      <c r="AO118" s="636"/>
      <c r="AP118" s="636"/>
      <c r="AQ118" s="662"/>
      <c r="AR118" s="113" t="str">
        <f>IF(足元帳!A104="","",足元帳!A104)</f>
        <v/>
      </c>
      <c r="AS118" s="123">
        <f>COUNTIF(AR$4:AR118,AR118)</f>
        <v>115</v>
      </c>
    </row>
    <row r="119" spans="1:45" ht="23.45" customHeight="1">
      <c r="A119" s="586">
        <f t="shared" si="2"/>
        <v>104</v>
      </c>
      <c r="B119" s="566"/>
      <c r="C119" s="73" t="str">
        <f>IF(足元帳!AY105=1,"N",IF(足元帳!AY105=2,"R",""))</f>
        <v/>
      </c>
      <c r="D119" s="74" t="str">
        <f>IF(足元帳!AZ105&gt;0,VLOOKUP(足元帳!AZ105,管理シート!$R$4:$V$12,5,FALSE),"")</f>
        <v/>
      </c>
      <c r="E119" s="587" t="str">
        <f>IF(足元帳!J105="","",足元帳!J105)</f>
        <v/>
      </c>
      <c r="F119" s="566"/>
      <c r="G119" s="587" t="str">
        <f>IF(足元帳!K105="","",足元帳!K105)</f>
        <v/>
      </c>
      <c r="H119" s="565"/>
      <c r="I119" s="565"/>
      <c r="J119" s="566"/>
      <c r="K119" s="587" t="str">
        <f>IF(足元帳!BB105&gt;0,VLOOKUP(足元帳!BB105,管理シート!$R$4:$W$12,4,FALSE),"")</f>
        <v/>
      </c>
      <c r="L119" s="565"/>
      <c r="M119" s="566"/>
      <c r="N119" s="587" t="str">
        <f>IF(足元帳!U105="","",足元帳!U105)&amp;IF(足元帳!V105="","",足元帳!V105)&amp;IF(足元帳!W105="","",足元帳!W105)&amp;IF(足元帳!X105="","",足元帳!X105)&amp;IF(足元帳!Y105="","",足元帳!Y105)&amp;IF(足元帳!Z105="","",足元帳!Z105)</f>
        <v/>
      </c>
      <c r="O119" s="565"/>
      <c r="P119" s="565"/>
      <c r="Q119" s="565"/>
      <c r="R119" s="565"/>
      <c r="S119" s="566"/>
      <c r="T119" s="661" t="str">
        <f ca="1">IFERROR(INDEX(管理シート!$CB$3:$CK$24,MATCH(W119,管理シート!$CB$3:$CB$24,0),MATCH(K119,管理シート!$CB$3:$CM$3,0)),"")</f>
        <v/>
      </c>
      <c r="U119" s="661"/>
      <c r="V119" s="661"/>
      <c r="W119" s="587" t="str">
        <f ca="1">IF(ISERROR(MATCH("●",足元帳!AA105:AJ105,0)),"",INDIRECT("足元帳!R1C"&amp;MATCH("●",足元帳!AA105:AJ105,0)+26,FALSE))</f>
        <v/>
      </c>
      <c r="X119" s="565"/>
      <c r="Y119" s="566"/>
      <c r="Z119" s="587" t="str">
        <f>IF(足元帳!AL105="","","○")</f>
        <v/>
      </c>
      <c r="AA119" s="566"/>
      <c r="AB119" s="635" t="str">
        <f>IF(足元帳!AM105="","","現金カード払い"&amp;足元帳!AM105&amp;"  ")&amp;IF(足元帳!AP105="","",足元帳!AP105&amp;"　")&amp;IF(足元帳!AQ105="","",足元帳!AQ105&amp;"　")&amp;IF(足元帳!AR105="","",足元帳!AR105&amp;"　")&amp;IF(足元帳!AS105="","",足元帳!AS105&amp;"　")&amp;IF(足元帳!AT105="","",足元帳!AT105&amp;"　")&amp;IF(足元帳!AN105="","","LOVE×2")&amp;IF(足元帳!AJ105="","","MM"&amp;足元帳!AJ105)&amp;IF(足元帳!AW105="","",W119&amp;"利用"&amp;足元帳!AW105)&amp;IF(足元帳!AX105="",""," 優待券配布"&amp;足元帳!AX105)&amp;IF(足元帳!AU105="","","メルマガ")</f>
        <v/>
      </c>
      <c r="AC119" s="636"/>
      <c r="AD119" s="636"/>
      <c r="AE119" s="636"/>
      <c r="AF119" s="636"/>
      <c r="AG119" s="636"/>
      <c r="AH119" s="636"/>
      <c r="AI119" s="636"/>
      <c r="AJ119" s="636"/>
      <c r="AK119" s="636"/>
      <c r="AL119" s="636"/>
      <c r="AM119" s="636"/>
      <c r="AN119" s="636"/>
      <c r="AO119" s="636"/>
      <c r="AP119" s="636"/>
      <c r="AQ119" s="662"/>
      <c r="AR119" s="113" t="str">
        <f>IF(足元帳!A105="","",足元帳!A105)</f>
        <v/>
      </c>
      <c r="AS119" s="123">
        <f>COUNTIF(AR$4:AR119,AR119)</f>
        <v>116</v>
      </c>
    </row>
    <row r="120" spans="1:45" ht="23.45" customHeight="1">
      <c r="A120" s="586">
        <f t="shared" si="2"/>
        <v>105</v>
      </c>
      <c r="B120" s="566"/>
      <c r="C120" s="73" t="str">
        <f>IF(足元帳!AY106=1,"N",IF(足元帳!AY106=2,"R",""))</f>
        <v/>
      </c>
      <c r="D120" s="74" t="str">
        <f>IF(足元帳!AZ106&gt;0,VLOOKUP(足元帳!AZ106,管理シート!$R$4:$V$12,5,FALSE),"")</f>
        <v/>
      </c>
      <c r="E120" s="587" t="str">
        <f>IF(足元帳!J106="","",足元帳!J106)</f>
        <v/>
      </c>
      <c r="F120" s="566"/>
      <c r="G120" s="587" t="str">
        <f>IF(足元帳!K106="","",足元帳!K106)</f>
        <v/>
      </c>
      <c r="H120" s="565"/>
      <c r="I120" s="565"/>
      <c r="J120" s="566"/>
      <c r="K120" s="587" t="str">
        <f>IF(足元帳!BB106&gt;0,VLOOKUP(足元帳!BB106,管理シート!$R$4:$W$12,4,FALSE),"")</f>
        <v/>
      </c>
      <c r="L120" s="565"/>
      <c r="M120" s="566"/>
      <c r="N120" s="587" t="str">
        <f>IF(足元帳!U106="","",足元帳!U106)&amp;IF(足元帳!V106="","",足元帳!V106)&amp;IF(足元帳!W106="","",足元帳!W106)&amp;IF(足元帳!X106="","",足元帳!X106)&amp;IF(足元帳!Y106="","",足元帳!Y106)&amp;IF(足元帳!Z106="","",足元帳!Z106)</f>
        <v/>
      </c>
      <c r="O120" s="565"/>
      <c r="P120" s="565"/>
      <c r="Q120" s="565"/>
      <c r="R120" s="565"/>
      <c r="S120" s="566"/>
      <c r="T120" s="661" t="str">
        <f ca="1">IFERROR(INDEX(管理シート!$CB$3:$CK$24,MATCH(W120,管理シート!$CB$3:$CB$24,0),MATCH(K120,管理シート!$CB$3:$CM$3,0)),"")</f>
        <v/>
      </c>
      <c r="U120" s="661"/>
      <c r="V120" s="661"/>
      <c r="W120" s="587" t="str">
        <f ca="1">IF(ISERROR(MATCH("●",足元帳!AA106:AJ106,0)),"",INDIRECT("足元帳!R1C"&amp;MATCH("●",足元帳!AA106:AJ106,0)+26,FALSE))</f>
        <v/>
      </c>
      <c r="X120" s="565"/>
      <c r="Y120" s="566"/>
      <c r="Z120" s="587" t="str">
        <f>IF(足元帳!AL106="","","○")</f>
        <v/>
      </c>
      <c r="AA120" s="566"/>
      <c r="AB120" s="635" t="str">
        <f>IF(足元帳!AM106="","","現金カード払い"&amp;足元帳!AM106&amp;"  ")&amp;IF(足元帳!AP106="","",足元帳!AP106&amp;"　")&amp;IF(足元帳!AQ106="","",足元帳!AQ106&amp;"　")&amp;IF(足元帳!AR106="","",足元帳!AR106&amp;"　")&amp;IF(足元帳!AS106="","",足元帳!AS106&amp;"　")&amp;IF(足元帳!AT106="","",足元帳!AT106&amp;"　")&amp;IF(足元帳!AN106="","","LOVE×2")&amp;IF(足元帳!AJ106="","","MM"&amp;足元帳!AJ106)&amp;IF(足元帳!AW106="","",W120&amp;"利用"&amp;足元帳!AW106)&amp;IF(足元帳!AX106="",""," 優待券配布"&amp;足元帳!AX106)&amp;IF(足元帳!AU106="","","メルマガ")</f>
        <v/>
      </c>
      <c r="AC120" s="636"/>
      <c r="AD120" s="636"/>
      <c r="AE120" s="636"/>
      <c r="AF120" s="636"/>
      <c r="AG120" s="636"/>
      <c r="AH120" s="636"/>
      <c r="AI120" s="636"/>
      <c r="AJ120" s="636"/>
      <c r="AK120" s="636"/>
      <c r="AL120" s="636"/>
      <c r="AM120" s="636"/>
      <c r="AN120" s="636"/>
      <c r="AO120" s="636"/>
      <c r="AP120" s="636"/>
      <c r="AQ120" s="662"/>
      <c r="AR120" s="113" t="str">
        <f>IF(足元帳!A106="","",足元帳!A106)</f>
        <v/>
      </c>
      <c r="AS120" s="123">
        <f>COUNTIF(AR$4:AR120,AR120)</f>
        <v>117</v>
      </c>
    </row>
    <row r="121" spans="1:45" ht="23.45" customHeight="1">
      <c r="A121" s="586">
        <f t="shared" si="2"/>
        <v>106</v>
      </c>
      <c r="B121" s="566"/>
      <c r="C121" s="73" t="str">
        <f>IF(足元帳!AY107=1,"N",IF(足元帳!AY107=2,"R",""))</f>
        <v/>
      </c>
      <c r="D121" s="74" t="str">
        <f>IF(足元帳!AZ107&gt;0,VLOOKUP(足元帳!AZ107,管理シート!$R$4:$V$12,5,FALSE),"")</f>
        <v/>
      </c>
      <c r="E121" s="587" t="str">
        <f>IF(足元帳!J107="","",足元帳!J107)</f>
        <v/>
      </c>
      <c r="F121" s="566"/>
      <c r="G121" s="587" t="str">
        <f>IF(足元帳!K107="","",足元帳!K107)</f>
        <v/>
      </c>
      <c r="H121" s="565"/>
      <c r="I121" s="565"/>
      <c r="J121" s="566"/>
      <c r="K121" s="587" t="str">
        <f>IF(足元帳!BB107&gt;0,VLOOKUP(足元帳!BB107,管理シート!$R$4:$W$12,4,FALSE),"")</f>
        <v/>
      </c>
      <c r="L121" s="565"/>
      <c r="M121" s="566"/>
      <c r="N121" s="587" t="str">
        <f>IF(足元帳!U107="","",足元帳!U107)&amp;IF(足元帳!V107="","",足元帳!V107)&amp;IF(足元帳!W107="","",足元帳!W107)&amp;IF(足元帳!X107="","",足元帳!X107)&amp;IF(足元帳!Y107="","",足元帳!Y107)&amp;IF(足元帳!Z107="","",足元帳!Z107)</f>
        <v/>
      </c>
      <c r="O121" s="565"/>
      <c r="P121" s="565"/>
      <c r="Q121" s="565"/>
      <c r="R121" s="565"/>
      <c r="S121" s="566"/>
      <c r="T121" s="661" t="str">
        <f ca="1">IFERROR(INDEX(管理シート!$CB$3:$CK$24,MATCH(W121,管理シート!$CB$3:$CB$24,0),MATCH(K121,管理シート!$CB$3:$CM$3,0)),"")</f>
        <v/>
      </c>
      <c r="U121" s="661"/>
      <c r="V121" s="661"/>
      <c r="W121" s="587" t="str">
        <f ca="1">IF(ISERROR(MATCH("●",足元帳!AA107:AJ107,0)),"",INDIRECT("足元帳!R1C"&amp;MATCH("●",足元帳!AA107:AJ107,0)+26,FALSE))</f>
        <v/>
      </c>
      <c r="X121" s="565"/>
      <c r="Y121" s="566"/>
      <c r="Z121" s="587" t="str">
        <f>IF(足元帳!AL107="","","○")</f>
        <v/>
      </c>
      <c r="AA121" s="566"/>
      <c r="AB121" s="635" t="str">
        <f>IF(足元帳!AM107="","","現金カード払い"&amp;足元帳!AM107&amp;"  ")&amp;IF(足元帳!AP107="","",足元帳!AP107&amp;"　")&amp;IF(足元帳!AQ107="","",足元帳!AQ107&amp;"　")&amp;IF(足元帳!AR107="","",足元帳!AR107&amp;"　")&amp;IF(足元帳!AS107="","",足元帳!AS107&amp;"　")&amp;IF(足元帳!AT107="","",足元帳!AT107&amp;"　")&amp;IF(足元帳!AN107="","","LOVE×2")&amp;IF(足元帳!AJ107="","","MM"&amp;足元帳!AJ107)&amp;IF(足元帳!AW107="","",W121&amp;"利用"&amp;足元帳!AW107)&amp;IF(足元帳!AX107="",""," 優待券配布"&amp;足元帳!AX107)&amp;IF(足元帳!AU107="","","メルマガ")</f>
        <v/>
      </c>
      <c r="AC121" s="636"/>
      <c r="AD121" s="636"/>
      <c r="AE121" s="636"/>
      <c r="AF121" s="636"/>
      <c r="AG121" s="636"/>
      <c r="AH121" s="636"/>
      <c r="AI121" s="636"/>
      <c r="AJ121" s="636"/>
      <c r="AK121" s="636"/>
      <c r="AL121" s="636"/>
      <c r="AM121" s="636"/>
      <c r="AN121" s="636"/>
      <c r="AO121" s="636"/>
      <c r="AP121" s="636"/>
      <c r="AQ121" s="662"/>
      <c r="AR121" s="113" t="str">
        <f>IF(足元帳!A107="","",足元帳!A107)</f>
        <v/>
      </c>
      <c r="AS121" s="123">
        <f>COUNTIF(AR$4:AR121,AR121)</f>
        <v>118</v>
      </c>
    </row>
    <row r="122" spans="1:45" ht="23.45" customHeight="1">
      <c r="A122" s="586">
        <f t="shared" si="2"/>
        <v>107</v>
      </c>
      <c r="B122" s="566"/>
      <c r="C122" s="73" t="str">
        <f>IF(足元帳!AY108=1,"N",IF(足元帳!AY108=2,"R",""))</f>
        <v/>
      </c>
      <c r="D122" s="74" t="str">
        <f>IF(足元帳!AZ108&gt;0,VLOOKUP(足元帳!AZ108,管理シート!$R$4:$V$12,5,FALSE),"")</f>
        <v/>
      </c>
      <c r="E122" s="587" t="str">
        <f>IF(足元帳!J108="","",足元帳!J108)</f>
        <v/>
      </c>
      <c r="F122" s="566"/>
      <c r="G122" s="587" t="str">
        <f>IF(足元帳!K108="","",足元帳!K108)</f>
        <v/>
      </c>
      <c r="H122" s="565"/>
      <c r="I122" s="565"/>
      <c r="J122" s="566"/>
      <c r="K122" s="587" t="str">
        <f>IF(足元帳!BB108&gt;0,VLOOKUP(足元帳!BB108,管理シート!$R$4:$W$12,4,FALSE),"")</f>
        <v/>
      </c>
      <c r="L122" s="565"/>
      <c r="M122" s="566"/>
      <c r="N122" s="587" t="str">
        <f>IF(足元帳!U108="","",足元帳!U108)&amp;IF(足元帳!V108="","",足元帳!V108)&amp;IF(足元帳!W108="","",足元帳!W108)&amp;IF(足元帳!X108="","",足元帳!X108)&amp;IF(足元帳!Y108="","",足元帳!Y108)&amp;IF(足元帳!Z108="","",足元帳!Z108)</f>
        <v/>
      </c>
      <c r="O122" s="565"/>
      <c r="P122" s="565"/>
      <c r="Q122" s="565"/>
      <c r="R122" s="565"/>
      <c r="S122" s="566"/>
      <c r="T122" s="661" t="str">
        <f ca="1">IFERROR(INDEX(管理シート!$CB$3:$CK$24,MATCH(W122,管理シート!$CB$3:$CB$24,0),MATCH(K122,管理シート!$CB$3:$CM$3,0)),"")</f>
        <v/>
      </c>
      <c r="U122" s="661"/>
      <c r="V122" s="661"/>
      <c r="W122" s="587" t="str">
        <f ca="1">IF(ISERROR(MATCH("●",足元帳!AA108:AJ108,0)),"",INDIRECT("足元帳!R1C"&amp;MATCH("●",足元帳!AA108:AJ108,0)+26,FALSE))</f>
        <v/>
      </c>
      <c r="X122" s="565"/>
      <c r="Y122" s="566"/>
      <c r="Z122" s="587" t="str">
        <f>IF(足元帳!AL108="","","○")</f>
        <v/>
      </c>
      <c r="AA122" s="566"/>
      <c r="AB122" s="635" t="str">
        <f>IF(足元帳!AM108="","","現金カード払い"&amp;足元帳!AM108&amp;"  ")&amp;IF(足元帳!AP108="","",足元帳!AP108&amp;"　")&amp;IF(足元帳!AQ108="","",足元帳!AQ108&amp;"　")&amp;IF(足元帳!AR108="","",足元帳!AR108&amp;"　")&amp;IF(足元帳!AS108="","",足元帳!AS108&amp;"　")&amp;IF(足元帳!AT108="","",足元帳!AT108&amp;"　")&amp;IF(足元帳!AN108="","","LOVE×2")&amp;IF(足元帳!AJ108="","","MM"&amp;足元帳!AJ108)&amp;IF(足元帳!AW108="","",W122&amp;"利用"&amp;足元帳!AW108)&amp;IF(足元帳!AX108="",""," 優待券配布"&amp;足元帳!AX108)&amp;IF(足元帳!AU108="","","メルマガ")</f>
        <v/>
      </c>
      <c r="AC122" s="636"/>
      <c r="AD122" s="636"/>
      <c r="AE122" s="636"/>
      <c r="AF122" s="636"/>
      <c r="AG122" s="636"/>
      <c r="AH122" s="636"/>
      <c r="AI122" s="636"/>
      <c r="AJ122" s="636"/>
      <c r="AK122" s="636"/>
      <c r="AL122" s="636"/>
      <c r="AM122" s="636"/>
      <c r="AN122" s="636"/>
      <c r="AO122" s="636"/>
      <c r="AP122" s="636"/>
      <c r="AQ122" s="662"/>
      <c r="AR122" s="113" t="str">
        <f>IF(足元帳!A108="","",足元帳!A108)</f>
        <v/>
      </c>
      <c r="AS122" s="123">
        <f>COUNTIF(AR$4:AR122,AR122)</f>
        <v>119</v>
      </c>
    </row>
    <row r="123" spans="1:45" ht="23.45" customHeight="1">
      <c r="A123" s="586">
        <f t="shared" si="2"/>
        <v>108</v>
      </c>
      <c r="B123" s="566"/>
      <c r="C123" s="73" t="str">
        <f>IF(足元帳!AY109=1,"N",IF(足元帳!AY109=2,"R",""))</f>
        <v/>
      </c>
      <c r="D123" s="74" t="str">
        <f>IF(足元帳!AZ109&gt;0,VLOOKUP(足元帳!AZ109,管理シート!$R$4:$V$12,5,FALSE),"")</f>
        <v/>
      </c>
      <c r="E123" s="587" t="str">
        <f>IF(足元帳!J109="","",足元帳!J109)</f>
        <v/>
      </c>
      <c r="F123" s="566"/>
      <c r="G123" s="587" t="str">
        <f>IF(足元帳!K109="","",足元帳!K109)</f>
        <v/>
      </c>
      <c r="H123" s="565"/>
      <c r="I123" s="565"/>
      <c r="J123" s="566"/>
      <c r="K123" s="587" t="str">
        <f>IF(足元帳!BB109&gt;0,VLOOKUP(足元帳!BB109,管理シート!$R$4:$W$12,4,FALSE),"")</f>
        <v/>
      </c>
      <c r="L123" s="565"/>
      <c r="M123" s="566"/>
      <c r="N123" s="587" t="str">
        <f>IF(足元帳!U109="","",足元帳!U109)&amp;IF(足元帳!V109="","",足元帳!V109)&amp;IF(足元帳!W109="","",足元帳!W109)&amp;IF(足元帳!X109="","",足元帳!X109)&amp;IF(足元帳!Y109="","",足元帳!Y109)&amp;IF(足元帳!Z109="","",足元帳!Z109)</f>
        <v/>
      </c>
      <c r="O123" s="565"/>
      <c r="P123" s="565"/>
      <c r="Q123" s="565"/>
      <c r="R123" s="565"/>
      <c r="S123" s="566"/>
      <c r="T123" s="661" t="str">
        <f ca="1">IFERROR(INDEX(管理シート!$CB$3:$CK$24,MATCH(W123,管理シート!$CB$3:$CB$24,0),MATCH(K123,管理シート!$CB$3:$CM$3,0)),"")</f>
        <v/>
      </c>
      <c r="U123" s="661"/>
      <c r="V123" s="661"/>
      <c r="W123" s="587" t="str">
        <f ca="1">IF(ISERROR(MATCH("●",足元帳!AA109:AJ109,0)),"",INDIRECT("足元帳!R1C"&amp;MATCH("●",足元帳!AA109:AJ109,0)+26,FALSE))</f>
        <v/>
      </c>
      <c r="X123" s="565"/>
      <c r="Y123" s="566"/>
      <c r="Z123" s="587" t="str">
        <f>IF(足元帳!AL109="","","○")</f>
        <v/>
      </c>
      <c r="AA123" s="566"/>
      <c r="AB123" s="635" t="str">
        <f>IF(足元帳!AM109="","","現金カード払い"&amp;足元帳!AM109&amp;"  ")&amp;IF(足元帳!AP109="","",足元帳!AP109&amp;"　")&amp;IF(足元帳!AQ109="","",足元帳!AQ109&amp;"　")&amp;IF(足元帳!AR109="","",足元帳!AR109&amp;"　")&amp;IF(足元帳!AS109="","",足元帳!AS109&amp;"　")&amp;IF(足元帳!AT109="","",足元帳!AT109&amp;"　")&amp;IF(足元帳!AN109="","","LOVE×2")&amp;IF(足元帳!AJ109="","","MM"&amp;足元帳!AJ109)&amp;IF(足元帳!AW109="","",W123&amp;"利用"&amp;足元帳!AW109)&amp;IF(足元帳!AX109="",""," 優待券配布"&amp;足元帳!AX109)&amp;IF(足元帳!AU109="","","メルマガ")</f>
        <v/>
      </c>
      <c r="AC123" s="636"/>
      <c r="AD123" s="636"/>
      <c r="AE123" s="636"/>
      <c r="AF123" s="636"/>
      <c r="AG123" s="636"/>
      <c r="AH123" s="636"/>
      <c r="AI123" s="636"/>
      <c r="AJ123" s="636"/>
      <c r="AK123" s="636"/>
      <c r="AL123" s="636"/>
      <c r="AM123" s="636"/>
      <c r="AN123" s="636"/>
      <c r="AO123" s="636"/>
      <c r="AP123" s="636"/>
      <c r="AQ123" s="662"/>
      <c r="AR123" s="113" t="str">
        <f>IF(足元帳!A109="","",足元帳!A109)</f>
        <v/>
      </c>
      <c r="AS123" s="123">
        <f>COUNTIF(AR$4:AR123,AR123)</f>
        <v>120</v>
      </c>
    </row>
    <row r="124" spans="1:45" ht="23.45" customHeight="1">
      <c r="A124" s="586">
        <f t="shared" si="2"/>
        <v>109</v>
      </c>
      <c r="B124" s="566"/>
      <c r="C124" s="73" t="str">
        <f>IF(足元帳!AY110=1,"N",IF(足元帳!AY110=2,"R",""))</f>
        <v/>
      </c>
      <c r="D124" s="74" t="str">
        <f>IF(足元帳!AZ110&gt;0,VLOOKUP(足元帳!AZ110,管理シート!$R$4:$V$12,5,FALSE),"")</f>
        <v/>
      </c>
      <c r="E124" s="587" t="str">
        <f>IF(足元帳!J110="","",足元帳!J110)</f>
        <v/>
      </c>
      <c r="F124" s="566"/>
      <c r="G124" s="587" t="str">
        <f>IF(足元帳!K110="","",足元帳!K110)</f>
        <v/>
      </c>
      <c r="H124" s="565"/>
      <c r="I124" s="565"/>
      <c r="J124" s="566"/>
      <c r="K124" s="587" t="str">
        <f>IF(足元帳!BB110&gt;0,VLOOKUP(足元帳!BB110,管理シート!$R$4:$W$12,4,FALSE),"")</f>
        <v/>
      </c>
      <c r="L124" s="565"/>
      <c r="M124" s="566"/>
      <c r="N124" s="587" t="str">
        <f>IF(足元帳!U110="","",足元帳!U110)&amp;IF(足元帳!V110="","",足元帳!V110)&amp;IF(足元帳!W110="","",足元帳!W110)&amp;IF(足元帳!X110="","",足元帳!X110)&amp;IF(足元帳!Y110="","",足元帳!Y110)&amp;IF(足元帳!Z110="","",足元帳!Z110)</f>
        <v/>
      </c>
      <c r="O124" s="565"/>
      <c r="P124" s="565"/>
      <c r="Q124" s="565"/>
      <c r="R124" s="565"/>
      <c r="S124" s="566"/>
      <c r="T124" s="661" t="str">
        <f ca="1">IFERROR(INDEX(管理シート!$CB$3:$CK$24,MATCH(W124,管理シート!$CB$3:$CB$24,0),MATCH(K124,管理シート!$CB$3:$CM$3,0)),"")</f>
        <v/>
      </c>
      <c r="U124" s="661"/>
      <c r="V124" s="661"/>
      <c r="W124" s="587" t="str">
        <f ca="1">IF(ISERROR(MATCH("●",足元帳!AA110:AJ110,0)),"",INDIRECT("足元帳!R1C"&amp;MATCH("●",足元帳!AA110:AJ110,0)+26,FALSE))</f>
        <v/>
      </c>
      <c r="X124" s="565"/>
      <c r="Y124" s="566"/>
      <c r="Z124" s="587" t="str">
        <f>IF(足元帳!AL110="","","○")</f>
        <v/>
      </c>
      <c r="AA124" s="566"/>
      <c r="AB124" s="635" t="str">
        <f>IF(足元帳!AM110="","","現金カード払い"&amp;足元帳!AM110&amp;"  ")&amp;IF(足元帳!AP110="","",足元帳!AP110&amp;"　")&amp;IF(足元帳!AQ110="","",足元帳!AQ110&amp;"　")&amp;IF(足元帳!AR110="","",足元帳!AR110&amp;"　")&amp;IF(足元帳!AS110="","",足元帳!AS110&amp;"　")&amp;IF(足元帳!AT110="","",足元帳!AT110&amp;"　")&amp;IF(足元帳!AN110="","","LOVE×2")&amp;IF(足元帳!AJ110="","","MM"&amp;足元帳!AJ110)&amp;IF(足元帳!AW110="","",W124&amp;"利用"&amp;足元帳!AW110)&amp;IF(足元帳!AX110="",""," 優待券配布"&amp;足元帳!AX110)&amp;IF(足元帳!AU110="","","メルマガ")</f>
        <v/>
      </c>
      <c r="AC124" s="636"/>
      <c r="AD124" s="636"/>
      <c r="AE124" s="636"/>
      <c r="AF124" s="636"/>
      <c r="AG124" s="636"/>
      <c r="AH124" s="636"/>
      <c r="AI124" s="636"/>
      <c r="AJ124" s="636"/>
      <c r="AK124" s="636"/>
      <c r="AL124" s="636"/>
      <c r="AM124" s="636"/>
      <c r="AN124" s="636"/>
      <c r="AO124" s="636"/>
      <c r="AP124" s="636"/>
      <c r="AQ124" s="662"/>
      <c r="AR124" s="113" t="str">
        <f>IF(足元帳!A110="","",足元帳!A110)</f>
        <v/>
      </c>
      <c r="AS124" s="123">
        <f>COUNTIF(AR$4:AR124,AR124)</f>
        <v>121</v>
      </c>
    </row>
    <row r="125" spans="1:45" ht="23.45" customHeight="1">
      <c r="A125" s="586">
        <f t="shared" si="2"/>
        <v>110</v>
      </c>
      <c r="B125" s="566"/>
      <c r="C125" s="73" t="str">
        <f>IF(足元帳!AY111=1,"N",IF(足元帳!AY111=2,"R",""))</f>
        <v/>
      </c>
      <c r="D125" s="74" t="str">
        <f>IF(足元帳!AZ111&gt;0,VLOOKUP(足元帳!AZ111,管理シート!$R$4:$V$12,5,FALSE),"")</f>
        <v/>
      </c>
      <c r="E125" s="587" t="str">
        <f>IF(足元帳!J111="","",足元帳!J111)</f>
        <v/>
      </c>
      <c r="F125" s="566"/>
      <c r="G125" s="587" t="str">
        <f>IF(足元帳!K111="","",足元帳!K111)</f>
        <v/>
      </c>
      <c r="H125" s="565"/>
      <c r="I125" s="565"/>
      <c r="J125" s="566"/>
      <c r="K125" s="587" t="str">
        <f>IF(足元帳!BB111&gt;0,VLOOKUP(足元帳!BB111,管理シート!$R$4:$W$12,4,FALSE),"")</f>
        <v/>
      </c>
      <c r="L125" s="565"/>
      <c r="M125" s="566"/>
      <c r="N125" s="587" t="str">
        <f>IF(足元帳!U111="","",足元帳!U111)&amp;IF(足元帳!V111="","",足元帳!V111)&amp;IF(足元帳!W111="","",足元帳!W111)&amp;IF(足元帳!X111="","",足元帳!X111)&amp;IF(足元帳!Y111="","",足元帳!Y111)&amp;IF(足元帳!Z111="","",足元帳!Z111)</f>
        <v/>
      </c>
      <c r="O125" s="565"/>
      <c r="P125" s="565"/>
      <c r="Q125" s="565"/>
      <c r="R125" s="565"/>
      <c r="S125" s="566"/>
      <c r="T125" s="661" t="str">
        <f ca="1">IFERROR(INDEX(管理シート!$CB$3:$CK$24,MATCH(W125,管理シート!$CB$3:$CB$24,0),MATCH(K125,管理シート!$CB$3:$CM$3,0)),"")</f>
        <v/>
      </c>
      <c r="U125" s="661"/>
      <c r="V125" s="661"/>
      <c r="W125" s="587" t="str">
        <f ca="1">IF(ISERROR(MATCH("●",足元帳!AA111:AJ111,0)),"",INDIRECT("足元帳!R1C"&amp;MATCH("●",足元帳!AA111:AJ111,0)+26,FALSE))</f>
        <v/>
      </c>
      <c r="X125" s="565"/>
      <c r="Y125" s="566"/>
      <c r="Z125" s="587" t="str">
        <f>IF(足元帳!AL111="","","○")</f>
        <v/>
      </c>
      <c r="AA125" s="566"/>
      <c r="AB125" s="635" t="str">
        <f>IF(足元帳!AM111="","","現金カード払い"&amp;足元帳!AM111&amp;"  ")&amp;IF(足元帳!AP111="","",足元帳!AP111&amp;"　")&amp;IF(足元帳!AQ111="","",足元帳!AQ111&amp;"　")&amp;IF(足元帳!AR111="","",足元帳!AR111&amp;"　")&amp;IF(足元帳!AS111="","",足元帳!AS111&amp;"　")&amp;IF(足元帳!AT111="","",足元帳!AT111&amp;"　")&amp;IF(足元帳!AN111="","","LOVE×2")&amp;IF(足元帳!AJ111="","","MM"&amp;足元帳!AJ111)&amp;IF(足元帳!AW111="","",W125&amp;"利用"&amp;足元帳!AW111)&amp;IF(足元帳!AX111="",""," 優待券配布"&amp;足元帳!AX111)&amp;IF(足元帳!AU111="","","メルマガ")</f>
        <v/>
      </c>
      <c r="AC125" s="636"/>
      <c r="AD125" s="636"/>
      <c r="AE125" s="636"/>
      <c r="AF125" s="636"/>
      <c r="AG125" s="636"/>
      <c r="AH125" s="636"/>
      <c r="AI125" s="636"/>
      <c r="AJ125" s="636"/>
      <c r="AK125" s="636"/>
      <c r="AL125" s="636"/>
      <c r="AM125" s="636"/>
      <c r="AN125" s="636"/>
      <c r="AO125" s="636"/>
      <c r="AP125" s="636"/>
      <c r="AQ125" s="662"/>
      <c r="AR125" s="113" t="str">
        <f>IF(足元帳!A111="","",足元帳!A111)</f>
        <v/>
      </c>
      <c r="AS125" s="123">
        <f>COUNTIF(AR$4:AR125,AR125)</f>
        <v>122</v>
      </c>
    </row>
    <row r="126" spans="1:45" ht="23.45" customHeight="1">
      <c r="A126" s="655">
        <f t="shared" si="2"/>
        <v>111</v>
      </c>
      <c r="B126" s="604"/>
      <c r="C126" s="73" t="str">
        <f>IF(足元帳!AY112=1,"N",IF(足元帳!AY112=2,"R",""))</f>
        <v/>
      </c>
      <c r="D126" s="74" t="str">
        <f>IF(足元帳!AZ112&gt;0,VLOOKUP(足元帳!AZ112,管理シート!$R$4:$V$12,5,FALSE),"")</f>
        <v/>
      </c>
      <c r="E126" s="587" t="str">
        <f>IF(足元帳!J112="","",足元帳!J112)</f>
        <v/>
      </c>
      <c r="F126" s="566"/>
      <c r="G126" s="587" t="str">
        <f>IF(足元帳!K112="","",足元帳!K112)</f>
        <v/>
      </c>
      <c r="H126" s="565"/>
      <c r="I126" s="565"/>
      <c r="J126" s="566"/>
      <c r="K126" s="587" t="str">
        <f>IF(足元帳!BB112&gt;0,VLOOKUP(足元帳!BB112,管理シート!$R$4:$W$12,4,FALSE),"")</f>
        <v/>
      </c>
      <c r="L126" s="565"/>
      <c r="M126" s="566"/>
      <c r="N126" s="587" t="str">
        <f>IF(足元帳!U112="","",足元帳!U112)&amp;IF(足元帳!V112="","",足元帳!V112)&amp;IF(足元帳!W112="","",足元帳!W112)&amp;IF(足元帳!X112="","",足元帳!X112)&amp;IF(足元帳!Y112="","",足元帳!Y112)&amp;IF(足元帳!Z112="","",足元帳!Z112)</f>
        <v/>
      </c>
      <c r="O126" s="565"/>
      <c r="P126" s="565"/>
      <c r="Q126" s="565"/>
      <c r="R126" s="565"/>
      <c r="S126" s="566"/>
      <c r="T126" s="661" t="str">
        <f ca="1">IFERROR(INDEX(管理シート!$CB$3:$CK$24,MATCH(W126,管理シート!$CB$3:$CB$24,0),MATCH(K126,管理シート!$CB$3:$CM$3,0)),"")</f>
        <v/>
      </c>
      <c r="U126" s="661"/>
      <c r="V126" s="661"/>
      <c r="W126" s="587" t="str">
        <f ca="1">IF(ISERROR(MATCH("●",足元帳!AA112:AJ112,0)),"",INDIRECT("足元帳!R1C"&amp;MATCH("●",足元帳!AA112:AJ112,0)+26,FALSE))</f>
        <v/>
      </c>
      <c r="X126" s="565"/>
      <c r="Y126" s="566"/>
      <c r="Z126" s="587" t="str">
        <f>IF(足元帳!AL112="","","○")</f>
        <v/>
      </c>
      <c r="AA126" s="566"/>
      <c r="AB126" s="635" t="str">
        <f>IF(足元帳!AM112="","","現金カード払い"&amp;足元帳!AM112&amp;"  ")&amp;IF(足元帳!AP112="","",足元帳!AP112&amp;"　")&amp;IF(足元帳!AQ112="","",足元帳!AQ112&amp;"　")&amp;IF(足元帳!AR112="","",足元帳!AR112&amp;"　")&amp;IF(足元帳!AS112="","",足元帳!AS112&amp;"　")&amp;IF(足元帳!AT112="","",足元帳!AT112&amp;"　")&amp;IF(足元帳!AN112="","","LOVE×2")&amp;IF(足元帳!AJ112="","","MM"&amp;足元帳!AJ112)&amp;IF(足元帳!AW112="","",W126&amp;"利用"&amp;足元帳!AW112)&amp;IF(足元帳!AX112="",""," 優待券配布"&amp;足元帳!AX112)&amp;IF(足元帳!AU112="","","メルマガ")</f>
        <v/>
      </c>
      <c r="AC126" s="636"/>
      <c r="AD126" s="636"/>
      <c r="AE126" s="636"/>
      <c r="AF126" s="636"/>
      <c r="AG126" s="636"/>
      <c r="AH126" s="636"/>
      <c r="AI126" s="636"/>
      <c r="AJ126" s="636"/>
      <c r="AK126" s="636"/>
      <c r="AL126" s="636"/>
      <c r="AM126" s="636"/>
      <c r="AN126" s="636"/>
      <c r="AO126" s="636"/>
      <c r="AP126" s="636"/>
      <c r="AQ126" s="662"/>
      <c r="AR126" s="113" t="str">
        <f>IF(足元帳!A112="","",足元帳!A112)</f>
        <v/>
      </c>
      <c r="AS126" s="123">
        <f>COUNTIF(AR$4:AR126,AR126)</f>
        <v>123</v>
      </c>
    </row>
    <row r="127" spans="1:45" ht="23.45" customHeight="1">
      <c r="A127" s="655">
        <f t="shared" si="2"/>
        <v>112</v>
      </c>
      <c r="B127" s="604"/>
      <c r="C127" s="73" t="str">
        <f>IF(足元帳!AY113=1,"N",IF(足元帳!AY113=2,"R",""))</f>
        <v/>
      </c>
      <c r="D127" s="74" t="str">
        <f>IF(足元帳!AZ113&gt;0,VLOOKUP(足元帳!AZ113,管理シート!$R$4:$V$12,5,FALSE),"")</f>
        <v/>
      </c>
      <c r="E127" s="587" t="str">
        <f>IF(足元帳!J113="","",足元帳!J113)</f>
        <v/>
      </c>
      <c r="F127" s="566"/>
      <c r="G127" s="587" t="str">
        <f>IF(足元帳!K113="","",足元帳!K113)</f>
        <v/>
      </c>
      <c r="H127" s="565"/>
      <c r="I127" s="565"/>
      <c r="J127" s="566"/>
      <c r="K127" s="587" t="str">
        <f>IF(足元帳!BB113&gt;0,VLOOKUP(足元帳!BB113,管理シート!$R$4:$W$12,4,FALSE),"")</f>
        <v/>
      </c>
      <c r="L127" s="565"/>
      <c r="M127" s="566"/>
      <c r="N127" s="587" t="str">
        <f>IF(足元帳!U113="","",足元帳!U113)&amp;IF(足元帳!V113="","",足元帳!V113)&amp;IF(足元帳!W113="","",足元帳!W113)&amp;IF(足元帳!X113="","",足元帳!X113)&amp;IF(足元帳!Y113="","",足元帳!Y113)&amp;IF(足元帳!Z113="","",足元帳!Z113)</f>
        <v/>
      </c>
      <c r="O127" s="565"/>
      <c r="P127" s="565"/>
      <c r="Q127" s="565"/>
      <c r="R127" s="565"/>
      <c r="S127" s="566"/>
      <c r="T127" s="661" t="str">
        <f ca="1">IFERROR(INDEX(管理シート!$CB$3:$CK$24,MATCH(W127,管理シート!$CB$3:$CB$24,0),MATCH(K127,管理シート!$CB$3:$CM$3,0)),"")</f>
        <v/>
      </c>
      <c r="U127" s="661"/>
      <c r="V127" s="661"/>
      <c r="W127" s="587" t="str">
        <f ca="1">IF(ISERROR(MATCH("●",足元帳!AA113:AJ113,0)),"",INDIRECT("足元帳!R1C"&amp;MATCH("●",足元帳!AA113:AJ113,0)+26,FALSE))</f>
        <v/>
      </c>
      <c r="X127" s="565"/>
      <c r="Y127" s="566"/>
      <c r="Z127" s="587" t="str">
        <f>IF(足元帳!AL113="","","○")</f>
        <v/>
      </c>
      <c r="AA127" s="566"/>
      <c r="AB127" s="635" t="str">
        <f>IF(足元帳!AM113="","","現金カード払い"&amp;足元帳!AM113&amp;"  ")&amp;IF(足元帳!AP113="","",足元帳!AP113&amp;"　")&amp;IF(足元帳!AQ113="","",足元帳!AQ113&amp;"　")&amp;IF(足元帳!AR113="","",足元帳!AR113&amp;"　")&amp;IF(足元帳!AS113="","",足元帳!AS113&amp;"　")&amp;IF(足元帳!AT113="","",足元帳!AT113&amp;"　")&amp;IF(足元帳!AN113="","","LOVE×2")&amp;IF(足元帳!AJ113="","","MM"&amp;足元帳!AJ113)&amp;IF(足元帳!AW113="","",W127&amp;"利用"&amp;足元帳!AW113)&amp;IF(足元帳!AX113="",""," 優待券配布"&amp;足元帳!AX113)&amp;IF(足元帳!AU113="","","メルマガ")</f>
        <v/>
      </c>
      <c r="AC127" s="636"/>
      <c r="AD127" s="636"/>
      <c r="AE127" s="636"/>
      <c r="AF127" s="636"/>
      <c r="AG127" s="636"/>
      <c r="AH127" s="636"/>
      <c r="AI127" s="636"/>
      <c r="AJ127" s="636"/>
      <c r="AK127" s="636"/>
      <c r="AL127" s="636"/>
      <c r="AM127" s="636"/>
      <c r="AN127" s="636"/>
      <c r="AO127" s="636"/>
      <c r="AP127" s="636"/>
      <c r="AQ127" s="662"/>
      <c r="AR127" s="113" t="str">
        <f>IF(足元帳!A113="","",足元帳!A113)</f>
        <v/>
      </c>
      <c r="AS127" s="123">
        <f>COUNTIF(AR$4:AR127,AR127)</f>
        <v>124</v>
      </c>
    </row>
    <row r="128" spans="1:45" ht="23.45" customHeight="1">
      <c r="A128" s="655">
        <f t="shared" si="2"/>
        <v>113</v>
      </c>
      <c r="B128" s="604"/>
      <c r="C128" s="73" t="str">
        <f>IF(足元帳!AY114=1,"N",IF(足元帳!AY114=2,"R",""))</f>
        <v/>
      </c>
      <c r="D128" s="74" t="str">
        <f>IF(足元帳!AZ114&gt;0,VLOOKUP(足元帳!AZ114,管理シート!$R$4:$V$12,5,FALSE),"")</f>
        <v/>
      </c>
      <c r="E128" s="587" t="str">
        <f>IF(足元帳!J114="","",足元帳!J114)</f>
        <v/>
      </c>
      <c r="F128" s="566"/>
      <c r="G128" s="587" t="str">
        <f>IF(足元帳!K114="","",足元帳!K114)</f>
        <v/>
      </c>
      <c r="H128" s="565"/>
      <c r="I128" s="565"/>
      <c r="J128" s="566"/>
      <c r="K128" s="587" t="str">
        <f>IF(足元帳!BB114&gt;0,VLOOKUP(足元帳!BB114,管理シート!$R$4:$W$12,4,FALSE),"")</f>
        <v/>
      </c>
      <c r="L128" s="565"/>
      <c r="M128" s="566"/>
      <c r="N128" s="587" t="str">
        <f>IF(足元帳!U114="","",足元帳!U114)&amp;IF(足元帳!V114="","",足元帳!V114)&amp;IF(足元帳!W114="","",足元帳!W114)&amp;IF(足元帳!X114="","",足元帳!X114)&amp;IF(足元帳!Y114="","",足元帳!Y114)&amp;IF(足元帳!Z114="","",足元帳!Z114)</f>
        <v/>
      </c>
      <c r="O128" s="565"/>
      <c r="P128" s="565"/>
      <c r="Q128" s="565"/>
      <c r="R128" s="565"/>
      <c r="S128" s="566"/>
      <c r="T128" s="661" t="str">
        <f ca="1">IFERROR(INDEX(管理シート!$CB$3:$CK$24,MATCH(W128,管理シート!$CB$3:$CB$24,0),MATCH(K128,管理シート!$CB$3:$CM$3,0)),"")</f>
        <v/>
      </c>
      <c r="U128" s="661"/>
      <c r="V128" s="661"/>
      <c r="W128" s="587" t="str">
        <f ca="1">IF(ISERROR(MATCH("●",足元帳!AA114:AJ114,0)),"",INDIRECT("足元帳!R1C"&amp;MATCH("●",足元帳!AA114:AJ114,0)+26,FALSE))</f>
        <v/>
      </c>
      <c r="X128" s="565"/>
      <c r="Y128" s="566"/>
      <c r="Z128" s="587" t="str">
        <f>IF(足元帳!AL114="","","○")</f>
        <v/>
      </c>
      <c r="AA128" s="566"/>
      <c r="AB128" s="635" t="str">
        <f>IF(足元帳!AM114="","","現金カード払い"&amp;足元帳!AM114&amp;"  ")&amp;IF(足元帳!AP114="","",足元帳!AP114&amp;"　")&amp;IF(足元帳!AQ114="","",足元帳!AQ114&amp;"　")&amp;IF(足元帳!AR114="","",足元帳!AR114&amp;"　")&amp;IF(足元帳!AS114="","",足元帳!AS114&amp;"　")&amp;IF(足元帳!AT114="","",足元帳!AT114&amp;"　")&amp;IF(足元帳!AN114="","","LOVE×2")&amp;IF(足元帳!AJ114="","","MM"&amp;足元帳!AJ114)&amp;IF(足元帳!AW114="","",W128&amp;"利用"&amp;足元帳!AW114)&amp;IF(足元帳!AX114="",""," 優待券配布"&amp;足元帳!AX114)&amp;IF(足元帳!AU114="","","メルマガ")</f>
        <v/>
      </c>
      <c r="AC128" s="636"/>
      <c r="AD128" s="636"/>
      <c r="AE128" s="636"/>
      <c r="AF128" s="636"/>
      <c r="AG128" s="636"/>
      <c r="AH128" s="636"/>
      <c r="AI128" s="636"/>
      <c r="AJ128" s="636"/>
      <c r="AK128" s="636"/>
      <c r="AL128" s="636"/>
      <c r="AM128" s="636"/>
      <c r="AN128" s="636"/>
      <c r="AO128" s="636"/>
      <c r="AP128" s="636"/>
      <c r="AQ128" s="662"/>
      <c r="AR128" s="113" t="str">
        <f>IF(足元帳!A114="","",足元帳!A114)</f>
        <v/>
      </c>
      <c r="AS128" s="123">
        <f>COUNTIF(AR$4:AR128,AR128)</f>
        <v>125</v>
      </c>
    </row>
    <row r="129" spans="1:45" ht="23.45" customHeight="1">
      <c r="A129" s="655">
        <f t="shared" si="2"/>
        <v>114</v>
      </c>
      <c r="B129" s="604"/>
      <c r="C129" s="73" t="str">
        <f>IF(足元帳!AY115=1,"N",IF(足元帳!AY115=2,"R",""))</f>
        <v/>
      </c>
      <c r="D129" s="74" t="str">
        <f>IF(足元帳!AZ115&gt;0,VLOOKUP(足元帳!AZ115,管理シート!$R$4:$V$12,5,FALSE),"")</f>
        <v/>
      </c>
      <c r="E129" s="587" t="str">
        <f>IF(足元帳!J115="","",足元帳!J115)</f>
        <v/>
      </c>
      <c r="F129" s="566"/>
      <c r="G129" s="587" t="str">
        <f>IF(足元帳!K115="","",足元帳!K115)</f>
        <v/>
      </c>
      <c r="H129" s="565"/>
      <c r="I129" s="565"/>
      <c r="J129" s="566"/>
      <c r="K129" s="587" t="str">
        <f>IF(足元帳!BB115&gt;0,VLOOKUP(足元帳!BB115,管理シート!$R$4:$W$12,4,FALSE),"")</f>
        <v/>
      </c>
      <c r="L129" s="565"/>
      <c r="M129" s="566"/>
      <c r="N129" s="587" t="str">
        <f>IF(足元帳!U115="","",足元帳!U115)&amp;IF(足元帳!V115="","",足元帳!V115)&amp;IF(足元帳!W115="","",足元帳!W115)&amp;IF(足元帳!X115="","",足元帳!X115)&amp;IF(足元帳!Y115="","",足元帳!Y115)&amp;IF(足元帳!Z115="","",足元帳!Z115)</f>
        <v/>
      </c>
      <c r="O129" s="565"/>
      <c r="P129" s="565"/>
      <c r="Q129" s="565"/>
      <c r="R129" s="565"/>
      <c r="S129" s="566"/>
      <c r="T129" s="661" t="str">
        <f ca="1">IFERROR(INDEX(管理シート!$CB$3:$CK$24,MATCH(W129,管理シート!$CB$3:$CB$24,0),MATCH(K129,管理シート!$CB$3:$CM$3,0)),"")</f>
        <v/>
      </c>
      <c r="U129" s="661"/>
      <c r="V129" s="661"/>
      <c r="W129" s="587" t="str">
        <f ca="1">IF(ISERROR(MATCH("●",足元帳!AA115:AJ115,0)),"",INDIRECT("足元帳!R1C"&amp;MATCH("●",足元帳!AA115:AJ115,0)+26,FALSE))</f>
        <v/>
      </c>
      <c r="X129" s="565"/>
      <c r="Y129" s="566"/>
      <c r="Z129" s="587" t="str">
        <f>IF(足元帳!AL115="","","○")</f>
        <v/>
      </c>
      <c r="AA129" s="566"/>
      <c r="AB129" s="635" t="str">
        <f>IF(足元帳!AM115="","","現金カード払い"&amp;足元帳!AM115&amp;"  ")&amp;IF(足元帳!AP115="","",足元帳!AP115&amp;"　")&amp;IF(足元帳!AQ115="","",足元帳!AQ115&amp;"　")&amp;IF(足元帳!AR115="","",足元帳!AR115&amp;"　")&amp;IF(足元帳!AS115="","",足元帳!AS115&amp;"　")&amp;IF(足元帳!AT115="","",足元帳!AT115&amp;"　")&amp;IF(足元帳!AN115="","","LOVE×2")&amp;IF(足元帳!AJ115="","","MM"&amp;足元帳!AJ115)&amp;IF(足元帳!AW115="","",W129&amp;"利用"&amp;足元帳!AW115)&amp;IF(足元帳!AX115="",""," 優待券配布"&amp;足元帳!AX115)&amp;IF(足元帳!AU115="","","メルマガ")</f>
        <v/>
      </c>
      <c r="AC129" s="636"/>
      <c r="AD129" s="636"/>
      <c r="AE129" s="636"/>
      <c r="AF129" s="636"/>
      <c r="AG129" s="636"/>
      <c r="AH129" s="636"/>
      <c r="AI129" s="636"/>
      <c r="AJ129" s="636"/>
      <c r="AK129" s="636"/>
      <c r="AL129" s="636"/>
      <c r="AM129" s="636"/>
      <c r="AN129" s="636"/>
      <c r="AO129" s="636"/>
      <c r="AP129" s="636"/>
      <c r="AQ129" s="662"/>
      <c r="AR129" s="113" t="str">
        <f>IF(足元帳!A115="","",足元帳!A115)</f>
        <v/>
      </c>
      <c r="AS129" s="123">
        <f>COUNTIF(AR$4:AR129,AR129)</f>
        <v>126</v>
      </c>
    </row>
    <row r="130" spans="1:45" ht="23.45" customHeight="1">
      <c r="A130" s="655">
        <f t="shared" si="2"/>
        <v>115</v>
      </c>
      <c r="B130" s="604"/>
      <c r="C130" s="73" t="str">
        <f>IF(足元帳!AY116=1,"N",IF(足元帳!AY116=2,"R",""))</f>
        <v/>
      </c>
      <c r="D130" s="74" t="str">
        <f>IF(足元帳!AZ116&gt;0,VLOOKUP(足元帳!AZ116,管理シート!$R$4:$V$12,5,FALSE),"")</f>
        <v/>
      </c>
      <c r="E130" s="587" t="str">
        <f>IF(足元帳!J116="","",足元帳!J116)</f>
        <v/>
      </c>
      <c r="F130" s="566"/>
      <c r="G130" s="587" t="str">
        <f>IF(足元帳!K116="","",足元帳!K116)</f>
        <v/>
      </c>
      <c r="H130" s="565"/>
      <c r="I130" s="565"/>
      <c r="J130" s="566"/>
      <c r="K130" s="587" t="str">
        <f>IF(足元帳!BB116&gt;0,VLOOKUP(足元帳!BB116,管理シート!$R$4:$W$12,4,FALSE),"")</f>
        <v/>
      </c>
      <c r="L130" s="565"/>
      <c r="M130" s="566"/>
      <c r="N130" s="587" t="str">
        <f>IF(足元帳!U116="","",足元帳!U116)&amp;IF(足元帳!V116="","",足元帳!V116)&amp;IF(足元帳!W116="","",足元帳!W116)&amp;IF(足元帳!X116="","",足元帳!X116)&amp;IF(足元帳!Y116="","",足元帳!Y116)&amp;IF(足元帳!Z116="","",足元帳!Z116)</f>
        <v/>
      </c>
      <c r="O130" s="565"/>
      <c r="P130" s="565"/>
      <c r="Q130" s="565"/>
      <c r="R130" s="565"/>
      <c r="S130" s="566"/>
      <c r="T130" s="661" t="str">
        <f ca="1">IFERROR(INDEX(管理シート!$CB$3:$CK$24,MATCH(W130,管理シート!$CB$3:$CB$24,0),MATCH(K130,管理シート!$CB$3:$CM$3,0)),"")</f>
        <v/>
      </c>
      <c r="U130" s="661"/>
      <c r="V130" s="661"/>
      <c r="W130" s="587" t="str">
        <f ca="1">IF(ISERROR(MATCH("●",足元帳!AA116:AJ116,0)),"",INDIRECT("足元帳!R1C"&amp;MATCH("●",足元帳!AA116:AJ116,0)+26,FALSE))</f>
        <v/>
      </c>
      <c r="X130" s="565"/>
      <c r="Y130" s="566"/>
      <c r="Z130" s="587" t="str">
        <f>IF(足元帳!AL116="","","○")</f>
        <v/>
      </c>
      <c r="AA130" s="566"/>
      <c r="AB130" s="635" t="str">
        <f>IF(足元帳!AM116="","","現金カード払い"&amp;足元帳!AM116&amp;"  ")&amp;IF(足元帳!AP116="","",足元帳!AP116&amp;"　")&amp;IF(足元帳!AQ116="","",足元帳!AQ116&amp;"　")&amp;IF(足元帳!AR116="","",足元帳!AR116&amp;"　")&amp;IF(足元帳!AS116="","",足元帳!AS116&amp;"　")&amp;IF(足元帳!AT116="","",足元帳!AT116&amp;"　")&amp;IF(足元帳!AN116="","","LOVE×2")&amp;IF(足元帳!AJ116="","","MM"&amp;足元帳!AJ116)&amp;IF(足元帳!AW116="","",W130&amp;"利用"&amp;足元帳!AW116)&amp;IF(足元帳!AX116="",""," 優待券配布"&amp;足元帳!AX116)&amp;IF(足元帳!AU116="","","メルマガ")</f>
        <v/>
      </c>
      <c r="AC130" s="636"/>
      <c r="AD130" s="636"/>
      <c r="AE130" s="636"/>
      <c r="AF130" s="636"/>
      <c r="AG130" s="636"/>
      <c r="AH130" s="636"/>
      <c r="AI130" s="636"/>
      <c r="AJ130" s="636"/>
      <c r="AK130" s="636"/>
      <c r="AL130" s="636"/>
      <c r="AM130" s="636"/>
      <c r="AN130" s="636"/>
      <c r="AO130" s="636"/>
      <c r="AP130" s="636"/>
      <c r="AQ130" s="662"/>
      <c r="AR130" s="113" t="str">
        <f>IF(足元帳!A116="","",足元帳!A116)</f>
        <v/>
      </c>
      <c r="AS130" s="123">
        <f>COUNTIF(AR$4:AR130,AR130)</f>
        <v>127</v>
      </c>
    </row>
    <row r="131" spans="1:45" ht="23.45" customHeight="1">
      <c r="A131" s="655">
        <f t="shared" si="2"/>
        <v>116</v>
      </c>
      <c r="B131" s="604"/>
      <c r="C131" s="73" t="str">
        <f>IF(足元帳!AY117=1,"N",IF(足元帳!AY117=2,"R",""))</f>
        <v/>
      </c>
      <c r="D131" s="74" t="str">
        <f>IF(足元帳!AZ117&gt;0,VLOOKUP(足元帳!AZ117,管理シート!$R$4:$V$12,5,FALSE),"")</f>
        <v/>
      </c>
      <c r="E131" s="587" t="str">
        <f>IF(足元帳!J117="","",足元帳!J117)</f>
        <v/>
      </c>
      <c r="F131" s="566"/>
      <c r="G131" s="587" t="str">
        <f>IF(足元帳!K117="","",足元帳!K117)</f>
        <v/>
      </c>
      <c r="H131" s="565"/>
      <c r="I131" s="565"/>
      <c r="J131" s="566"/>
      <c r="K131" s="587" t="str">
        <f>IF(足元帳!BB117&gt;0,VLOOKUP(足元帳!BB117,管理シート!$R$4:$W$12,4,FALSE),"")</f>
        <v/>
      </c>
      <c r="L131" s="565"/>
      <c r="M131" s="566"/>
      <c r="N131" s="587" t="str">
        <f>IF(足元帳!U117="","",足元帳!U117)&amp;IF(足元帳!V117="","",足元帳!V117)&amp;IF(足元帳!W117="","",足元帳!W117)&amp;IF(足元帳!X117="","",足元帳!X117)&amp;IF(足元帳!Y117="","",足元帳!Y117)&amp;IF(足元帳!Z117="","",足元帳!Z117)</f>
        <v/>
      </c>
      <c r="O131" s="565"/>
      <c r="P131" s="565"/>
      <c r="Q131" s="565"/>
      <c r="R131" s="565"/>
      <c r="S131" s="566"/>
      <c r="T131" s="661" t="str">
        <f ca="1">IFERROR(INDEX(管理シート!$CB$3:$CK$24,MATCH(W131,管理シート!$CB$3:$CB$24,0),MATCH(K131,管理シート!$CB$3:$CM$3,0)),"")</f>
        <v/>
      </c>
      <c r="U131" s="661"/>
      <c r="V131" s="661"/>
      <c r="W131" s="587" t="str">
        <f ca="1">IF(ISERROR(MATCH("●",足元帳!AA117:AJ117,0)),"",INDIRECT("足元帳!R1C"&amp;MATCH("●",足元帳!AA117:AJ117,0)+26,FALSE))</f>
        <v/>
      </c>
      <c r="X131" s="565"/>
      <c r="Y131" s="566"/>
      <c r="Z131" s="587" t="str">
        <f>IF(足元帳!AL117="","","○")</f>
        <v/>
      </c>
      <c r="AA131" s="566"/>
      <c r="AB131" s="635" t="str">
        <f>IF(足元帳!AM117="","","現金カード払い"&amp;足元帳!AM117&amp;"  ")&amp;IF(足元帳!AP117="","",足元帳!AP117&amp;"　")&amp;IF(足元帳!AQ117="","",足元帳!AQ117&amp;"　")&amp;IF(足元帳!AR117="","",足元帳!AR117&amp;"　")&amp;IF(足元帳!AS117="","",足元帳!AS117&amp;"　")&amp;IF(足元帳!AT117="","",足元帳!AT117&amp;"　")&amp;IF(足元帳!AN117="","","LOVE×2")&amp;IF(足元帳!AJ117="","","MM"&amp;足元帳!AJ117)&amp;IF(足元帳!AW117="","",W131&amp;"利用"&amp;足元帳!AW117)&amp;IF(足元帳!AX117="",""," 優待券配布"&amp;足元帳!AX117)&amp;IF(足元帳!AU117="","","メルマガ")</f>
        <v/>
      </c>
      <c r="AC131" s="636"/>
      <c r="AD131" s="636"/>
      <c r="AE131" s="636"/>
      <c r="AF131" s="636"/>
      <c r="AG131" s="636"/>
      <c r="AH131" s="636"/>
      <c r="AI131" s="636"/>
      <c r="AJ131" s="636"/>
      <c r="AK131" s="636"/>
      <c r="AL131" s="636"/>
      <c r="AM131" s="636"/>
      <c r="AN131" s="636"/>
      <c r="AO131" s="636"/>
      <c r="AP131" s="636"/>
      <c r="AQ131" s="662"/>
      <c r="AR131" s="113" t="str">
        <f>IF(足元帳!A117="","",足元帳!A117)</f>
        <v/>
      </c>
      <c r="AS131" s="123">
        <f>COUNTIF(AR$4:AR131,AR131)</f>
        <v>128</v>
      </c>
    </row>
    <row r="132" spans="1:45" ht="23.45" customHeight="1">
      <c r="A132" s="655">
        <f t="shared" si="2"/>
        <v>117</v>
      </c>
      <c r="B132" s="604"/>
      <c r="C132" s="73" t="str">
        <f>IF(足元帳!AY118=1,"N",IF(足元帳!AY118=2,"R",""))</f>
        <v/>
      </c>
      <c r="D132" s="74" t="str">
        <f>IF(足元帳!AZ118&gt;0,VLOOKUP(足元帳!AZ118,管理シート!$R$4:$V$12,5,FALSE),"")</f>
        <v/>
      </c>
      <c r="E132" s="587" t="str">
        <f>IF(足元帳!J118="","",足元帳!J118)</f>
        <v/>
      </c>
      <c r="F132" s="566"/>
      <c r="G132" s="587" t="str">
        <f>IF(足元帳!K118="","",足元帳!K118)</f>
        <v/>
      </c>
      <c r="H132" s="565"/>
      <c r="I132" s="565"/>
      <c r="J132" s="566"/>
      <c r="K132" s="587" t="str">
        <f>IF(足元帳!BB118&gt;0,VLOOKUP(足元帳!BB118,管理シート!$R$4:$W$12,4,FALSE),"")</f>
        <v/>
      </c>
      <c r="L132" s="565"/>
      <c r="M132" s="566"/>
      <c r="N132" s="587" t="str">
        <f>IF(足元帳!U118="","",足元帳!U118)&amp;IF(足元帳!V118="","",足元帳!V118)&amp;IF(足元帳!W118="","",足元帳!W118)&amp;IF(足元帳!X118="","",足元帳!X118)&amp;IF(足元帳!Y118="","",足元帳!Y118)&amp;IF(足元帳!Z118="","",足元帳!Z118)</f>
        <v/>
      </c>
      <c r="O132" s="565"/>
      <c r="P132" s="565"/>
      <c r="Q132" s="565"/>
      <c r="R132" s="565"/>
      <c r="S132" s="566"/>
      <c r="T132" s="661" t="str">
        <f ca="1">IFERROR(INDEX(管理シート!$CB$3:$CK$24,MATCH(W132,管理シート!$CB$3:$CB$24,0),MATCH(K132,管理シート!$CB$3:$CM$3,0)),"")</f>
        <v/>
      </c>
      <c r="U132" s="661"/>
      <c r="V132" s="661"/>
      <c r="W132" s="587" t="str">
        <f ca="1">IF(ISERROR(MATCH("●",足元帳!AA118:AJ118,0)),"",INDIRECT("足元帳!R1C"&amp;MATCH("●",足元帳!AA118:AJ118,0)+26,FALSE))</f>
        <v/>
      </c>
      <c r="X132" s="565"/>
      <c r="Y132" s="566"/>
      <c r="Z132" s="587" t="str">
        <f>IF(足元帳!AL118="","","○")</f>
        <v/>
      </c>
      <c r="AA132" s="566"/>
      <c r="AB132" s="635" t="str">
        <f>IF(足元帳!AM118="","","現金カード払い"&amp;足元帳!AM118&amp;"  ")&amp;IF(足元帳!AP118="","",足元帳!AP118&amp;"　")&amp;IF(足元帳!AQ118="","",足元帳!AQ118&amp;"　")&amp;IF(足元帳!AR118="","",足元帳!AR118&amp;"　")&amp;IF(足元帳!AS118="","",足元帳!AS118&amp;"　")&amp;IF(足元帳!AT118="","",足元帳!AT118&amp;"　")&amp;IF(足元帳!AN118="","","LOVE×2")&amp;IF(足元帳!AJ118="","","MM"&amp;足元帳!AJ118)&amp;IF(足元帳!AW118="","",W132&amp;"利用"&amp;足元帳!AW118)&amp;IF(足元帳!AX118="",""," 優待券配布"&amp;足元帳!AX118)&amp;IF(足元帳!AU118="","","メルマガ")</f>
        <v/>
      </c>
      <c r="AC132" s="636"/>
      <c r="AD132" s="636"/>
      <c r="AE132" s="636"/>
      <c r="AF132" s="636"/>
      <c r="AG132" s="636"/>
      <c r="AH132" s="636"/>
      <c r="AI132" s="636"/>
      <c r="AJ132" s="636"/>
      <c r="AK132" s="636"/>
      <c r="AL132" s="636"/>
      <c r="AM132" s="636"/>
      <c r="AN132" s="636"/>
      <c r="AO132" s="636"/>
      <c r="AP132" s="636"/>
      <c r="AQ132" s="662"/>
      <c r="AR132" s="113" t="str">
        <f>IF(足元帳!A118="","",足元帳!A118)</f>
        <v/>
      </c>
      <c r="AS132" s="123">
        <f>COUNTIF(AR$4:AR132,AR132)</f>
        <v>129</v>
      </c>
    </row>
    <row r="133" spans="1:45" ht="23.45" customHeight="1">
      <c r="A133" s="655">
        <f t="shared" si="2"/>
        <v>118</v>
      </c>
      <c r="B133" s="604"/>
      <c r="C133" s="73" t="str">
        <f>IF(足元帳!AY119=1,"N",IF(足元帳!AY119=2,"R",""))</f>
        <v/>
      </c>
      <c r="D133" s="74" t="str">
        <f>IF(足元帳!AZ119&gt;0,VLOOKUP(足元帳!AZ119,管理シート!$R$4:$V$12,5,FALSE),"")</f>
        <v/>
      </c>
      <c r="E133" s="587" t="str">
        <f>IF(足元帳!J119="","",足元帳!J119)</f>
        <v/>
      </c>
      <c r="F133" s="566"/>
      <c r="G133" s="587" t="str">
        <f>IF(足元帳!K119="","",足元帳!K119)</f>
        <v/>
      </c>
      <c r="H133" s="565"/>
      <c r="I133" s="565"/>
      <c r="J133" s="566"/>
      <c r="K133" s="587" t="str">
        <f>IF(足元帳!BB119&gt;0,VLOOKUP(足元帳!BB119,管理シート!$R$4:$W$12,4,FALSE),"")</f>
        <v/>
      </c>
      <c r="L133" s="565"/>
      <c r="M133" s="566"/>
      <c r="N133" s="587" t="str">
        <f>IF(足元帳!U119="","",足元帳!U119)&amp;IF(足元帳!V119="","",足元帳!V119)&amp;IF(足元帳!W119="","",足元帳!W119)&amp;IF(足元帳!X119="","",足元帳!X119)&amp;IF(足元帳!Y119="","",足元帳!Y119)&amp;IF(足元帳!Z119="","",足元帳!Z119)</f>
        <v/>
      </c>
      <c r="O133" s="565"/>
      <c r="P133" s="565"/>
      <c r="Q133" s="565"/>
      <c r="R133" s="565"/>
      <c r="S133" s="566"/>
      <c r="T133" s="661" t="str">
        <f ca="1">IFERROR(INDEX(管理シート!$CB$3:$CK$24,MATCH(W133,管理シート!$CB$3:$CB$24,0),MATCH(K133,管理シート!$CB$3:$CM$3,0)),"")</f>
        <v/>
      </c>
      <c r="U133" s="661"/>
      <c r="V133" s="661"/>
      <c r="W133" s="587" t="str">
        <f ca="1">IF(ISERROR(MATCH("●",足元帳!AA119:AJ119,0)),"",INDIRECT("足元帳!R1C"&amp;MATCH("●",足元帳!AA119:AJ119,0)+26,FALSE))</f>
        <v/>
      </c>
      <c r="X133" s="565"/>
      <c r="Y133" s="566"/>
      <c r="Z133" s="587" t="str">
        <f>IF(足元帳!AL119="","","○")</f>
        <v/>
      </c>
      <c r="AA133" s="566"/>
      <c r="AB133" s="635" t="str">
        <f>IF(足元帳!AM119="","","現金カード払い"&amp;足元帳!AM119&amp;"  ")&amp;IF(足元帳!AP119="","",足元帳!AP119&amp;"　")&amp;IF(足元帳!AQ119="","",足元帳!AQ119&amp;"　")&amp;IF(足元帳!AR119="","",足元帳!AR119&amp;"　")&amp;IF(足元帳!AS119="","",足元帳!AS119&amp;"　")&amp;IF(足元帳!AT119="","",足元帳!AT119&amp;"　")&amp;IF(足元帳!AN119="","","LOVE×2")&amp;IF(足元帳!AJ119="","","MM"&amp;足元帳!AJ119)&amp;IF(足元帳!AW119="","",W133&amp;"利用"&amp;足元帳!AW119)&amp;IF(足元帳!AX119="",""," 優待券配布"&amp;足元帳!AX119)&amp;IF(足元帳!AU119="","","メルマガ")</f>
        <v/>
      </c>
      <c r="AC133" s="636"/>
      <c r="AD133" s="636"/>
      <c r="AE133" s="636"/>
      <c r="AF133" s="636"/>
      <c r="AG133" s="636"/>
      <c r="AH133" s="636"/>
      <c r="AI133" s="636"/>
      <c r="AJ133" s="636"/>
      <c r="AK133" s="636"/>
      <c r="AL133" s="636"/>
      <c r="AM133" s="636"/>
      <c r="AN133" s="636"/>
      <c r="AO133" s="636"/>
      <c r="AP133" s="636"/>
      <c r="AQ133" s="662"/>
      <c r="AR133" s="113" t="str">
        <f>IF(足元帳!A119="","",足元帳!A119)</f>
        <v/>
      </c>
      <c r="AS133" s="123">
        <f>COUNTIF(AR$4:AR133,AR133)</f>
        <v>130</v>
      </c>
    </row>
    <row r="134" spans="1:45" ht="23.45" customHeight="1">
      <c r="A134" s="655">
        <f t="shared" si="2"/>
        <v>119</v>
      </c>
      <c r="B134" s="604"/>
      <c r="C134" s="73" t="str">
        <f>IF(足元帳!AY120=1,"N",IF(足元帳!AY120=2,"R",""))</f>
        <v/>
      </c>
      <c r="D134" s="74" t="str">
        <f>IF(足元帳!AZ120&gt;0,VLOOKUP(足元帳!AZ120,管理シート!$R$4:$V$12,5,FALSE),"")</f>
        <v/>
      </c>
      <c r="E134" s="587" t="str">
        <f>IF(足元帳!J120="","",足元帳!J120)</f>
        <v/>
      </c>
      <c r="F134" s="566"/>
      <c r="G134" s="587" t="str">
        <f>IF(足元帳!K120="","",足元帳!K120)</f>
        <v/>
      </c>
      <c r="H134" s="565"/>
      <c r="I134" s="565"/>
      <c r="J134" s="566"/>
      <c r="K134" s="587" t="str">
        <f>IF(足元帳!BB120&gt;0,VLOOKUP(足元帳!BB120,管理シート!$R$4:$W$12,4,FALSE),"")</f>
        <v/>
      </c>
      <c r="L134" s="565"/>
      <c r="M134" s="566"/>
      <c r="N134" s="587" t="str">
        <f>IF(足元帳!U120="","",足元帳!U120)&amp;IF(足元帳!V120="","",足元帳!V120)&amp;IF(足元帳!W120="","",足元帳!W120)&amp;IF(足元帳!X120="","",足元帳!X120)&amp;IF(足元帳!Y120="","",足元帳!Y120)&amp;IF(足元帳!Z120="","",足元帳!Z120)</f>
        <v/>
      </c>
      <c r="O134" s="565"/>
      <c r="P134" s="565"/>
      <c r="Q134" s="565"/>
      <c r="R134" s="565"/>
      <c r="S134" s="566"/>
      <c r="T134" s="661" t="str">
        <f ca="1">IFERROR(INDEX(管理シート!$CB$3:$CK$24,MATCH(W134,管理シート!$CB$3:$CB$24,0),MATCH(K134,管理シート!$CB$3:$CM$3,0)),"")</f>
        <v/>
      </c>
      <c r="U134" s="661"/>
      <c r="V134" s="661"/>
      <c r="W134" s="587" t="str">
        <f ca="1">IF(ISERROR(MATCH("●",足元帳!AA120:AJ120,0)),"",INDIRECT("足元帳!R1C"&amp;MATCH("●",足元帳!AA120:AJ120,0)+26,FALSE))</f>
        <v/>
      </c>
      <c r="X134" s="565"/>
      <c r="Y134" s="566"/>
      <c r="Z134" s="587" t="str">
        <f>IF(足元帳!AL120="","","○")</f>
        <v/>
      </c>
      <c r="AA134" s="566"/>
      <c r="AB134" s="635" t="str">
        <f>IF(足元帳!AM120="","","現金カード払い"&amp;足元帳!AM120&amp;"  ")&amp;IF(足元帳!AP120="","",足元帳!AP120&amp;"　")&amp;IF(足元帳!AQ120="","",足元帳!AQ120&amp;"　")&amp;IF(足元帳!AR120="","",足元帳!AR120&amp;"　")&amp;IF(足元帳!AS120="","",足元帳!AS120&amp;"　")&amp;IF(足元帳!AT120="","",足元帳!AT120&amp;"　")&amp;IF(足元帳!AN120="","","LOVE×2")&amp;IF(足元帳!AJ120="","","MM"&amp;足元帳!AJ120)&amp;IF(足元帳!AW120="","",W134&amp;"利用"&amp;足元帳!AW120)&amp;IF(足元帳!AX120="",""," 優待券配布"&amp;足元帳!AX120)&amp;IF(足元帳!AU120="","","メルマガ")</f>
        <v/>
      </c>
      <c r="AC134" s="636"/>
      <c r="AD134" s="636"/>
      <c r="AE134" s="636"/>
      <c r="AF134" s="636"/>
      <c r="AG134" s="636"/>
      <c r="AH134" s="636"/>
      <c r="AI134" s="636"/>
      <c r="AJ134" s="636"/>
      <c r="AK134" s="636"/>
      <c r="AL134" s="636"/>
      <c r="AM134" s="636"/>
      <c r="AN134" s="636"/>
      <c r="AO134" s="636"/>
      <c r="AP134" s="636"/>
      <c r="AQ134" s="662"/>
      <c r="AR134" s="113" t="str">
        <f>IF(足元帳!A120="","",足元帳!A120)</f>
        <v/>
      </c>
      <c r="AS134" s="123">
        <f>COUNTIF(AR$4:AR134,AR134)</f>
        <v>131</v>
      </c>
    </row>
    <row r="135" spans="1:45" ht="23.45" customHeight="1" thickBot="1">
      <c r="A135" s="663">
        <f t="shared" si="2"/>
        <v>120</v>
      </c>
      <c r="B135" s="608"/>
      <c r="C135" s="76" t="str">
        <f>IF(足元帳!AY121=1,"N",IF(足元帳!AY121=2,"R",""))</f>
        <v/>
      </c>
      <c r="D135" s="77" t="str">
        <f>IF(足元帳!AZ121&gt;0,VLOOKUP(足元帳!AZ121,管理シート!$R$4:$V$12,5,FALSE),"")</f>
        <v/>
      </c>
      <c r="E135" s="597" t="str">
        <f>IF(足元帳!J121="","",足元帳!J121)</f>
        <v/>
      </c>
      <c r="F135" s="596"/>
      <c r="G135" s="597" t="str">
        <f>IF(足元帳!K121="","",足元帳!K121)</f>
        <v/>
      </c>
      <c r="H135" s="589"/>
      <c r="I135" s="589"/>
      <c r="J135" s="596"/>
      <c r="K135" s="597" t="str">
        <f>IF(足元帳!BB121&gt;0,VLOOKUP(足元帳!BB121,管理シート!$R$4:$W$12,4,FALSE),"")</f>
        <v/>
      </c>
      <c r="L135" s="589"/>
      <c r="M135" s="596"/>
      <c r="N135" s="597" t="str">
        <f>IF(足元帳!U121="","",足元帳!U121)&amp;IF(足元帳!V121="","",足元帳!V121)&amp;IF(足元帳!W121="","",足元帳!W121)&amp;IF(足元帳!X121="","",足元帳!X121)&amp;IF(足元帳!Y121="","",足元帳!Y121)&amp;IF(足元帳!Z121="","",足元帳!Z121)</f>
        <v/>
      </c>
      <c r="O135" s="589"/>
      <c r="P135" s="589"/>
      <c r="Q135" s="589"/>
      <c r="R135" s="589"/>
      <c r="S135" s="596"/>
      <c r="T135" s="608" t="str">
        <f ca="1">IFERROR(INDEX(管理シート!$CB$3:$CK$24,MATCH(W135,管理シート!$CB$3:$CB$24,0),MATCH(K135,管理シート!$CB$3:$CM$3,0)),"")</f>
        <v/>
      </c>
      <c r="U135" s="608"/>
      <c r="V135" s="608"/>
      <c r="W135" s="597" t="str">
        <f ca="1">IF(ISERROR(MATCH("●",足元帳!AA121:AJ121,0)),"",INDIRECT("足元帳!R1C"&amp;MATCH("●",足元帳!AA121:AJ121,0)+26,FALSE))</f>
        <v/>
      </c>
      <c r="X135" s="589"/>
      <c r="Y135" s="596"/>
      <c r="Z135" s="597" t="str">
        <f>IF(足元帳!AL121="","","○")</f>
        <v/>
      </c>
      <c r="AA135" s="596"/>
      <c r="AB135" s="635" t="str">
        <f>IF(足元帳!AM121="","","現金カード払い"&amp;足元帳!AM121&amp;"  ")&amp;IF(足元帳!AP121="","",足元帳!AP121&amp;"　")&amp;IF(足元帳!AQ121="","",足元帳!AQ121&amp;"　")&amp;IF(足元帳!AR121="","",足元帳!AR121&amp;"　")&amp;IF(足元帳!AS121="","",足元帳!AS121&amp;"　")&amp;IF(足元帳!AT121="","",足元帳!AT121&amp;"　")&amp;IF(足元帳!AN121="","","LOVE×2")&amp;IF(足元帳!AJ121="","","MM"&amp;足元帳!AJ121)&amp;IF(足元帳!AW121="","",W135&amp;"利用"&amp;足元帳!AW121)&amp;IF(足元帳!AX121="",""," 優待券配布"&amp;足元帳!AX121)&amp;IF(足元帳!AU121="","","メルマガ")</f>
        <v/>
      </c>
      <c r="AC135" s="636"/>
      <c r="AD135" s="636"/>
      <c r="AE135" s="636"/>
      <c r="AF135" s="636"/>
      <c r="AG135" s="636"/>
      <c r="AH135" s="636"/>
      <c r="AI135" s="636"/>
      <c r="AJ135" s="636"/>
      <c r="AK135" s="636"/>
      <c r="AL135" s="636"/>
      <c r="AM135" s="636"/>
      <c r="AN135" s="636"/>
      <c r="AO135" s="636"/>
      <c r="AP135" s="636"/>
      <c r="AQ135" s="662"/>
      <c r="AR135" s="113" t="str">
        <f>IF(足元帳!A121="","",足元帳!A121)</f>
        <v/>
      </c>
      <c r="AS135" s="123">
        <f>COUNTIF(AR$4:AR135,AR135)</f>
        <v>132</v>
      </c>
    </row>
    <row r="136" spans="1:45" ht="23.45" customHeight="1">
      <c r="A136" s="659" t="s">
        <v>159</v>
      </c>
      <c r="B136" s="660"/>
      <c r="C136" s="120" t="s">
        <v>183</v>
      </c>
      <c r="D136" s="122" t="s">
        <v>184</v>
      </c>
      <c r="E136" s="636">
        <f>IF((COUNTIF(C96:C135,"N")+COUNTIF(C96:C135,"R"))=0,COUNTIF(C96:C135,"N"),COUNTIF(C96:C135,"N")+E90)</f>
        <v>0</v>
      </c>
      <c r="F136" s="636"/>
      <c r="G136" s="122" t="s">
        <v>185</v>
      </c>
      <c r="H136" s="130" t="s">
        <v>186</v>
      </c>
      <c r="I136" s="122" t="s">
        <v>187</v>
      </c>
      <c r="J136" s="122" t="s">
        <v>184</v>
      </c>
      <c r="K136" s="636">
        <f>IF((COUNTIF(C96:C135,"R")+COUNTIF(C96:C135,"N"))=0,COUNTIF(C96:C135,"R"),COUNTIF(C96:C135,"R")+K90)</f>
        <v>0</v>
      </c>
      <c r="L136" s="636"/>
      <c r="M136" s="122" t="s">
        <v>185</v>
      </c>
      <c r="N136" s="130" t="s">
        <v>188</v>
      </c>
      <c r="O136" s="636">
        <f>IF(E136+K136=0,0,E136+K136)</f>
        <v>0</v>
      </c>
      <c r="P136" s="636"/>
      <c r="Q136" s="122"/>
      <c r="R136" s="122" t="s">
        <v>14</v>
      </c>
      <c r="S136" s="122" t="s">
        <v>189</v>
      </c>
      <c r="T136" s="636">
        <f>COUNTIF(D4:D43,"姫")+COUNTIF(D50:D89,"姫")+COUNTIF(D96:D135,"姫")</f>
        <v>0</v>
      </c>
      <c r="U136" s="636"/>
      <c r="V136" s="122" t="s">
        <v>190</v>
      </c>
      <c r="W136" s="290" t="s">
        <v>384</v>
      </c>
      <c r="X136" s="122" t="s">
        <v>5</v>
      </c>
      <c r="Y136" s="122" t="s">
        <v>385</v>
      </c>
      <c r="Z136" s="636">
        <f>COUNTIF(D4:D43,"本")+COUNTIF(D50:D89,"本")+COUNTIF(D96:D135,"本")</f>
        <v>0</v>
      </c>
      <c r="AA136" s="636"/>
      <c r="AB136" s="122" t="s">
        <v>190</v>
      </c>
      <c r="AC136" s="130" t="s">
        <v>186</v>
      </c>
      <c r="AD136" s="122" t="s">
        <v>191</v>
      </c>
      <c r="AE136" s="122" t="s">
        <v>189</v>
      </c>
      <c r="AF136" s="636">
        <f>COUNTIF(D4:D43,"ネ")+COUNTIF(D50:D89,"ネ")+COUNTIF(D96:D135,"ネ")</f>
        <v>0</v>
      </c>
      <c r="AG136" s="636"/>
      <c r="AH136" s="122" t="s">
        <v>190</v>
      </c>
      <c r="AI136" s="122" t="s">
        <v>186</v>
      </c>
      <c r="AJ136" s="122" t="s">
        <v>0</v>
      </c>
      <c r="AK136" s="122" t="s">
        <v>189</v>
      </c>
      <c r="AL136" s="636">
        <f>COUNTIF(D4:D43,"写")+COUNTIF(D50:D89,"写")+COUNTIF(D96:D135,"写")</f>
        <v>0</v>
      </c>
      <c r="AM136" s="636"/>
      <c r="AN136" s="122" t="s">
        <v>190</v>
      </c>
      <c r="AO136" s="130" t="s">
        <v>166</v>
      </c>
      <c r="AP136" s="636">
        <f>T136+Z136+AF136+AL136</f>
        <v>0</v>
      </c>
      <c r="AQ136" s="662"/>
    </row>
    <row r="137" spans="1:45" ht="23.45" customHeight="1">
      <c r="A137" s="665" t="s">
        <v>160</v>
      </c>
      <c r="B137" s="666"/>
      <c r="C137" s="666"/>
      <c r="D137" s="666"/>
      <c r="E137" s="666"/>
      <c r="F137" s="666"/>
      <c r="G137" s="666" t="s">
        <v>192</v>
      </c>
      <c r="H137" s="666"/>
      <c r="I137" s="666" t="s">
        <v>162</v>
      </c>
      <c r="J137" s="666"/>
      <c r="K137" s="666"/>
      <c r="L137" s="666"/>
      <c r="M137" s="666"/>
      <c r="N137" s="666"/>
      <c r="O137" s="666" t="s">
        <v>192</v>
      </c>
      <c r="P137" s="666"/>
      <c r="Q137" s="666" t="s">
        <v>163</v>
      </c>
      <c r="R137" s="666"/>
      <c r="S137" s="666"/>
      <c r="T137" s="666"/>
      <c r="U137" s="666"/>
      <c r="V137" s="666"/>
      <c r="W137" s="666" t="s">
        <v>384</v>
      </c>
      <c r="X137" s="666"/>
      <c r="Y137" s="666" t="s">
        <v>165</v>
      </c>
      <c r="Z137" s="666"/>
      <c r="AA137" s="666"/>
      <c r="AB137" s="666"/>
      <c r="AC137" s="666"/>
      <c r="AD137" s="666"/>
      <c r="AE137" s="666" t="s">
        <v>166</v>
      </c>
      <c r="AF137" s="666"/>
      <c r="AG137" s="666" t="s">
        <v>167</v>
      </c>
      <c r="AH137" s="666"/>
      <c r="AI137" s="666"/>
      <c r="AJ137" s="666"/>
      <c r="AK137" s="666"/>
      <c r="AL137" s="666"/>
      <c r="AM137" s="666"/>
      <c r="AN137" s="666"/>
      <c r="AO137" s="666"/>
      <c r="AP137" s="666"/>
      <c r="AQ137" s="670"/>
    </row>
    <row r="138" spans="1:45" ht="23.45" customHeight="1" thickBot="1">
      <c r="A138" s="668">
        <f>IF(P182&gt;0,"",精算表!$BD$46)</f>
        <v>0</v>
      </c>
      <c r="B138" s="669"/>
      <c r="C138" s="669"/>
      <c r="D138" s="669"/>
      <c r="E138" s="669"/>
      <c r="F138" s="669"/>
      <c r="G138" s="656" t="s">
        <v>192</v>
      </c>
      <c r="H138" s="656"/>
      <c r="I138" s="669">
        <f>IF(P182&gt;0,"",精算表!$BD$49)</f>
        <v>0</v>
      </c>
      <c r="J138" s="669"/>
      <c r="K138" s="669"/>
      <c r="L138" s="669"/>
      <c r="M138" s="669"/>
      <c r="N138" s="669"/>
      <c r="O138" s="656" t="s">
        <v>192</v>
      </c>
      <c r="P138" s="656"/>
      <c r="Q138" s="669">
        <f>IF(P182&gt;0,"",精算表!$BD$50)</f>
        <v>0</v>
      </c>
      <c r="R138" s="669"/>
      <c r="S138" s="669"/>
      <c r="T138" s="669"/>
      <c r="U138" s="669"/>
      <c r="V138" s="669"/>
      <c r="W138" s="656" t="s">
        <v>384</v>
      </c>
      <c r="X138" s="656"/>
      <c r="Y138" s="669">
        <f>IF(P182&gt;0,"",精算表!$BD$56)</f>
        <v>0</v>
      </c>
      <c r="Z138" s="669"/>
      <c r="AA138" s="669"/>
      <c r="AB138" s="669"/>
      <c r="AC138" s="669"/>
      <c r="AD138" s="669"/>
      <c r="AE138" s="656" t="s">
        <v>166</v>
      </c>
      <c r="AF138" s="656"/>
      <c r="AG138" s="657">
        <f>IF(P182&gt;0,"",A138-I138-Q138+Y138)</f>
        <v>0</v>
      </c>
      <c r="AH138" s="656"/>
      <c r="AI138" s="656"/>
      <c r="AJ138" s="656"/>
      <c r="AK138" s="656"/>
      <c r="AL138" s="656"/>
      <c r="AM138" s="656"/>
      <c r="AN138" s="656"/>
      <c r="AO138" s="656"/>
      <c r="AP138" s="656"/>
      <c r="AQ138" s="658"/>
    </row>
    <row r="139" spans="1:45" ht="35.1" customHeight="1">
      <c r="AD139" s="113" t="s">
        <v>297</v>
      </c>
      <c r="AF139" s="585" t="str">
        <f>TEXT(精算表!W1,"yyyy")</f>
        <v>2019</v>
      </c>
      <c r="AG139" s="585"/>
      <c r="AH139" s="113" t="s">
        <v>143</v>
      </c>
      <c r="AI139" s="585">
        <f>MONTH(精算表!W1)</f>
        <v>10</v>
      </c>
      <c r="AJ139" s="585"/>
      <c r="AK139" s="585"/>
      <c r="AL139" s="578" t="s">
        <v>144</v>
      </c>
      <c r="AM139" s="578"/>
      <c r="AN139" s="585">
        <f>DAY(精算表!W1)</f>
        <v>17</v>
      </c>
      <c r="AO139" s="585"/>
      <c r="AP139" s="578" t="s">
        <v>145</v>
      </c>
      <c r="AQ139" s="578"/>
    </row>
    <row r="140" spans="1:45" ht="35.1" customHeight="1" thickBot="1">
      <c r="A140" s="579">
        <v>4</v>
      </c>
      <c r="B140" s="579"/>
      <c r="C140" s="579"/>
      <c r="D140" s="579"/>
      <c r="E140" s="579"/>
      <c r="F140" s="579"/>
      <c r="G140" s="579"/>
      <c r="H140" s="579"/>
      <c r="I140" s="579"/>
      <c r="J140" s="579"/>
      <c r="K140" s="579"/>
      <c r="L140" s="579"/>
      <c r="M140" s="579"/>
      <c r="N140" s="579"/>
      <c r="O140" s="579"/>
      <c r="P140" s="579"/>
      <c r="Q140" s="579"/>
      <c r="R140" s="579"/>
      <c r="S140" s="579"/>
      <c r="T140" s="579"/>
      <c r="U140" s="579"/>
      <c r="V140" s="579"/>
      <c r="W140" s="579"/>
      <c r="X140" s="579"/>
      <c r="Y140" s="579"/>
      <c r="Z140" s="579"/>
      <c r="AA140" s="579"/>
      <c r="AB140" s="579"/>
      <c r="AC140" s="579"/>
      <c r="AD140" s="579"/>
      <c r="AE140" s="579"/>
      <c r="AF140" s="579"/>
      <c r="AG140" s="579"/>
      <c r="AH140" s="579"/>
      <c r="AI140" s="579"/>
      <c r="AJ140" s="579"/>
      <c r="AK140" s="579"/>
      <c r="AL140" s="579"/>
      <c r="AM140" s="579"/>
      <c r="AN140" s="579"/>
      <c r="AO140" s="579"/>
      <c r="AP140" s="579"/>
      <c r="AQ140" s="579"/>
    </row>
    <row r="141" spans="1:45" ht="23.45" customHeight="1" thickBot="1">
      <c r="A141" s="580" t="s">
        <v>146</v>
      </c>
      <c r="B141" s="581"/>
      <c r="C141" s="582" t="s">
        <v>147</v>
      </c>
      <c r="D141" s="581"/>
      <c r="E141" s="582" t="s">
        <v>6</v>
      </c>
      <c r="F141" s="581"/>
      <c r="G141" s="664" t="s">
        <v>148</v>
      </c>
      <c r="H141" s="664"/>
      <c r="I141" s="664"/>
      <c r="J141" s="664"/>
      <c r="K141" s="664" t="s">
        <v>180</v>
      </c>
      <c r="L141" s="664"/>
      <c r="M141" s="664"/>
      <c r="N141" s="582" t="s">
        <v>181</v>
      </c>
      <c r="O141" s="583"/>
      <c r="P141" s="583"/>
      <c r="Q141" s="583"/>
      <c r="R141" s="583"/>
      <c r="S141" s="581"/>
      <c r="T141" s="582" t="s">
        <v>2</v>
      </c>
      <c r="U141" s="583"/>
      <c r="V141" s="581"/>
      <c r="W141" s="582" t="s">
        <v>383</v>
      </c>
      <c r="X141" s="583"/>
      <c r="Y141" s="581"/>
      <c r="Z141" s="582" t="s">
        <v>182</v>
      </c>
      <c r="AA141" s="581"/>
      <c r="AB141" s="582" t="s">
        <v>151</v>
      </c>
      <c r="AC141" s="583"/>
      <c r="AD141" s="583"/>
      <c r="AE141" s="583"/>
      <c r="AF141" s="583"/>
      <c r="AG141" s="583"/>
      <c r="AH141" s="583"/>
      <c r="AI141" s="583"/>
      <c r="AJ141" s="583"/>
      <c r="AK141" s="583"/>
      <c r="AL141" s="583"/>
      <c r="AM141" s="583"/>
      <c r="AN141" s="583"/>
      <c r="AO141" s="583"/>
      <c r="AP141" s="583"/>
      <c r="AQ141" s="584"/>
    </row>
    <row r="142" spans="1:45" ht="23.45" customHeight="1">
      <c r="A142" s="667">
        <v>121</v>
      </c>
      <c r="B142" s="661"/>
      <c r="C142" s="120" t="str">
        <f>IF(足元帳!AY122=1,"N",IF(足元帳!AY122=2,"R",""))</f>
        <v/>
      </c>
      <c r="D142" s="241" t="str">
        <f>IF(足元帳!AZ122&gt;0,VLOOKUP(足元帳!AZ122,管理シート!$R$4:$V$12,5,FALSE),"")</f>
        <v/>
      </c>
      <c r="E142" s="661" t="str">
        <f>IF(足元帳!J122="","",足元帳!J122)</f>
        <v/>
      </c>
      <c r="F142" s="661"/>
      <c r="G142" s="661" t="str">
        <f>IF(足元帳!K122="","",足元帳!K122)</f>
        <v/>
      </c>
      <c r="H142" s="661"/>
      <c r="I142" s="661"/>
      <c r="J142" s="661"/>
      <c r="K142" s="661" t="str">
        <f>IF(足元帳!BB122&gt;0,VLOOKUP(足元帳!BB122,管理シート!$R$4:$W$12,4,FALSE),"")</f>
        <v/>
      </c>
      <c r="L142" s="661"/>
      <c r="M142" s="661"/>
      <c r="N142" s="661" t="str">
        <f>IF(足元帳!U122="","",足元帳!U122)&amp;IF(足元帳!V122="","",足元帳!V122)&amp;IF(足元帳!W122="","",足元帳!W122)&amp;IF(足元帳!X122="","",足元帳!X122)&amp;IF(足元帳!Y122="","",足元帳!Y122)&amp;IF(足元帳!Z122="","",足元帳!Z122)</f>
        <v/>
      </c>
      <c r="O142" s="661"/>
      <c r="P142" s="661"/>
      <c r="Q142" s="661"/>
      <c r="R142" s="661"/>
      <c r="S142" s="661"/>
      <c r="T142" s="661" t="str">
        <f ca="1">IFERROR(INDEX(管理シート!$CB$3:$CK$24,MATCH(W142,管理シート!$CB$3:$CB$24,0),MATCH(K142,管理シート!$CB$3:$CM$3,0)),"")</f>
        <v/>
      </c>
      <c r="U142" s="661"/>
      <c r="V142" s="661"/>
      <c r="W142" s="635" t="str">
        <f ca="1">IF(ISERROR(MATCH("●",足元帳!AA122:AJ122,0)),"",INDIRECT("足元帳!R1C"&amp;MATCH("●",足元帳!AA122:AJ122,0)+26,FALSE))</f>
        <v/>
      </c>
      <c r="X142" s="636"/>
      <c r="Y142" s="649"/>
      <c r="Z142" s="661" t="str">
        <f>IF(足元帳!AL122="","","○")</f>
        <v/>
      </c>
      <c r="AA142" s="661"/>
      <c r="AB142" s="635" t="str">
        <f>IF(足元帳!AM122="","","現金カード払い"&amp;足元帳!AM122&amp;"  ")&amp;IF(足元帳!AP122="","",足元帳!AP122&amp;"　")&amp;IF(足元帳!AQ122="","",足元帳!AQ122&amp;"　")&amp;IF(足元帳!AR122="","",足元帳!AR122&amp;"　")&amp;IF(足元帳!AS122="","",足元帳!AS122&amp;"　")&amp;IF(足元帳!AT122="","",足元帳!AT122&amp;"　")&amp;IF(足元帳!AN122="","","LOVE×2")&amp;IF(足元帳!AJ122="","","MM"&amp;足元帳!AJ122)&amp;IF(足元帳!AW122="","",W142&amp;"利用"&amp;足元帳!AW122)&amp;IF(足元帳!AX122="",""," 優待券配布"&amp;足元帳!AX122)&amp;IF(足元帳!AU122="","","メルマガ")</f>
        <v/>
      </c>
      <c r="AC142" s="636"/>
      <c r="AD142" s="636"/>
      <c r="AE142" s="636"/>
      <c r="AF142" s="636"/>
      <c r="AG142" s="636"/>
      <c r="AH142" s="636"/>
      <c r="AI142" s="636"/>
      <c r="AJ142" s="636"/>
      <c r="AK142" s="636"/>
      <c r="AL142" s="636"/>
      <c r="AM142" s="636"/>
      <c r="AN142" s="636"/>
      <c r="AO142" s="636"/>
      <c r="AP142" s="636"/>
      <c r="AQ142" s="662"/>
      <c r="AR142" s="113" t="str">
        <f>IF(足元帳!A122="","",足元帳!A122)</f>
        <v/>
      </c>
      <c r="AS142" s="123">
        <f>COUNTIF(AR$4:AR142,AR142)</f>
        <v>139</v>
      </c>
    </row>
    <row r="143" spans="1:45" ht="23.45" customHeight="1">
      <c r="A143" s="586">
        <f>A142+1</f>
        <v>122</v>
      </c>
      <c r="B143" s="566"/>
      <c r="C143" s="73" t="str">
        <f>IF(足元帳!AY123=1,"N",IF(足元帳!AY123=2,"R",""))</f>
        <v/>
      </c>
      <c r="D143" s="74" t="str">
        <f>IF(足元帳!AZ123&gt;0,VLOOKUP(足元帳!AZ123,管理シート!$R$4:$V$12,5,FALSE),"")</f>
        <v/>
      </c>
      <c r="E143" s="587" t="str">
        <f>IF(足元帳!J123="","",足元帳!J123)</f>
        <v/>
      </c>
      <c r="F143" s="566"/>
      <c r="G143" s="587" t="str">
        <f>IF(足元帳!K123="","",足元帳!K123)</f>
        <v/>
      </c>
      <c r="H143" s="565"/>
      <c r="I143" s="565"/>
      <c r="J143" s="566"/>
      <c r="K143" s="587" t="str">
        <f>IF(足元帳!BB123&gt;0,VLOOKUP(足元帳!BB123,管理シート!$R$4:$W$12,4,FALSE),"")</f>
        <v/>
      </c>
      <c r="L143" s="565"/>
      <c r="M143" s="566"/>
      <c r="N143" s="587" t="str">
        <f>IF(足元帳!U123="","",足元帳!U123)&amp;IF(足元帳!V123="","",足元帳!V123)&amp;IF(足元帳!W123="","",足元帳!W123)&amp;IF(足元帳!X123="","",足元帳!X123)&amp;IF(足元帳!Y123="","",足元帳!Y123)&amp;IF(足元帳!Z123="","",足元帳!Z123)</f>
        <v/>
      </c>
      <c r="O143" s="565"/>
      <c r="P143" s="565"/>
      <c r="Q143" s="565"/>
      <c r="R143" s="565"/>
      <c r="S143" s="566"/>
      <c r="T143" s="661" t="str">
        <f ca="1">IFERROR(INDEX(管理シート!$CB$3:$CK$24,MATCH(W143,管理シート!$CB$3:$CB$24,0),MATCH(K143,管理シート!$CB$3:$CM$3,0)),"")</f>
        <v/>
      </c>
      <c r="U143" s="661"/>
      <c r="V143" s="661"/>
      <c r="W143" s="587" t="str">
        <f ca="1">IF(ISERROR(MATCH("●",足元帳!AA123:AJ123,0)),"",INDIRECT("足元帳!R1C"&amp;MATCH("●",足元帳!AA123:AJ123,0)+26,FALSE))</f>
        <v/>
      </c>
      <c r="X143" s="565"/>
      <c r="Y143" s="566"/>
      <c r="Z143" s="587" t="str">
        <f>IF(足元帳!AL123="","","○")</f>
        <v/>
      </c>
      <c r="AA143" s="566"/>
      <c r="AB143" s="635" t="str">
        <f>IF(足元帳!AM123="","","現金カード払い"&amp;足元帳!AM123&amp;"  ")&amp;IF(足元帳!AP123="","",足元帳!AP123&amp;"　")&amp;IF(足元帳!AQ123="","",足元帳!AQ123&amp;"　")&amp;IF(足元帳!AR123="","",足元帳!AR123&amp;"　")&amp;IF(足元帳!AS123="","",足元帳!AS123&amp;"　")&amp;IF(足元帳!AT123="","",足元帳!AT123&amp;"　")&amp;IF(足元帳!AN123="","","LOVE×2")&amp;IF(足元帳!AJ123="","","MM"&amp;足元帳!AJ123)&amp;IF(足元帳!AW123="","",W143&amp;"利用"&amp;足元帳!AW123)&amp;IF(足元帳!AX123="",""," 優待券配布"&amp;足元帳!AX123)&amp;IF(足元帳!AU123="","","メルマガ")</f>
        <v/>
      </c>
      <c r="AC143" s="636"/>
      <c r="AD143" s="636"/>
      <c r="AE143" s="636"/>
      <c r="AF143" s="636"/>
      <c r="AG143" s="636"/>
      <c r="AH143" s="636"/>
      <c r="AI143" s="636"/>
      <c r="AJ143" s="636"/>
      <c r="AK143" s="636"/>
      <c r="AL143" s="636"/>
      <c r="AM143" s="636"/>
      <c r="AN143" s="636"/>
      <c r="AO143" s="636"/>
      <c r="AP143" s="636"/>
      <c r="AQ143" s="662"/>
      <c r="AR143" s="113" t="str">
        <f>IF(足元帳!A123="","",足元帳!A123)</f>
        <v/>
      </c>
      <c r="AS143" s="123">
        <f>COUNTIF(AR$4:AR143,AR143)</f>
        <v>140</v>
      </c>
    </row>
    <row r="144" spans="1:45" ht="23.45" customHeight="1">
      <c r="A144" s="586">
        <f t="shared" ref="A144:A181" si="3">A143+1</f>
        <v>123</v>
      </c>
      <c r="B144" s="566"/>
      <c r="C144" s="73" t="str">
        <f>IF(足元帳!AY124=1,"N",IF(足元帳!AY124=2,"R",""))</f>
        <v/>
      </c>
      <c r="D144" s="74" t="str">
        <f>IF(足元帳!AZ124&gt;0,VLOOKUP(足元帳!AZ124,管理シート!$R$4:$V$12,5,FALSE),"")</f>
        <v/>
      </c>
      <c r="E144" s="587" t="str">
        <f>IF(足元帳!J124="","",足元帳!J124)</f>
        <v/>
      </c>
      <c r="F144" s="566"/>
      <c r="G144" s="587" t="str">
        <f>IF(足元帳!K124="","",足元帳!K124)</f>
        <v/>
      </c>
      <c r="H144" s="565"/>
      <c r="I144" s="565"/>
      <c r="J144" s="566"/>
      <c r="K144" s="587" t="str">
        <f>IF(足元帳!BB124&gt;0,VLOOKUP(足元帳!BB124,管理シート!$R$4:$W$12,4,FALSE),"")</f>
        <v/>
      </c>
      <c r="L144" s="565"/>
      <c r="M144" s="566"/>
      <c r="N144" s="587" t="str">
        <f>IF(足元帳!U124="","",足元帳!U124)&amp;IF(足元帳!V124="","",足元帳!V124)&amp;IF(足元帳!W124="","",足元帳!W124)&amp;IF(足元帳!X124="","",足元帳!X124)&amp;IF(足元帳!Y124="","",足元帳!Y124)&amp;IF(足元帳!Z124="","",足元帳!Z124)</f>
        <v/>
      </c>
      <c r="O144" s="565"/>
      <c r="P144" s="565"/>
      <c r="Q144" s="565"/>
      <c r="R144" s="565"/>
      <c r="S144" s="566"/>
      <c r="T144" s="661" t="str">
        <f ca="1">IFERROR(INDEX(管理シート!$CB$3:$CK$24,MATCH(W144,管理シート!$CB$3:$CB$24,0),MATCH(K144,管理シート!$CB$3:$CM$3,0)),"")</f>
        <v/>
      </c>
      <c r="U144" s="661"/>
      <c r="V144" s="661"/>
      <c r="W144" s="587" t="str">
        <f ca="1">IF(ISERROR(MATCH("●",足元帳!AA124:AJ124,0)),"",INDIRECT("足元帳!R1C"&amp;MATCH("●",足元帳!AA124:AJ124,0)+26,FALSE))</f>
        <v/>
      </c>
      <c r="X144" s="565"/>
      <c r="Y144" s="566"/>
      <c r="Z144" s="587" t="str">
        <f>IF(足元帳!AL124="","","○")</f>
        <v/>
      </c>
      <c r="AA144" s="566"/>
      <c r="AB144" s="635" t="str">
        <f>IF(足元帳!AM124="","","現金カード払い"&amp;足元帳!AM124&amp;"  ")&amp;IF(足元帳!AP124="","",足元帳!AP124&amp;"　")&amp;IF(足元帳!AQ124="","",足元帳!AQ124&amp;"　")&amp;IF(足元帳!AR124="","",足元帳!AR124&amp;"　")&amp;IF(足元帳!AS124="","",足元帳!AS124&amp;"　")&amp;IF(足元帳!AT124="","",足元帳!AT124&amp;"　")&amp;IF(足元帳!AN124="","","LOVE×2")&amp;IF(足元帳!AJ124="","","MM"&amp;足元帳!AJ124)&amp;IF(足元帳!AW124="","",W144&amp;"利用"&amp;足元帳!AW124)&amp;IF(足元帳!AX124="",""," 優待券配布"&amp;足元帳!AX124)&amp;IF(足元帳!AU124="","","メルマガ")</f>
        <v/>
      </c>
      <c r="AC144" s="636"/>
      <c r="AD144" s="636"/>
      <c r="AE144" s="636"/>
      <c r="AF144" s="636"/>
      <c r="AG144" s="636"/>
      <c r="AH144" s="636"/>
      <c r="AI144" s="636"/>
      <c r="AJ144" s="636"/>
      <c r="AK144" s="636"/>
      <c r="AL144" s="636"/>
      <c r="AM144" s="636"/>
      <c r="AN144" s="636"/>
      <c r="AO144" s="636"/>
      <c r="AP144" s="636"/>
      <c r="AQ144" s="662"/>
      <c r="AR144" s="113" t="str">
        <f>IF(足元帳!A124="","",足元帳!A124)</f>
        <v/>
      </c>
      <c r="AS144" s="123">
        <f>COUNTIF(AR$4:AR144,AR144)</f>
        <v>141</v>
      </c>
    </row>
    <row r="145" spans="1:45" ht="23.45" customHeight="1">
      <c r="A145" s="586">
        <f t="shared" si="3"/>
        <v>124</v>
      </c>
      <c r="B145" s="566"/>
      <c r="C145" s="73" t="str">
        <f>IF(足元帳!AY125=1,"N",IF(足元帳!AY125=2,"R",""))</f>
        <v/>
      </c>
      <c r="D145" s="74" t="str">
        <f>IF(足元帳!AZ125&gt;0,VLOOKUP(足元帳!AZ125,管理シート!$R$4:$V$12,5,FALSE),"")</f>
        <v/>
      </c>
      <c r="E145" s="587" t="str">
        <f>IF(足元帳!J125="","",足元帳!J125)</f>
        <v/>
      </c>
      <c r="F145" s="566"/>
      <c r="G145" s="587" t="str">
        <f>IF(足元帳!K125="","",足元帳!K125)</f>
        <v/>
      </c>
      <c r="H145" s="565"/>
      <c r="I145" s="565"/>
      <c r="J145" s="566"/>
      <c r="K145" s="587" t="str">
        <f>IF(足元帳!BB125&gt;0,VLOOKUP(足元帳!BB125,管理シート!$R$4:$W$12,4,FALSE),"")</f>
        <v/>
      </c>
      <c r="L145" s="565"/>
      <c r="M145" s="566"/>
      <c r="N145" s="587" t="str">
        <f>IF(足元帳!U125="","",足元帳!U125)&amp;IF(足元帳!V125="","",足元帳!V125)&amp;IF(足元帳!W125="","",足元帳!W125)&amp;IF(足元帳!X125="","",足元帳!X125)&amp;IF(足元帳!Y125="","",足元帳!Y125)&amp;IF(足元帳!Z125="","",足元帳!Z125)</f>
        <v/>
      </c>
      <c r="O145" s="565"/>
      <c r="P145" s="565"/>
      <c r="Q145" s="565"/>
      <c r="R145" s="565"/>
      <c r="S145" s="566"/>
      <c r="T145" s="661" t="str">
        <f ca="1">IFERROR(INDEX(管理シート!$CB$3:$CK$24,MATCH(W145,管理シート!$CB$3:$CB$24,0),MATCH(K145,管理シート!$CB$3:$CM$3,0)),"")</f>
        <v/>
      </c>
      <c r="U145" s="661"/>
      <c r="V145" s="661"/>
      <c r="W145" s="587" t="str">
        <f ca="1">IF(ISERROR(MATCH("●",足元帳!AA125:AJ125,0)),"",INDIRECT("足元帳!R1C"&amp;MATCH("●",足元帳!AA125:AJ125,0)+26,FALSE))</f>
        <v/>
      </c>
      <c r="X145" s="565"/>
      <c r="Y145" s="566"/>
      <c r="Z145" s="587" t="str">
        <f>IF(足元帳!AL125="","","○")</f>
        <v/>
      </c>
      <c r="AA145" s="566"/>
      <c r="AB145" s="635" t="str">
        <f>IF(足元帳!AM125="","","現金カード払い"&amp;足元帳!AM125&amp;"  ")&amp;IF(足元帳!AP125="","",足元帳!AP125&amp;"　")&amp;IF(足元帳!AQ125="","",足元帳!AQ125&amp;"　")&amp;IF(足元帳!AR125="","",足元帳!AR125&amp;"　")&amp;IF(足元帳!AS125="","",足元帳!AS125&amp;"　")&amp;IF(足元帳!AT125="","",足元帳!AT125&amp;"　")&amp;IF(足元帳!AN125="","","LOVE×2")&amp;IF(足元帳!AJ125="","","MM"&amp;足元帳!AJ125)&amp;IF(足元帳!AW125="","",W145&amp;"利用"&amp;足元帳!AW125)&amp;IF(足元帳!AX125="",""," 優待券配布"&amp;足元帳!AX125)&amp;IF(足元帳!AU125="","","メルマガ")</f>
        <v/>
      </c>
      <c r="AC145" s="636"/>
      <c r="AD145" s="636"/>
      <c r="AE145" s="636"/>
      <c r="AF145" s="636"/>
      <c r="AG145" s="636"/>
      <c r="AH145" s="636"/>
      <c r="AI145" s="636"/>
      <c r="AJ145" s="636"/>
      <c r="AK145" s="636"/>
      <c r="AL145" s="636"/>
      <c r="AM145" s="636"/>
      <c r="AN145" s="636"/>
      <c r="AO145" s="636"/>
      <c r="AP145" s="636"/>
      <c r="AQ145" s="662"/>
      <c r="AR145" s="113" t="str">
        <f>IF(足元帳!A125="","",足元帳!A125)</f>
        <v/>
      </c>
      <c r="AS145" s="123">
        <f>COUNTIF(AR$4:AR145,AR145)</f>
        <v>142</v>
      </c>
    </row>
    <row r="146" spans="1:45" ht="23.45" customHeight="1">
      <c r="A146" s="586">
        <f t="shared" si="3"/>
        <v>125</v>
      </c>
      <c r="B146" s="566"/>
      <c r="C146" s="73" t="str">
        <f>IF(足元帳!AY126=1,"N",IF(足元帳!AY126=2,"R",""))</f>
        <v/>
      </c>
      <c r="D146" s="74" t="str">
        <f>IF(足元帳!AZ126&gt;0,VLOOKUP(足元帳!AZ126,管理シート!$R$4:$V$12,5,FALSE),"")</f>
        <v/>
      </c>
      <c r="E146" s="587" t="str">
        <f>IF(足元帳!J126="","",足元帳!J126)</f>
        <v/>
      </c>
      <c r="F146" s="566"/>
      <c r="G146" s="587" t="str">
        <f>IF(足元帳!K126="","",足元帳!K126)</f>
        <v/>
      </c>
      <c r="H146" s="565"/>
      <c r="I146" s="565"/>
      <c r="J146" s="566"/>
      <c r="K146" s="587" t="str">
        <f>IF(足元帳!BB126&gt;0,VLOOKUP(足元帳!BB126,管理シート!$R$4:$W$12,4,FALSE),"")</f>
        <v/>
      </c>
      <c r="L146" s="565"/>
      <c r="M146" s="566"/>
      <c r="N146" s="587" t="str">
        <f>IF(足元帳!U126="","",足元帳!U126)&amp;IF(足元帳!V126="","",足元帳!V126)&amp;IF(足元帳!W126="","",足元帳!W126)&amp;IF(足元帳!X126="","",足元帳!X126)&amp;IF(足元帳!Y126="","",足元帳!Y126)&amp;IF(足元帳!Z126="","",足元帳!Z126)</f>
        <v/>
      </c>
      <c r="O146" s="565"/>
      <c r="P146" s="565"/>
      <c r="Q146" s="565"/>
      <c r="R146" s="565"/>
      <c r="S146" s="566"/>
      <c r="T146" s="661" t="str">
        <f ca="1">IFERROR(INDEX(管理シート!$CB$3:$CK$24,MATCH(W146,管理シート!$CB$3:$CB$24,0),MATCH(K146,管理シート!$CB$3:$CM$3,0)),"")</f>
        <v/>
      </c>
      <c r="U146" s="661"/>
      <c r="V146" s="661"/>
      <c r="W146" s="587" t="str">
        <f ca="1">IF(ISERROR(MATCH("●",足元帳!AA126:AJ126,0)),"",INDIRECT("足元帳!R1C"&amp;MATCH("●",足元帳!AA126:AJ126,0)+26,FALSE))</f>
        <v/>
      </c>
      <c r="X146" s="565"/>
      <c r="Y146" s="566"/>
      <c r="Z146" s="587" t="str">
        <f>IF(足元帳!AL126="","","○")</f>
        <v/>
      </c>
      <c r="AA146" s="566"/>
      <c r="AB146" s="635" t="str">
        <f>IF(足元帳!AM126="","","現金カード払い"&amp;足元帳!AM126&amp;"  ")&amp;IF(足元帳!AP126="","",足元帳!AP126&amp;"　")&amp;IF(足元帳!AQ126="","",足元帳!AQ126&amp;"　")&amp;IF(足元帳!AR126="","",足元帳!AR126&amp;"　")&amp;IF(足元帳!AS126="","",足元帳!AS126&amp;"　")&amp;IF(足元帳!AT126="","",足元帳!AT126&amp;"　")&amp;IF(足元帳!AN126="","","LOVE×2")&amp;IF(足元帳!AJ126="","","MM"&amp;足元帳!AJ126)&amp;IF(足元帳!AW126="","",W146&amp;"利用"&amp;足元帳!AW126)&amp;IF(足元帳!AX126="",""," 優待券配布"&amp;足元帳!AX126)&amp;IF(足元帳!AU126="","","メルマガ")</f>
        <v/>
      </c>
      <c r="AC146" s="636"/>
      <c r="AD146" s="636"/>
      <c r="AE146" s="636"/>
      <c r="AF146" s="636"/>
      <c r="AG146" s="636"/>
      <c r="AH146" s="636"/>
      <c r="AI146" s="636"/>
      <c r="AJ146" s="636"/>
      <c r="AK146" s="636"/>
      <c r="AL146" s="636"/>
      <c r="AM146" s="636"/>
      <c r="AN146" s="636"/>
      <c r="AO146" s="636"/>
      <c r="AP146" s="636"/>
      <c r="AQ146" s="662"/>
      <c r="AR146" s="113" t="str">
        <f>IF(足元帳!A126="","",足元帳!A126)</f>
        <v/>
      </c>
      <c r="AS146" s="123">
        <f>COUNTIF(AR$4:AR146,AR146)</f>
        <v>143</v>
      </c>
    </row>
    <row r="147" spans="1:45" ht="23.45" customHeight="1">
      <c r="A147" s="586">
        <f t="shared" si="3"/>
        <v>126</v>
      </c>
      <c r="B147" s="566"/>
      <c r="C147" s="73" t="str">
        <f>IF(足元帳!AY127=1,"N",IF(足元帳!AY127=2,"R",""))</f>
        <v/>
      </c>
      <c r="D147" s="74" t="str">
        <f>IF(足元帳!AZ127&gt;0,VLOOKUP(足元帳!AZ127,管理シート!$R$4:$V$12,5,FALSE),"")</f>
        <v/>
      </c>
      <c r="E147" s="587" t="str">
        <f>IF(足元帳!J127="","",足元帳!J127)</f>
        <v/>
      </c>
      <c r="F147" s="566"/>
      <c r="G147" s="587" t="str">
        <f>IF(足元帳!K127="","",足元帳!K127)</f>
        <v/>
      </c>
      <c r="H147" s="565"/>
      <c r="I147" s="565"/>
      <c r="J147" s="566"/>
      <c r="K147" s="587" t="str">
        <f>IF(足元帳!BB127&gt;0,VLOOKUP(足元帳!BB127,管理シート!$R$4:$W$12,4,FALSE),"")</f>
        <v/>
      </c>
      <c r="L147" s="565"/>
      <c r="M147" s="566"/>
      <c r="N147" s="587" t="str">
        <f>IF(足元帳!U127="","",足元帳!U127)&amp;IF(足元帳!V127="","",足元帳!V127)&amp;IF(足元帳!W127="","",足元帳!W127)&amp;IF(足元帳!X127="","",足元帳!X127)&amp;IF(足元帳!Y127="","",足元帳!Y127)&amp;IF(足元帳!Z127="","",足元帳!Z127)</f>
        <v/>
      </c>
      <c r="O147" s="565"/>
      <c r="P147" s="565"/>
      <c r="Q147" s="565"/>
      <c r="R147" s="565"/>
      <c r="S147" s="566"/>
      <c r="T147" s="661" t="str">
        <f ca="1">IFERROR(INDEX(管理シート!$CB$3:$CK$24,MATCH(W147,管理シート!$CB$3:$CB$24,0),MATCH(K147,管理シート!$CB$3:$CM$3,0)),"")</f>
        <v/>
      </c>
      <c r="U147" s="661"/>
      <c r="V147" s="661"/>
      <c r="W147" s="587" t="str">
        <f ca="1">IF(ISERROR(MATCH("●",足元帳!AA127:AJ127,0)),"",INDIRECT("足元帳!R1C"&amp;MATCH("●",足元帳!AA127:AJ127,0)+26,FALSE))</f>
        <v/>
      </c>
      <c r="X147" s="565"/>
      <c r="Y147" s="566"/>
      <c r="Z147" s="587" t="str">
        <f>IF(足元帳!AL127="","","○")</f>
        <v/>
      </c>
      <c r="AA147" s="566"/>
      <c r="AB147" s="635" t="str">
        <f>IF(足元帳!AM127="","","現金カード払い"&amp;足元帳!AM127&amp;"  ")&amp;IF(足元帳!AP127="","",足元帳!AP127&amp;"　")&amp;IF(足元帳!AQ127="","",足元帳!AQ127&amp;"　")&amp;IF(足元帳!AR127="","",足元帳!AR127&amp;"　")&amp;IF(足元帳!AS127="","",足元帳!AS127&amp;"　")&amp;IF(足元帳!AT127="","",足元帳!AT127&amp;"　")&amp;IF(足元帳!AN127="","","LOVE×2")&amp;IF(足元帳!AJ127="","","MM"&amp;足元帳!AJ127)&amp;IF(足元帳!AW127="","",W147&amp;"利用"&amp;足元帳!AW127)&amp;IF(足元帳!AX127="",""," 優待券配布"&amp;足元帳!AX127)&amp;IF(足元帳!AU127="","","メルマガ")</f>
        <v/>
      </c>
      <c r="AC147" s="636"/>
      <c r="AD147" s="636"/>
      <c r="AE147" s="636"/>
      <c r="AF147" s="636"/>
      <c r="AG147" s="636"/>
      <c r="AH147" s="636"/>
      <c r="AI147" s="636"/>
      <c r="AJ147" s="636"/>
      <c r="AK147" s="636"/>
      <c r="AL147" s="636"/>
      <c r="AM147" s="636"/>
      <c r="AN147" s="636"/>
      <c r="AO147" s="636"/>
      <c r="AP147" s="636"/>
      <c r="AQ147" s="662"/>
      <c r="AR147" s="113" t="str">
        <f>IF(足元帳!A127="","",足元帳!A127)</f>
        <v/>
      </c>
      <c r="AS147" s="123">
        <f>COUNTIF(AR$4:AR147,AR147)</f>
        <v>144</v>
      </c>
    </row>
    <row r="148" spans="1:45" ht="23.45" customHeight="1">
      <c r="A148" s="586">
        <f t="shared" si="3"/>
        <v>127</v>
      </c>
      <c r="B148" s="566"/>
      <c r="C148" s="73" t="str">
        <f>IF(足元帳!AY128=1,"N",IF(足元帳!AY128=2,"R",""))</f>
        <v/>
      </c>
      <c r="D148" s="74" t="str">
        <f>IF(足元帳!AZ128&gt;0,VLOOKUP(足元帳!AZ128,管理シート!$R$4:$V$12,5,FALSE),"")</f>
        <v/>
      </c>
      <c r="E148" s="587" t="str">
        <f>IF(足元帳!J128="","",足元帳!J128)</f>
        <v/>
      </c>
      <c r="F148" s="566"/>
      <c r="G148" s="587" t="str">
        <f>IF(足元帳!K128="","",足元帳!K128)</f>
        <v/>
      </c>
      <c r="H148" s="565"/>
      <c r="I148" s="565"/>
      <c r="J148" s="566"/>
      <c r="K148" s="587" t="str">
        <f>IF(足元帳!BB128&gt;0,VLOOKUP(足元帳!BB128,管理シート!$R$4:$W$12,4,FALSE),"")</f>
        <v/>
      </c>
      <c r="L148" s="565"/>
      <c r="M148" s="566"/>
      <c r="N148" s="587" t="str">
        <f>IF(足元帳!U128="","",足元帳!U128)&amp;IF(足元帳!V128="","",足元帳!V128)&amp;IF(足元帳!W128="","",足元帳!W128)&amp;IF(足元帳!X128="","",足元帳!X128)&amp;IF(足元帳!Y128="","",足元帳!Y128)&amp;IF(足元帳!Z128="","",足元帳!Z128)</f>
        <v/>
      </c>
      <c r="O148" s="565"/>
      <c r="P148" s="565"/>
      <c r="Q148" s="565"/>
      <c r="R148" s="565"/>
      <c r="S148" s="566"/>
      <c r="T148" s="661" t="str">
        <f ca="1">IFERROR(INDEX(管理シート!$CB$3:$CK$24,MATCH(W148,管理シート!$CB$3:$CB$24,0),MATCH(K148,管理シート!$CB$3:$CM$3,0)),"")</f>
        <v/>
      </c>
      <c r="U148" s="661"/>
      <c r="V148" s="661"/>
      <c r="W148" s="587" t="str">
        <f ca="1">IF(ISERROR(MATCH("●",足元帳!AA128:AJ128,0)),"",INDIRECT("足元帳!R1C"&amp;MATCH("●",足元帳!AA128:AJ128,0)+26,FALSE))</f>
        <v/>
      </c>
      <c r="X148" s="565"/>
      <c r="Y148" s="566"/>
      <c r="Z148" s="587" t="str">
        <f>IF(足元帳!AL128="","","○")</f>
        <v/>
      </c>
      <c r="AA148" s="566"/>
      <c r="AB148" s="635" t="str">
        <f>IF(足元帳!AM128="","","現金カード払い"&amp;足元帳!AM128&amp;"  ")&amp;IF(足元帳!AP128="","",足元帳!AP128&amp;"　")&amp;IF(足元帳!AQ128="","",足元帳!AQ128&amp;"　")&amp;IF(足元帳!AR128="","",足元帳!AR128&amp;"　")&amp;IF(足元帳!AS128="","",足元帳!AS128&amp;"　")&amp;IF(足元帳!AT128="","",足元帳!AT128&amp;"　")&amp;IF(足元帳!AN128="","","LOVE×2")&amp;IF(足元帳!AJ128="","","MM"&amp;足元帳!AJ128)&amp;IF(足元帳!AW128="","",W148&amp;"利用"&amp;足元帳!AW128)&amp;IF(足元帳!AX128="",""," 優待券配布"&amp;足元帳!AX128)&amp;IF(足元帳!AU128="","","メルマガ")</f>
        <v/>
      </c>
      <c r="AC148" s="636"/>
      <c r="AD148" s="636"/>
      <c r="AE148" s="636"/>
      <c r="AF148" s="636"/>
      <c r="AG148" s="636"/>
      <c r="AH148" s="636"/>
      <c r="AI148" s="636"/>
      <c r="AJ148" s="636"/>
      <c r="AK148" s="636"/>
      <c r="AL148" s="636"/>
      <c r="AM148" s="636"/>
      <c r="AN148" s="636"/>
      <c r="AO148" s="636"/>
      <c r="AP148" s="636"/>
      <c r="AQ148" s="662"/>
      <c r="AR148" s="113" t="str">
        <f>IF(足元帳!A128="","",足元帳!A128)</f>
        <v/>
      </c>
      <c r="AS148" s="123">
        <f>COUNTIF(AR$4:AR148,AR148)</f>
        <v>145</v>
      </c>
    </row>
    <row r="149" spans="1:45" ht="23.45" customHeight="1">
      <c r="A149" s="586">
        <f t="shared" si="3"/>
        <v>128</v>
      </c>
      <c r="B149" s="566"/>
      <c r="C149" s="73" t="str">
        <f>IF(足元帳!AY129=1,"N",IF(足元帳!AY129=2,"R",""))</f>
        <v/>
      </c>
      <c r="D149" s="74" t="str">
        <f>IF(足元帳!AZ129&gt;0,VLOOKUP(足元帳!AZ129,管理シート!$R$4:$V$12,5,FALSE),"")</f>
        <v/>
      </c>
      <c r="E149" s="587" t="str">
        <f>IF(足元帳!J129="","",足元帳!J129)</f>
        <v/>
      </c>
      <c r="F149" s="566"/>
      <c r="G149" s="587" t="str">
        <f>IF(足元帳!K129="","",足元帳!K129)</f>
        <v/>
      </c>
      <c r="H149" s="565"/>
      <c r="I149" s="565"/>
      <c r="J149" s="566"/>
      <c r="K149" s="587" t="str">
        <f>IF(足元帳!BB129&gt;0,VLOOKUP(足元帳!BB129,管理シート!$R$4:$W$12,4,FALSE),"")</f>
        <v/>
      </c>
      <c r="L149" s="565"/>
      <c r="M149" s="566"/>
      <c r="N149" s="587" t="str">
        <f>IF(足元帳!U129="","",足元帳!U129)&amp;IF(足元帳!V129="","",足元帳!V129)&amp;IF(足元帳!W129="","",足元帳!W129)&amp;IF(足元帳!X129="","",足元帳!X129)&amp;IF(足元帳!Y129="","",足元帳!Y129)&amp;IF(足元帳!Z129="","",足元帳!Z129)</f>
        <v/>
      </c>
      <c r="O149" s="565"/>
      <c r="P149" s="565"/>
      <c r="Q149" s="565"/>
      <c r="R149" s="565"/>
      <c r="S149" s="566"/>
      <c r="T149" s="661" t="str">
        <f ca="1">IFERROR(INDEX(管理シート!$CB$3:$CK$24,MATCH(W149,管理シート!$CB$3:$CB$24,0),MATCH(K149,管理シート!$CB$3:$CM$3,0)),"")</f>
        <v/>
      </c>
      <c r="U149" s="661"/>
      <c r="V149" s="661"/>
      <c r="W149" s="587" t="str">
        <f ca="1">IF(ISERROR(MATCH("●",足元帳!AA129:AJ129,0)),"",INDIRECT("足元帳!R1C"&amp;MATCH("●",足元帳!AA129:AJ129,0)+26,FALSE))</f>
        <v/>
      </c>
      <c r="X149" s="565"/>
      <c r="Y149" s="566"/>
      <c r="Z149" s="587" t="str">
        <f>IF(足元帳!AL129="","","○")</f>
        <v/>
      </c>
      <c r="AA149" s="566"/>
      <c r="AB149" s="635" t="str">
        <f>IF(足元帳!AM129="","","現金カード払い"&amp;足元帳!AM129&amp;"  ")&amp;IF(足元帳!AP129="","",足元帳!AP129&amp;"　")&amp;IF(足元帳!AQ129="","",足元帳!AQ129&amp;"　")&amp;IF(足元帳!AR129="","",足元帳!AR129&amp;"　")&amp;IF(足元帳!AS129="","",足元帳!AS129&amp;"　")&amp;IF(足元帳!AT129="","",足元帳!AT129&amp;"　")&amp;IF(足元帳!AN129="","","LOVE×2")&amp;IF(足元帳!AJ129="","","MM"&amp;足元帳!AJ129)&amp;IF(足元帳!AW129="","",W149&amp;"利用"&amp;足元帳!AW129)&amp;IF(足元帳!AX129="",""," 優待券配布"&amp;足元帳!AX129)&amp;IF(足元帳!AU129="","","メルマガ")</f>
        <v/>
      </c>
      <c r="AC149" s="636"/>
      <c r="AD149" s="636"/>
      <c r="AE149" s="636"/>
      <c r="AF149" s="636"/>
      <c r="AG149" s="636"/>
      <c r="AH149" s="636"/>
      <c r="AI149" s="636"/>
      <c r="AJ149" s="636"/>
      <c r="AK149" s="636"/>
      <c r="AL149" s="636"/>
      <c r="AM149" s="636"/>
      <c r="AN149" s="636"/>
      <c r="AO149" s="636"/>
      <c r="AP149" s="636"/>
      <c r="AQ149" s="662"/>
      <c r="AR149" s="113" t="str">
        <f>IF(足元帳!A129="","",足元帳!A129)</f>
        <v/>
      </c>
      <c r="AS149" s="123">
        <f>COUNTIF(AR$4:AR149,AR149)</f>
        <v>146</v>
      </c>
    </row>
    <row r="150" spans="1:45" ht="23.45" customHeight="1">
      <c r="A150" s="586">
        <f t="shared" si="3"/>
        <v>129</v>
      </c>
      <c r="B150" s="566"/>
      <c r="C150" s="73" t="str">
        <f>IF(足元帳!AY130=1,"N",IF(足元帳!AY130=2,"R",""))</f>
        <v/>
      </c>
      <c r="D150" s="74" t="str">
        <f>IF(足元帳!AZ130&gt;0,VLOOKUP(足元帳!AZ130,管理シート!$R$4:$V$12,5,FALSE),"")</f>
        <v/>
      </c>
      <c r="E150" s="587" t="str">
        <f>IF(足元帳!J130="","",足元帳!J130)</f>
        <v/>
      </c>
      <c r="F150" s="566"/>
      <c r="G150" s="587" t="str">
        <f>IF(足元帳!K130="","",足元帳!K130)</f>
        <v/>
      </c>
      <c r="H150" s="565"/>
      <c r="I150" s="565"/>
      <c r="J150" s="566"/>
      <c r="K150" s="587" t="str">
        <f>IF(足元帳!BB130&gt;0,VLOOKUP(足元帳!BB130,管理シート!$R$4:$W$12,4,FALSE),"")</f>
        <v/>
      </c>
      <c r="L150" s="565"/>
      <c r="M150" s="566"/>
      <c r="N150" s="587" t="str">
        <f>IF(足元帳!U130="","",足元帳!U130)&amp;IF(足元帳!V130="","",足元帳!V130)&amp;IF(足元帳!W130="","",足元帳!W130)&amp;IF(足元帳!X130="","",足元帳!X130)&amp;IF(足元帳!Y130="","",足元帳!Y130)&amp;IF(足元帳!Z130="","",足元帳!Z130)</f>
        <v/>
      </c>
      <c r="O150" s="565"/>
      <c r="P150" s="565"/>
      <c r="Q150" s="565"/>
      <c r="R150" s="565"/>
      <c r="S150" s="566"/>
      <c r="T150" s="661" t="str">
        <f ca="1">IFERROR(INDEX(管理シート!$CB$3:$CK$24,MATCH(W150,管理シート!$CB$3:$CB$24,0),MATCH(K150,管理シート!$CB$3:$CM$3,0)),"")</f>
        <v/>
      </c>
      <c r="U150" s="661"/>
      <c r="V150" s="661"/>
      <c r="W150" s="587" t="str">
        <f ca="1">IF(ISERROR(MATCH("●",足元帳!AA130:AJ130,0)),"",INDIRECT("足元帳!R1C"&amp;MATCH("●",足元帳!AA130:AJ130,0)+26,FALSE))</f>
        <v/>
      </c>
      <c r="X150" s="565"/>
      <c r="Y150" s="566"/>
      <c r="Z150" s="587" t="str">
        <f>IF(足元帳!AL130="","","○")</f>
        <v/>
      </c>
      <c r="AA150" s="566"/>
      <c r="AB150" s="635" t="str">
        <f>IF(足元帳!AM130="","","現金カード払い"&amp;足元帳!AM130&amp;"  ")&amp;IF(足元帳!AP130="","",足元帳!AP130&amp;"　")&amp;IF(足元帳!AQ130="","",足元帳!AQ130&amp;"　")&amp;IF(足元帳!AR130="","",足元帳!AR130&amp;"　")&amp;IF(足元帳!AS130="","",足元帳!AS130&amp;"　")&amp;IF(足元帳!AT130="","",足元帳!AT130&amp;"　")&amp;IF(足元帳!AN130="","","LOVE×2")&amp;IF(足元帳!AJ130="","","MM"&amp;足元帳!AJ130)&amp;IF(足元帳!AW130="","",W150&amp;"利用"&amp;足元帳!AW130)&amp;IF(足元帳!AX130="",""," 優待券配布"&amp;足元帳!AX130)&amp;IF(足元帳!AU130="","","メルマガ")</f>
        <v/>
      </c>
      <c r="AC150" s="636"/>
      <c r="AD150" s="636"/>
      <c r="AE150" s="636"/>
      <c r="AF150" s="636"/>
      <c r="AG150" s="636"/>
      <c r="AH150" s="636"/>
      <c r="AI150" s="636"/>
      <c r="AJ150" s="636"/>
      <c r="AK150" s="636"/>
      <c r="AL150" s="636"/>
      <c r="AM150" s="636"/>
      <c r="AN150" s="636"/>
      <c r="AO150" s="636"/>
      <c r="AP150" s="636"/>
      <c r="AQ150" s="662"/>
      <c r="AR150" s="113" t="str">
        <f>IF(足元帳!A130="","",足元帳!A130)</f>
        <v/>
      </c>
      <c r="AS150" s="123">
        <f>COUNTIF(AR$4:AR150,AR150)</f>
        <v>147</v>
      </c>
    </row>
    <row r="151" spans="1:45" ht="23.45" customHeight="1">
      <c r="A151" s="586">
        <f t="shared" si="3"/>
        <v>130</v>
      </c>
      <c r="B151" s="566"/>
      <c r="C151" s="73" t="str">
        <f>IF(足元帳!AY131=1,"N",IF(足元帳!AY131=2,"R",""))</f>
        <v/>
      </c>
      <c r="D151" s="74" t="str">
        <f>IF(足元帳!AZ131&gt;0,VLOOKUP(足元帳!AZ131,管理シート!$R$4:$V$12,5,FALSE),"")</f>
        <v/>
      </c>
      <c r="E151" s="587" t="str">
        <f>IF(足元帳!J131="","",足元帳!J131)</f>
        <v/>
      </c>
      <c r="F151" s="566"/>
      <c r="G151" s="587" t="str">
        <f>IF(足元帳!K131="","",足元帳!K131)</f>
        <v/>
      </c>
      <c r="H151" s="565"/>
      <c r="I151" s="565"/>
      <c r="J151" s="566"/>
      <c r="K151" s="587" t="str">
        <f>IF(足元帳!BB131&gt;0,VLOOKUP(足元帳!BB131,管理シート!$R$4:$W$12,4,FALSE),"")</f>
        <v/>
      </c>
      <c r="L151" s="565"/>
      <c r="M151" s="566"/>
      <c r="N151" s="587" t="str">
        <f>IF(足元帳!U131="","",足元帳!U131)&amp;IF(足元帳!V131="","",足元帳!V131)&amp;IF(足元帳!W131="","",足元帳!W131)&amp;IF(足元帳!X131="","",足元帳!X131)&amp;IF(足元帳!Y131="","",足元帳!Y131)&amp;IF(足元帳!Z131="","",足元帳!Z131)</f>
        <v/>
      </c>
      <c r="O151" s="565"/>
      <c r="P151" s="565"/>
      <c r="Q151" s="565"/>
      <c r="R151" s="565"/>
      <c r="S151" s="566"/>
      <c r="T151" s="661" t="str">
        <f ca="1">IFERROR(INDEX(管理シート!$CB$3:$CK$24,MATCH(W151,管理シート!$CB$3:$CB$24,0),MATCH(K151,管理シート!$CB$3:$CM$3,0)),"")</f>
        <v/>
      </c>
      <c r="U151" s="661"/>
      <c r="V151" s="661"/>
      <c r="W151" s="587" t="str">
        <f ca="1">IF(ISERROR(MATCH("●",足元帳!AA131:AJ131,0)),"",INDIRECT("足元帳!R1C"&amp;MATCH("●",足元帳!AA131:AJ131,0)+26,FALSE))</f>
        <v/>
      </c>
      <c r="X151" s="565"/>
      <c r="Y151" s="566"/>
      <c r="Z151" s="587" t="str">
        <f>IF(足元帳!AL131="","","○")</f>
        <v/>
      </c>
      <c r="AA151" s="566"/>
      <c r="AB151" s="635" t="str">
        <f>IF(足元帳!AM131="","","現金カード払い"&amp;足元帳!AM131&amp;"  ")&amp;IF(足元帳!AP131="","",足元帳!AP131&amp;"　")&amp;IF(足元帳!AQ131="","",足元帳!AQ131&amp;"　")&amp;IF(足元帳!AR131="","",足元帳!AR131&amp;"　")&amp;IF(足元帳!AS131="","",足元帳!AS131&amp;"　")&amp;IF(足元帳!AT131="","",足元帳!AT131&amp;"　")&amp;IF(足元帳!AN131="","","LOVE×2")&amp;IF(足元帳!AJ131="","","MM"&amp;足元帳!AJ131)&amp;IF(足元帳!AW131="","",W151&amp;"利用"&amp;足元帳!AW131)&amp;IF(足元帳!AX131="",""," 優待券配布"&amp;足元帳!AX131)&amp;IF(足元帳!AU131="","","メルマガ")</f>
        <v/>
      </c>
      <c r="AC151" s="636"/>
      <c r="AD151" s="636"/>
      <c r="AE151" s="636"/>
      <c r="AF151" s="636"/>
      <c r="AG151" s="636"/>
      <c r="AH151" s="636"/>
      <c r="AI151" s="636"/>
      <c r="AJ151" s="636"/>
      <c r="AK151" s="636"/>
      <c r="AL151" s="636"/>
      <c r="AM151" s="636"/>
      <c r="AN151" s="636"/>
      <c r="AO151" s="636"/>
      <c r="AP151" s="636"/>
      <c r="AQ151" s="662"/>
      <c r="AR151" s="113" t="str">
        <f>IF(足元帳!A131="","",足元帳!A131)</f>
        <v/>
      </c>
      <c r="AS151" s="123">
        <f>COUNTIF(AR$4:AR151,AR151)</f>
        <v>148</v>
      </c>
    </row>
    <row r="152" spans="1:45" ht="23.45" customHeight="1">
      <c r="A152" s="586">
        <f t="shared" si="3"/>
        <v>131</v>
      </c>
      <c r="B152" s="566"/>
      <c r="C152" s="73" t="str">
        <f>IF(足元帳!AY132=1,"N",IF(足元帳!AY132=2,"R",""))</f>
        <v/>
      </c>
      <c r="D152" s="74" t="str">
        <f>IF(足元帳!AZ132&gt;0,VLOOKUP(足元帳!AZ132,管理シート!$R$4:$V$12,5,FALSE),"")</f>
        <v/>
      </c>
      <c r="E152" s="587" t="str">
        <f>IF(足元帳!J132="","",足元帳!J132)</f>
        <v/>
      </c>
      <c r="F152" s="566"/>
      <c r="G152" s="587" t="str">
        <f>IF(足元帳!K132="","",足元帳!K132)</f>
        <v/>
      </c>
      <c r="H152" s="565"/>
      <c r="I152" s="565"/>
      <c r="J152" s="566"/>
      <c r="K152" s="587" t="str">
        <f>IF(足元帳!BB132&gt;0,VLOOKUP(足元帳!BB132,管理シート!$R$4:$W$12,4,FALSE),"")</f>
        <v/>
      </c>
      <c r="L152" s="565"/>
      <c r="M152" s="566"/>
      <c r="N152" s="587" t="str">
        <f>IF(足元帳!U132="","",足元帳!U132)&amp;IF(足元帳!V132="","",足元帳!V132)&amp;IF(足元帳!W132="","",足元帳!W132)&amp;IF(足元帳!X132="","",足元帳!X132)&amp;IF(足元帳!Y132="","",足元帳!Y132)&amp;IF(足元帳!Z132="","",足元帳!Z132)</f>
        <v/>
      </c>
      <c r="O152" s="565"/>
      <c r="P152" s="565"/>
      <c r="Q152" s="565"/>
      <c r="R152" s="565"/>
      <c r="S152" s="566"/>
      <c r="T152" s="661" t="str">
        <f ca="1">IFERROR(INDEX(管理シート!$CB$3:$CK$24,MATCH(W152,管理シート!$CB$3:$CB$24,0),MATCH(K152,管理シート!$CB$3:$CM$3,0)),"")</f>
        <v/>
      </c>
      <c r="U152" s="661"/>
      <c r="V152" s="661"/>
      <c r="W152" s="587" t="str">
        <f ca="1">IF(ISERROR(MATCH("●",足元帳!AA132:AJ132,0)),"",INDIRECT("足元帳!R1C"&amp;MATCH("●",足元帳!AA132:AJ132,0)+26,FALSE))</f>
        <v/>
      </c>
      <c r="X152" s="565"/>
      <c r="Y152" s="566"/>
      <c r="Z152" s="587" t="str">
        <f>IF(足元帳!AL132="","","○")</f>
        <v/>
      </c>
      <c r="AA152" s="566"/>
      <c r="AB152" s="635" t="str">
        <f>IF(足元帳!AM132="","","現金カード払い"&amp;足元帳!AM132&amp;"  ")&amp;IF(足元帳!AP132="","",足元帳!AP132&amp;"　")&amp;IF(足元帳!AQ132="","",足元帳!AQ132&amp;"　")&amp;IF(足元帳!AR132="","",足元帳!AR132&amp;"　")&amp;IF(足元帳!AS132="","",足元帳!AS132&amp;"　")&amp;IF(足元帳!AT132="","",足元帳!AT132&amp;"　")&amp;IF(足元帳!AN132="","","LOVE×2")&amp;IF(足元帳!AJ132="","","MM"&amp;足元帳!AJ132)&amp;IF(足元帳!AW132="","",W152&amp;"利用"&amp;足元帳!AW132)&amp;IF(足元帳!AX132="",""," 優待券配布"&amp;足元帳!AX132)&amp;IF(足元帳!AU132="","","メルマガ")</f>
        <v/>
      </c>
      <c r="AC152" s="636"/>
      <c r="AD152" s="636"/>
      <c r="AE152" s="636"/>
      <c r="AF152" s="636"/>
      <c r="AG152" s="636"/>
      <c r="AH152" s="636"/>
      <c r="AI152" s="636"/>
      <c r="AJ152" s="636"/>
      <c r="AK152" s="636"/>
      <c r="AL152" s="636"/>
      <c r="AM152" s="636"/>
      <c r="AN152" s="636"/>
      <c r="AO152" s="636"/>
      <c r="AP152" s="636"/>
      <c r="AQ152" s="662"/>
      <c r="AR152" s="113" t="str">
        <f>IF(足元帳!A132="","",足元帳!A132)</f>
        <v/>
      </c>
      <c r="AS152" s="123">
        <f>COUNTIF(AR$4:AR152,AR152)</f>
        <v>149</v>
      </c>
    </row>
    <row r="153" spans="1:45" ht="23.45" customHeight="1">
      <c r="A153" s="586">
        <f t="shared" si="3"/>
        <v>132</v>
      </c>
      <c r="B153" s="566"/>
      <c r="C153" s="73" t="str">
        <f>IF(足元帳!AY133=1,"N",IF(足元帳!AY133=2,"R",""))</f>
        <v/>
      </c>
      <c r="D153" s="74" t="str">
        <f>IF(足元帳!AZ133&gt;0,VLOOKUP(足元帳!AZ133,管理シート!$R$4:$V$12,5,FALSE),"")</f>
        <v/>
      </c>
      <c r="E153" s="587" t="str">
        <f>IF(足元帳!J133="","",足元帳!J133)</f>
        <v/>
      </c>
      <c r="F153" s="566"/>
      <c r="G153" s="587" t="str">
        <f>IF(足元帳!K133="","",足元帳!K133)</f>
        <v/>
      </c>
      <c r="H153" s="565"/>
      <c r="I153" s="565"/>
      <c r="J153" s="566"/>
      <c r="K153" s="587" t="str">
        <f>IF(足元帳!BB133&gt;0,VLOOKUP(足元帳!BB133,管理シート!$R$4:$W$12,4,FALSE),"")</f>
        <v/>
      </c>
      <c r="L153" s="565"/>
      <c r="M153" s="566"/>
      <c r="N153" s="587" t="str">
        <f>IF(足元帳!U133="","",足元帳!U133)&amp;IF(足元帳!V133="","",足元帳!V133)&amp;IF(足元帳!W133="","",足元帳!W133)&amp;IF(足元帳!X133="","",足元帳!X133)&amp;IF(足元帳!Y133="","",足元帳!Y133)&amp;IF(足元帳!Z133="","",足元帳!Z133)</f>
        <v/>
      </c>
      <c r="O153" s="565"/>
      <c r="P153" s="565"/>
      <c r="Q153" s="565"/>
      <c r="R153" s="565"/>
      <c r="S153" s="566"/>
      <c r="T153" s="661" t="str">
        <f ca="1">IFERROR(INDEX(管理シート!$CB$3:$CK$24,MATCH(W153,管理シート!$CB$3:$CB$24,0),MATCH(K153,管理シート!$CB$3:$CM$3,0)),"")</f>
        <v/>
      </c>
      <c r="U153" s="661"/>
      <c r="V153" s="661"/>
      <c r="W153" s="587" t="str">
        <f ca="1">IF(ISERROR(MATCH("●",足元帳!AA133:AJ133,0)),"",INDIRECT("足元帳!R1C"&amp;MATCH("●",足元帳!AA133:AJ133,0)+26,FALSE))</f>
        <v/>
      </c>
      <c r="X153" s="565"/>
      <c r="Y153" s="566"/>
      <c r="Z153" s="587" t="str">
        <f>IF(足元帳!AL133="","","○")</f>
        <v/>
      </c>
      <c r="AA153" s="566"/>
      <c r="AB153" s="635" t="str">
        <f>IF(足元帳!AM133="","","現金カード払い"&amp;足元帳!AM133&amp;"  ")&amp;IF(足元帳!AP133="","",足元帳!AP133&amp;"　")&amp;IF(足元帳!AQ133="","",足元帳!AQ133&amp;"　")&amp;IF(足元帳!AR133="","",足元帳!AR133&amp;"　")&amp;IF(足元帳!AS133="","",足元帳!AS133&amp;"　")&amp;IF(足元帳!AT133="","",足元帳!AT133&amp;"　")&amp;IF(足元帳!AN133="","","LOVE×2")&amp;IF(足元帳!AJ133="","","MM"&amp;足元帳!AJ133)&amp;IF(足元帳!AW133="","",W153&amp;"利用"&amp;足元帳!AW133)&amp;IF(足元帳!AX133="",""," 優待券配布"&amp;足元帳!AX133)&amp;IF(足元帳!AU133="","","メルマガ")</f>
        <v/>
      </c>
      <c r="AC153" s="636"/>
      <c r="AD153" s="636"/>
      <c r="AE153" s="636"/>
      <c r="AF153" s="636"/>
      <c r="AG153" s="636"/>
      <c r="AH153" s="636"/>
      <c r="AI153" s="636"/>
      <c r="AJ153" s="636"/>
      <c r="AK153" s="636"/>
      <c r="AL153" s="636"/>
      <c r="AM153" s="636"/>
      <c r="AN153" s="636"/>
      <c r="AO153" s="636"/>
      <c r="AP153" s="636"/>
      <c r="AQ153" s="662"/>
      <c r="AR153" s="113" t="str">
        <f>IF(足元帳!A133="","",足元帳!A133)</f>
        <v/>
      </c>
      <c r="AS153" s="123">
        <f>COUNTIF(AR$4:AR153,AR153)</f>
        <v>150</v>
      </c>
    </row>
    <row r="154" spans="1:45" ht="23.45" customHeight="1">
      <c r="A154" s="586">
        <f t="shared" si="3"/>
        <v>133</v>
      </c>
      <c r="B154" s="566"/>
      <c r="C154" s="73" t="str">
        <f>IF(足元帳!AY134=1,"N",IF(足元帳!AY134=2,"R",""))</f>
        <v/>
      </c>
      <c r="D154" s="74" t="str">
        <f>IF(足元帳!AZ134&gt;0,VLOOKUP(足元帳!AZ134,管理シート!$R$4:$V$12,5,FALSE),"")</f>
        <v/>
      </c>
      <c r="E154" s="587" t="str">
        <f>IF(足元帳!J134="","",足元帳!J134)</f>
        <v/>
      </c>
      <c r="F154" s="566"/>
      <c r="G154" s="587" t="str">
        <f>IF(足元帳!K134="","",足元帳!K134)</f>
        <v/>
      </c>
      <c r="H154" s="565"/>
      <c r="I154" s="565"/>
      <c r="J154" s="566"/>
      <c r="K154" s="587" t="str">
        <f>IF(足元帳!BB134&gt;0,VLOOKUP(足元帳!BB134,管理シート!$R$4:$W$12,4,FALSE),"")</f>
        <v/>
      </c>
      <c r="L154" s="565"/>
      <c r="M154" s="566"/>
      <c r="N154" s="587" t="str">
        <f>IF(足元帳!U134="","",足元帳!U134)&amp;IF(足元帳!V134="","",足元帳!V134)&amp;IF(足元帳!W134="","",足元帳!W134)&amp;IF(足元帳!X134="","",足元帳!X134)&amp;IF(足元帳!Y134="","",足元帳!Y134)&amp;IF(足元帳!Z134="","",足元帳!Z134)</f>
        <v/>
      </c>
      <c r="O154" s="565"/>
      <c r="P154" s="565"/>
      <c r="Q154" s="565"/>
      <c r="R154" s="565"/>
      <c r="S154" s="566"/>
      <c r="T154" s="661" t="str">
        <f ca="1">IFERROR(INDEX(管理シート!$CB$3:$CK$24,MATCH(W154,管理シート!$CB$3:$CB$24,0),MATCH(K154,管理シート!$CB$3:$CM$3,0)),"")</f>
        <v/>
      </c>
      <c r="U154" s="661"/>
      <c r="V154" s="661"/>
      <c r="W154" s="587" t="str">
        <f ca="1">IF(ISERROR(MATCH("●",足元帳!AA134:AJ134,0)),"",INDIRECT("足元帳!R1C"&amp;MATCH("●",足元帳!AA134:AJ134,0)+26,FALSE))</f>
        <v/>
      </c>
      <c r="X154" s="565"/>
      <c r="Y154" s="566"/>
      <c r="Z154" s="587" t="str">
        <f>IF(足元帳!AL134="","","○")</f>
        <v/>
      </c>
      <c r="AA154" s="566"/>
      <c r="AB154" s="635" t="str">
        <f>IF(足元帳!AM134="","","現金カード払い"&amp;足元帳!AM134&amp;"  ")&amp;IF(足元帳!AP134="","",足元帳!AP134&amp;"　")&amp;IF(足元帳!AQ134="","",足元帳!AQ134&amp;"　")&amp;IF(足元帳!AR134="","",足元帳!AR134&amp;"　")&amp;IF(足元帳!AS134="","",足元帳!AS134&amp;"　")&amp;IF(足元帳!AT134="","",足元帳!AT134&amp;"　")&amp;IF(足元帳!AN134="","","LOVE×2")&amp;IF(足元帳!AJ134="","","MM"&amp;足元帳!AJ134)&amp;IF(足元帳!AW134="","",W154&amp;"利用"&amp;足元帳!AW134)&amp;IF(足元帳!AX134="",""," 優待券配布"&amp;足元帳!AX134)&amp;IF(足元帳!AU134="","","メルマガ")</f>
        <v/>
      </c>
      <c r="AC154" s="636"/>
      <c r="AD154" s="636"/>
      <c r="AE154" s="636"/>
      <c r="AF154" s="636"/>
      <c r="AG154" s="636"/>
      <c r="AH154" s="636"/>
      <c r="AI154" s="636"/>
      <c r="AJ154" s="636"/>
      <c r="AK154" s="636"/>
      <c r="AL154" s="636"/>
      <c r="AM154" s="636"/>
      <c r="AN154" s="636"/>
      <c r="AO154" s="636"/>
      <c r="AP154" s="636"/>
      <c r="AQ154" s="662"/>
      <c r="AR154" s="113" t="str">
        <f>IF(足元帳!A134="","",足元帳!A134)</f>
        <v/>
      </c>
      <c r="AS154" s="123">
        <f>COUNTIF(AR$4:AR154,AR154)</f>
        <v>151</v>
      </c>
    </row>
    <row r="155" spans="1:45" ht="23.45" customHeight="1">
      <c r="A155" s="586">
        <f t="shared" si="3"/>
        <v>134</v>
      </c>
      <c r="B155" s="566"/>
      <c r="C155" s="73" t="str">
        <f>IF(足元帳!AY135=1,"N",IF(足元帳!AY135=2,"R",""))</f>
        <v/>
      </c>
      <c r="D155" s="74" t="str">
        <f>IF(足元帳!AZ135&gt;0,VLOOKUP(足元帳!AZ135,管理シート!$R$4:$V$12,5,FALSE),"")</f>
        <v/>
      </c>
      <c r="E155" s="587" t="str">
        <f>IF(足元帳!J135="","",足元帳!J135)</f>
        <v/>
      </c>
      <c r="F155" s="566"/>
      <c r="G155" s="587" t="str">
        <f>IF(足元帳!K135="","",足元帳!K135)</f>
        <v/>
      </c>
      <c r="H155" s="565"/>
      <c r="I155" s="565"/>
      <c r="J155" s="566"/>
      <c r="K155" s="587" t="str">
        <f>IF(足元帳!BB135&gt;0,VLOOKUP(足元帳!BB135,管理シート!$R$4:$W$12,4,FALSE),"")</f>
        <v/>
      </c>
      <c r="L155" s="565"/>
      <c r="M155" s="566"/>
      <c r="N155" s="587" t="str">
        <f>IF(足元帳!U135="","",足元帳!U135)&amp;IF(足元帳!V135="","",足元帳!V135)&amp;IF(足元帳!W135="","",足元帳!W135)&amp;IF(足元帳!X135="","",足元帳!X135)&amp;IF(足元帳!Y135="","",足元帳!Y135)&amp;IF(足元帳!Z135="","",足元帳!Z135)</f>
        <v/>
      </c>
      <c r="O155" s="565"/>
      <c r="P155" s="565"/>
      <c r="Q155" s="565"/>
      <c r="R155" s="565"/>
      <c r="S155" s="566"/>
      <c r="T155" s="661" t="str">
        <f ca="1">IFERROR(INDEX(管理シート!$CB$3:$CK$24,MATCH(W155,管理シート!$CB$3:$CB$24,0),MATCH(K155,管理シート!$CB$3:$CM$3,0)),"")</f>
        <v/>
      </c>
      <c r="U155" s="661"/>
      <c r="V155" s="661"/>
      <c r="W155" s="587" t="str">
        <f ca="1">IF(ISERROR(MATCH("●",足元帳!AA135:AJ135,0)),"",INDIRECT("足元帳!R1C"&amp;MATCH("●",足元帳!AA135:AJ135,0)+26,FALSE))</f>
        <v/>
      </c>
      <c r="X155" s="565"/>
      <c r="Y155" s="566"/>
      <c r="Z155" s="587" t="str">
        <f>IF(足元帳!AL135="","","○")</f>
        <v/>
      </c>
      <c r="AA155" s="566"/>
      <c r="AB155" s="635" t="str">
        <f>IF(足元帳!AM135="","","現金カード払い"&amp;足元帳!AM135&amp;"  ")&amp;IF(足元帳!AP135="","",足元帳!AP135&amp;"　")&amp;IF(足元帳!AQ135="","",足元帳!AQ135&amp;"　")&amp;IF(足元帳!AR135="","",足元帳!AR135&amp;"　")&amp;IF(足元帳!AS135="","",足元帳!AS135&amp;"　")&amp;IF(足元帳!AT135="","",足元帳!AT135&amp;"　")&amp;IF(足元帳!AN135="","","LOVE×2")&amp;IF(足元帳!AJ135="","","MM"&amp;足元帳!AJ135)&amp;IF(足元帳!AW135="","",W155&amp;"利用"&amp;足元帳!AW135)&amp;IF(足元帳!AX135="",""," 優待券配布"&amp;足元帳!AX135)&amp;IF(足元帳!AU135="","","メルマガ")</f>
        <v/>
      </c>
      <c r="AC155" s="636"/>
      <c r="AD155" s="636"/>
      <c r="AE155" s="636"/>
      <c r="AF155" s="636"/>
      <c r="AG155" s="636"/>
      <c r="AH155" s="636"/>
      <c r="AI155" s="636"/>
      <c r="AJ155" s="636"/>
      <c r="AK155" s="636"/>
      <c r="AL155" s="636"/>
      <c r="AM155" s="636"/>
      <c r="AN155" s="636"/>
      <c r="AO155" s="636"/>
      <c r="AP155" s="636"/>
      <c r="AQ155" s="662"/>
      <c r="AR155" s="113" t="str">
        <f>IF(足元帳!A135="","",足元帳!A135)</f>
        <v/>
      </c>
      <c r="AS155" s="123">
        <f>COUNTIF(AR$4:AR155,AR155)</f>
        <v>152</v>
      </c>
    </row>
    <row r="156" spans="1:45" ht="23.45" customHeight="1">
      <c r="A156" s="586">
        <f t="shared" si="3"/>
        <v>135</v>
      </c>
      <c r="B156" s="566"/>
      <c r="C156" s="73" t="str">
        <f>IF(足元帳!AY136=1,"N",IF(足元帳!AY136=2,"R",""))</f>
        <v/>
      </c>
      <c r="D156" s="74" t="str">
        <f>IF(足元帳!AZ136&gt;0,VLOOKUP(足元帳!AZ136,管理シート!$R$4:$V$12,5,FALSE),"")</f>
        <v/>
      </c>
      <c r="E156" s="587" t="str">
        <f>IF(足元帳!J136="","",足元帳!J136)</f>
        <v/>
      </c>
      <c r="F156" s="566"/>
      <c r="G156" s="587" t="str">
        <f>IF(足元帳!K136="","",足元帳!K136)</f>
        <v/>
      </c>
      <c r="H156" s="565"/>
      <c r="I156" s="565"/>
      <c r="J156" s="566"/>
      <c r="K156" s="587" t="str">
        <f>IF(足元帳!BB136&gt;0,VLOOKUP(足元帳!BB136,管理シート!$R$4:$W$12,4,FALSE),"")</f>
        <v/>
      </c>
      <c r="L156" s="565"/>
      <c r="M156" s="566"/>
      <c r="N156" s="587" t="str">
        <f>IF(足元帳!U136="","",足元帳!U136)&amp;IF(足元帳!V136="","",足元帳!V136)&amp;IF(足元帳!W136="","",足元帳!W136)&amp;IF(足元帳!X136="","",足元帳!X136)&amp;IF(足元帳!Y136="","",足元帳!Y136)&amp;IF(足元帳!Z136="","",足元帳!Z136)</f>
        <v/>
      </c>
      <c r="O156" s="565"/>
      <c r="P156" s="565"/>
      <c r="Q156" s="565"/>
      <c r="R156" s="565"/>
      <c r="S156" s="566"/>
      <c r="T156" s="661" t="str">
        <f ca="1">IFERROR(INDEX(管理シート!$CB$3:$CK$24,MATCH(W156,管理シート!$CB$3:$CB$24,0),MATCH(K156,管理シート!$CB$3:$CM$3,0)),"")</f>
        <v/>
      </c>
      <c r="U156" s="661"/>
      <c r="V156" s="661"/>
      <c r="W156" s="587" t="str">
        <f ca="1">IF(ISERROR(MATCH("●",足元帳!AA136:AJ136,0)),"",INDIRECT("足元帳!R1C"&amp;MATCH("●",足元帳!AA136:AJ136,0)+26,FALSE))</f>
        <v/>
      </c>
      <c r="X156" s="565"/>
      <c r="Y156" s="566"/>
      <c r="Z156" s="587" t="str">
        <f>IF(足元帳!AL136="","","○")</f>
        <v/>
      </c>
      <c r="AA156" s="566"/>
      <c r="AB156" s="635" t="str">
        <f>IF(足元帳!AM136="","","現金カード払い"&amp;足元帳!AM136&amp;"  ")&amp;IF(足元帳!AP136="","",足元帳!AP136&amp;"　")&amp;IF(足元帳!AQ136="","",足元帳!AQ136&amp;"　")&amp;IF(足元帳!AR136="","",足元帳!AR136&amp;"　")&amp;IF(足元帳!AS136="","",足元帳!AS136&amp;"　")&amp;IF(足元帳!AT136="","",足元帳!AT136&amp;"　")&amp;IF(足元帳!AN136="","","LOVE×2")&amp;IF(足元帳!AJ136="","","MM"&amp;足元帳!AJ136)&amp;IF(足元帳!AW136="","",W156&amp;"利用"&amp;足元帳!AW136)&amp;IF(足元帳!AX136="",""," 優待券配布"&amp;足元帳!AX136)&amp;IF(足元帳!AU136="","","メルマガ")</f>
        <v/>
      </c>
      <c r="AC156" s="636"/>
      <c r="AD156" s="636"/>
      <c r="AE156" s="636"/>
      <c r="AF156" s="636"/>
      <c r="AG156" s="636"/>
      <c r="AH156" s="636"/>
      <c r="AI156" s="636"/>
      <c r="AJ156" s="636"/>
      <c r="AK156" s="636"/>
      <c r="AL156" s="636"/>
      <c r="AM156" s="636"/>
      <c r="AN156" s="636"/>
      <c r="AO156" s="636"/>
      <c r="AP156" s="636"/>
      <c r="AQ156" s="662"/>
      <c r="AR156" s="113" t="str">
        <f>IF(足元帳!A136="","",足元帳!A136)</f>
        <v/>
      </c>
      <c r="AS156" s="123">
        <f>COUNTIF(AR$4:AR156,AR156)</f>
        <v>153</v>
      </c>
    </row>
    <row r="157" spans="1:45" ht="23.45" customHeight="1">
      <c r="A157" s="586">
        <f t="shared" si="3"/>
        <v>136</v>
      </c>
      <c r="B157" s="566"/>
      <c r="C157" s="73" t="str">
        <f>IF(足元帳!AY137=1,"N",IF(足元帳!AY137=2,"R",""))</f>
        <v/>
      </c>
      <c r="D157" s="74" t="str">
        <f>IF(足元帳!AZ137&gt;0,VLOOKUP(足元帳!AZ137,管理シート!$R$4:$V$12,5,FALSE),"")</f>
        <v/>
      </c>
      <c r="E157" s="587" t="str">
        <f>IF(足元帳!J137="","",足元帳!J137)</f>
        <v/>
      </c>
      <c r="F157" s="566"/>
      <c r="G157" s="587" t="str">
        <f>IF(足元帳!K137="","",足元帳!K137)</f>
        <v/>
      </c>
      <c r="H157" s="565"/>
      <c r="I157" s="565"/>
      <c r="J157" s="566"/>
      <c r="K157" s="587" t="str">
        <f>IF(足元帳!BB137&gt;0,VLOOKUP(足元帳!BB137,管理シート!$R$4:$W$12,4,FALSE),"")</f>
        <v/>
      </c>
      <c r="L157" s="565"/>
      <c r="M157" s="566"/>
      <c r="N157" s="587" t="str">
        <f>IF(足元帳!U137="","",足元帳!U137)&amp;IF(足元帳!V137="","",足元帳!V137)&amp;IF(足元帳!W137="","",足元帳!W137)&amp;IF(足元帳!X137="","",足元帳!X137)&amp;IF(足元帳!Y137="","",足元帳!Y137)&amp;IF(足元帳!Z137="","",足元帳!Z137)</f>
        <v/>
      </c>
      <c r="O157" s="565"/>
      <c r="P157" s="565"/>
      <c r="Q157" s="565"/>
      <c r="R157" s="565"/>
      <c r="S157" s="566"/>
      <c r="T157" s="661" t="str">
        <f ca="1">IFERROR(INDEX(管理シート!$CB$3:$CK$24,MATCH(W157,管理シート!$CB$3:$CB$24,0),MATCH(K157,管理シート!$CB$3:$CM$3,0)),"")</f>
        <v/>
      </c>
      <c r="U157" s="661"/>
      <c r="V157" s="661"/>
      <c r="W157" s="587" t="str">
        <f ca="1">IF(ISERROR(MATCH("●",足元帳!AA137:AJ137,0)),"",INDIRECT("足元帳!R1C"&amp;MATCH("●",足元帳!AA137:AJ137,0)+26,FALSE))</f>
        <v/>
      </c>
      <c r="X157" s="565"/>
      <c r="Y157" s="566"/>
      <c r="Z157" s="587" t="str">
        <f>IF(足元帳!AL137="","","○")</f>
        <v/>
      </c>
      <c r="AA157" s="566"/>
      <c r="AB157" s="635" t="str">
        <f>IF(足元帳!AM137="","","現金カード払い"&amp;足元帳!AM137&amp;"  ")&amp;IF(足元帳!AP137="","",足元帳!AP137&amp;"　")&amp;IF(足元帳!AQ137="","",足元帳!AQ137&amp;"　")&amp;IF(足元帳!AR137="","",足元帳!AR137&amp;"　")&amp;IF(足元帳!AS137="","",足元帳!AS137&amp;"　")&amp;IF(足元帳!AT137="","",足元帳!AT137&amp;"　")&amp;IF(足元帳!AN137="","","LOVE×2")&amp;IF(足元帳!AJ137="","","MM"&amp;足元帳!AJ137)&amp;IF(足元帳!AW137="","",W157&amp;"利用"&amp;足元帳!AW137)&amp;IF(足元帳!AX137="",""," 優待券配布"&amp;足元帳!AX137)&amp;IF(足元帳!AU137="","","メルマガ")</f>
        <v/>
      </c>
      <c r="AC157" s="636"/>
      <c r="AD157" s="636"/>
      <c r="AE157" s="636"/>
      <c r="AF157" s="636"/>
      <c r="AG157" s="636"/>
      <c r="AH157" s="636"/>
      <c r="AI157" s="636"/>
      <c r="AJ157" s="636"/>
      <c r="AK157" s="636"/>
      <c r="AL157" s="636"/>
      <c r="AM157" s="636"/>
      <c r="AN157" s="636"/>
      <c r="AO157" s="636"/>
      <c r="AP157" s="636"/>
      <c r="AQ157" s="662"/>
      <c r="AR157" s="113" t="str">
        <f>IF(足元帳!A137="","",足元帳!A137)</f>
        <v/>
      </c>
      <c r="AS157" s="123">
        <f>COUNTIF(AR$4:AR157,AR157)</f>
        <v>154</v>
      </c>
    </row>
    <row r="158" spans="1:45" ht="23.45" customHeight="1">
      <c r="A158" s="586">
        <f t="shared" si="3"/>
        <v>137</v>
      </c>
      <c r="B158" s="566"/>
      <c r="C158" s="73" t="str">
        <f>IF(足元帳!AY138=1,"N",IF(足元帳!AY138=2,"R",""))</f>
        <v/>
      </c>
      <c r="D158" s="74" t="str">
        <f>IF(足元帳!AZ138&gt;0,VLOOKUP(足元帳!AZ138,管理シート!$R$4:$V$12,5,FALSE),"")</f>
        <v/>
      </c>
      <c r="E158" s="587" t="str">
        <f>IF(足元帳!J138="","",足元帳!J138)</f>
        <v/>
      </c>
      <c r="F158" s="566"/>
      <c r="G158" s="587" t="str">
        <f>IF(足元帳!K138="","",足元帳!K138)</f>
        <v/>
      </c>
      <c r="H158" s="565"/>
      <c r="I158" s="565"/>
      <c r="J158" s="566"/>
      <c r="K158" s="587" t="str">
        <f>IF(足元帳!BB138&gt;0,VLOOKUP(足元帳!BB138,管理シート!$R$4:$W$12,4,FALSE),"")</f>
        <v/>
      </c>
      <c r="L158" s="565"/>
      <c r="M158" s="566"/>
      <c r="N158" s="587" t="str">
        <f>IF(足元帳!U138="","",足元帳!U138)&amp;IF(足元帳!V138="","",足元帳!V138)&amp;IF(足元帳!W138="","",足元帳!W138)&amp;IF(足元帳!X138="","",足元帳!X138)&amp;IF(足元帳!Y138="","",足元帳!Y138)&amp;IF(足元帳!Z138="","",足元帳!Z138)</f>
        <v/>
      </c>
      <c r="O158" s="565"/>
      <c r="P158" s="565"/>
      <c r="Q158" s="565"/>
      <c r="R158" s="565"/>
      <c r="S158" s="566"/>
      <c r="T158" s="661" t="str">
        <f ca="1">IFERROR(INDEX(管理シート!$CB$3:$CK$24,MATCH(W158,管理シート!$CB$3:$CB$24,0),MATCH(K158,管理シート!$CB$3:$CM$3,0)),"")</f>
        <v/>
      </c>
      <c r="U158" s="661"/>
      <c r="V158" s="661"/>
      <c r="W158" s="587" t="str">
        <f ca="1">IF(ISERROR(MATCH("●",足元帳!AA138:AJ138,0)),"",INDIRECT("足元帳!R1C"&amp;MATCH("●",足元帳!AA138:AJ138,0)+26,FALSE))</f>
        <v/>
      </c>
      <c r="X158" s="565"/>
      <c r="Y158" s="566"/>
      <c r="Z158" s="587" t="str">
        <f>IF(足元帳!AL138="","","○")</f>
        <v/>
      </c>
      <c r="AA158" s="566"/>
      <c r="AB158" s="635" t="str">
        <f>IF(足元帳!AM138="","","現金カード払い"&amp;足元帳!AM138&amp;"  ")&amp;IF(足元帳!AP138="","",足元帳!AP138&amp;"　")&amp;IF(足元帳!AQ138="","",足元帳!AQ138&amp;"　")&amp;IF(足元帳!AR138="","",足元帳!AR138&amp;"　")&amp;IF(足元帳!AS138="","",足元帳!AS138&amp;"　")&amp;IF(足元帳!AT138="","",足元帳!AT138&amp;"　")&amp;IF(足元帳!AN138="","","LOVE×2")&amp;IF(足元帳!AJ138="","","MM"&amp;足元帳!AJ138)&amp;IF(足元帳!AW138="","",W158&amp;"利用"&amp;足元帳!AW138)&amp;IF(足元帳!AX138="",""," 優待券配布"&amp;足元帳!AX138)&amp;IF(足元帳!AU138="","","メルマガ")</f>
        <v/>
      </c>
      <c r="AC158" s="636"/>
      <c r="AD158" s="636"/>
      <c r="AE158" s="636"/>
      <c r="AF158" s="636"/>
      <c r="AG158" s="636"/>
      <c r="AH158" s="636"/>
      <c r="AI158" s="636"/>
      <c r="AJ158" s="636"/>
      <c r="AK158" s="636"/>
      <c r="AL158" s="636"/>
      <c r="AM158" s="636"/>
      <c r="AN158" s="636"/>
      <c r="AO158" s="636"/>
      <c r="AP158" s="636"/>
      <c r="AQ158" s="662"/>
      <c r="AR158" s="113" t="str">
        <f>IF(足元帳!A138="","",足元帳!A138)</f>
        <v/>
      </c>
      <c r="AS158" s="123">
        <f>COUNTIF(AR$4:AR158,AR158)</f>
        <v>155</v>
      </c>
    </row>
    <row r="159" spans="1:45" ht="23.45" customHeight="1">
      <c r="A159" s="586">
        <f t="shared" si="3"/>
        <v>138</v>
      </c>
      <c r="B159" s="566"/>
      <c r="C159" s="73" t="str">
        <f>IF(足元帳!AY139=1,"N",IF(足元帳!AY139=2,"R",""))</f>
        <v/>
      </c>
      <c r="D159" s="74" t="str">
        <f>IF(足元帳!AZ139&gt;0,VLOOKUP(足元帳!AZ139,管理シート!$R$4:$V$12,5,FALSE),"")</f>
        <v/>
      </c>
      <c r="E159" s="587" t="str">
        <f>IF(足元帳!J139="","",足元帳!J139)</f>
        <v/>
      </c>
      <c r="F159" s="566"/>
      <c r="G159" s="587" t="str">
        <f>IF(足元帳!K139="","",足元帳!K139)</f>
        <v/>
      </c>
      <c r="H159" s="565"/>
      <c r="I159" s="565"/>
      <c r="J159" s="566"/>
      <c r="K159" s="587" t="str">
        <f>IF(足元帳!BB139&gt;0,VLOOKUP(足元帳!BB139,管理シート!$R$4:$W$12,4,FALSE),"")</f>
        <v/>
      </c>
      <c r="L159" s="565"/>
      <c r="M159" s="566"/>
      <c r="N159" s="587" t="str">
        <f>IF(足元帳!U139="","",足元帳!U139)&amp;IF(足元帳!V139="","",足元帳!V139)&amp;IF(足元帳!W139="","",足元帳!W139)&amp;IF(足元帳!X139="","",足元帳!X139)&amp;IF(足元帳!Y139="","",足元帳!Y139)&amp;IF(足元帳!Z139="","",足元帳!Z139)</f>
        <v/>
      </c>
      <c r="O159" s="565"/>
      <c r="P159" s="565"/>
      <c r="Q159" s="565"/>
      <c r="R159" s="565"/>
      <c r="S159" s="566"/>
      <c r="T159" s="661" t="str">
        <f ca="1">IFERROR(INDEX(管理シート!$CB$3:$CK$24,MATCH(W159,管理シート!$CB$3:$CB$24,0),MATCH(K159,管理シート!$CB$3:$CM$3,0)),"")</f>
        <v/>
      </c>
      <c r="U159" s="661"/>
      <c r="V159" s="661"/>
      <c r="W159" s="587" t="str">
        <f ca="1">IF(ISERROR(MATCH("●",足元帳!AA139:AJ139,0)),"",INDIRECT("足元帳!R1C"&amp;MATCH("●",足元帳!AA139:AJ139,0)+26,FALSE))</f>
        <v/>
      </c>
      <c r="X159" s="565"/>
      <c r="Y159" s="566"/>
      <c r="Z159" s="587" t="str">
        <f>IF(足元帳!AL139="","","○")</f>
        <v/>
      </c>
      <c r="AA159" s="566"/>
      <c r="AB159" s="635" t="str">
        <f>IF(足元帳!AM139="","","現金カード払い"&amp;足元帳!AM139&amp;"  ")&amp;IF(足元帳!AP139="","",足元帳!AP139&amp;"　")&amp;IF(足元帳!AQ139="","",足元帳!AQ139&amp;"　")&amp;IF(足元帳!AR139="","",足元帳!AR139&amp;"　")&amp;IF(足元帳!AS139="","",足元帳!AS139&amp;"　")&amp;IF(足元帳!AT139="","",足元帳!AT139&amp;"　")&amp;IF(足元帳!AN139="","","LOVE×2")&amp;IF(足元帳!AJ139="","","MM"&amp;足元帳!AJ139)&amp;IF(足元帳!AW139="","",W159&amp;"利用"&amp;足元帳!AW139)&amp;IF(足元帳!AX139="",""," 優待券配布"&amp;足元帳!AX139)&amp;IF(足元帳!AU139="","","メルマガ")</f>
        <v/>
      </c>
      <c r="AC159" s="636"/>
      <c r="AD159" s="636"/>
      <c r="AE159" s="636"/>
      <c r="AF159" s="636"/>
      <c r="AG159" s="636"/>
      <c r="AH159" s="636"/>
      <c r="AI159" s="636"/>
      <c r="AJ159" s="636"/>
      <c r="AK159" s="636"/>
      <c r="AL159" s="636"/>
      <c r="AM159" s="636"/>
      <c r="AN159" s="636"/>
      <c r="AO159" s="636"/>
      <c r="AP159" s="636"/>
      <c r="AQ159" s="662"/>
      <c r="AR159" s="113" t="str">
        <f>IF(足元帳!A139="","",足元帳!A139)</f>
        <v/>
      </c>
      <c r="AS159" s="123">
        <f>COUNTIF(AR$4:AR159,AR159)</f>
        <v>156</v>
      </c>
    </row>
    <row r="160" spans="1:45" ht="23.45" customHeight="1">
      <c r="A160" s="586">
        <f t="shared" si="3"/>
        <v>139</v>
      </c>
      <c r="B160" s="566"/>
      <c r="C160" s="73" t="str">
        <f>IF(足元帳!AY140=1,"N",IF(足元帳!AY140=2,"R",""))</f>
        <v/>
      </c>
      <c r="D160" s="74" t="str">
        <f>IF(足元帳!AZ140&gt;0,VLOOKUP(足元帳!AZ140,管理シート!$R$4:$V$12,5,FALSE),"")</f>
        <v/>
      </c>
      <c r="E160" s="587" t="str">
        <f>IF(足元帳!J140="","",足元帳!J140)</f>
        <v/>
      </c>
      <c r="F160" s="566"/>
      <c r="G160" s="587" t="str">
        <f>IF(足元帳!K140="","",足元帳!K140)</f>
        <v/>
      </c>
      <c r="H160" s="565"/>
      <c r="I160" s="565"/>
      <c r="J160" s="566"/>
      <c r="K160" s="587" t="str">
        <f>IF(足元帳!BB140&gt;0,VLOOKUP(足元帳!BB140,管理シート!$R$4:$W$12,4,FALSE),"")</f>
        <v/>
      </c>
      <c r="L160" s="565"/>
      <c r="M160" s="566"/>
      <c r="N160" s="587" t="str">
        <f>IF(足元帳!U140="","",足元帳!U140)&amp;IF(足元帳!V140="","",足元帳!V140)&amp;IF(足元帳!W140="","",足元帳!W140)&amp;IF(足元帳!X140="","",足元帳!X140)&amp;IF(足元帳!Y140="","",足元帳!Y140)&amp;IF(足元帳!Z140="","",足元帳!Z140)</f>
        <v/>
      </c>
      <c r="O160" s="565"/>
      <c r="P160" s="565"/>
      <c r="Q160" s="565"/>
      <c r="R160" s="565"/>
      <c r="S160" s="566"/>
      <c r="T160" s="661" t="str">
        <f ca="1">IFERROR(INDEX(管理シート!$CB$3:$CK$24,MATCH(W160,管理シート!$CB$3:$CB$24,0),MATCH(K160,管理シート!$CB$3:$CM$3,0)),"")</f>
        <v/>
      </c>
      <c r="U160" s="661"/>
      <c r="V160" s="661"/>
      <c r="W160" s="587" t="str">
        <f ca="1">IF(ISERROR(MATCH("●",足元帳!AA140:AJ140,0)),"",INDIRECT("足元帳!R1C"&amp;MATCH("●",足元帳!AA140:AJ140,0)+26,FALSE))</f>
        <v/>
      </c>
      <c r="X160" s="565"/>
      <c r="Y160" s="566"/>
      <c r="Z160" s="587" t="str">
        <f>IF(足元帳!AL140="","","○")</f>
        <v/>
      </c>
      <c r="AA160" s="566"/>
      <c r="AB160" s="635" t="str">
        <f>IF(足元帳!AM140="","","現金カード払い"&amp;足元帳!AM140&amp;"  ")&amp;IF(足元帳!AP140="","",足元帳!AP140&amp;"　")&amp;IF(足元帳!AQ140="","",足元帳!AQ140&amp;"　")&amp;IF(足元帳!AR140="","",足元帳!AR140&amp;"　")&amp;IF(足元帳!AS140="","",足元帳!AS140&amp;"　")&amp;IF(足元帳!AT140="","",足元帳!AT140&amp;"　")&amp;IF(足元帳!AN140="","","LOVE×2")&amp;IF(足元帳!AJ140="","","MM"&amp;足元帳!AJ140)&amp;IF(足元帳!AW140="","",W160&amp;"利用"&amp;足元帳!AW140)&amp;IF(足元帳!AX140="",""," 優待券配布"&amp;足元帳!AX140)&amp;IF(足元帳!AU140="","","メルマガ")</f>
        <v/>
      </c>
      <c r="AC160" s="636"/>
      <c r="AD160" s="636"/>
      <c r="AE160" s="636"/>
      <c r="AF160" s="636"/>
      <c r="AG160" s="636"/>
      <c r="AH160" s="636"/>
      <c r="AI160" s="636"/>
      <c r="AJ160" s="636"/>
      <c r="AK160" s="636"/>
      <c r="AL160" s="636"/>
      <c r="AM160" s="636"/>
      <c r="AN160" s="636"/>
      <c r="AO160" s="636"/>
      <c r="AP160" s="636"/>
      <c r="AQ160" s="662"/>
      <c r="AR160" s="113" t="str">
        <f>IF(足元帳!A140="","",足元帳!A140)</f>
        <v/>
      </c>
      <c r="AS160" s="123">
        <f>COUNTIF(AR$4:AR160,AR160)</f>
        <v>157</v>
      </c>
    </row>
    <row r="161" spans="1:45" ht="23.45" customHeight="1">
      <c r="A161" s="586">
        <f t="shared" si="3"/>
        <v>140</v>
      </c>
      <c r="B161" s="566"/>
      <c r="C161" s="73" t="str">
        <f>IF(足元帳!AY141=1,"N",IF(足元帳!AY141=2,"R",""))</f>
        <v/>
      </c>
      <c r="D161" s="74" t="str">
        <f>IF(足元帳!AZ141&gt;0,VLOOKUP(足元帳!AZ141,管理シート!$R$4:$V$12,5,FALSE),"")</f>
        <v/>
      </c>
      <c r="E161" s="587" t="str">
        <f>IF(足元帳!J141="","",足元帳!J141)</f>
        <v/>
      </c>
      <c r="F161" s="566"/>
      <c r="G161" s="587" t="str">
        <f>IF(足元帳!K141="","",足元帳!K141)</f>
        <v/>
      </c>
      <c r="H161" s="565"/>
      <c r="I161" s="565"/>
      <c r="J161" s="566"/>
      <c r="K161" s="587" t="str">
        <f>IF(足元帳!BB141&gt;0,VLOOKUP(足元帳!BB141,管理シート!$R$4:$W$12,4,FALSE),"")</f>
        <v/>
      </c>
      <c r="L161" s="565"/>
      <c r="M161" s="566"/>
      <c r="N161" s="587" t="str">
        <f>IF(足元帳!U141="","",足元帳!U141)&amp;IF(足元帳!V141="","",足元帳!V141)&amp;IF(足元帳!W141="","",足元帳!W141)&amp;IF(足元帳!X141="","",足元帳!X141)&amp;IF(足元帳!Y141="","",足元帳!Y141)&amp;IF(足元帳!Z141="","",足元帳!Z141)</f>
        <v/>
      </c>
      <c r="O161" s="565"/>
      <c r="P161" s="565"/>
      <c r="Q161" s="565"/>
      <c r="R161" s="565"/>
      <c r="S161" s="566"/>
      <c r="T161" s="661" t="str">
        <f ca="1">IFERROR(INDEX(管理シート!$CB$3:$CK$24,MATCH(W161,管理シート!$CB$3:$CB$24,0),MATCH(K161,管理シート!$CB$3:$CM$3,0)),"")</f>
        <v/>
      </c>
      <c r="U161" s="661"/>
      <c r="V161" s="661"/>
      <c r="W161" s="587" t="str">
        <f ca="1">IF(ISERROR(MATCH("●",足元帳!AA141:AJ141,0)),"",INDIRECT("足元帳!R1C"&amp;MATCH("●",足元帳!AA141:AJ141,0)+26,FALSE))</f>
        <v/>
      </c>
      <c r="X161" s="565"/>
      <c r="Y161" s="566"/>
      <c r="Z161" s="587" t="str">
        <f>IF(足元帳!AL141="","","○")</f>
        <v/>
      </c>
      <c r="AA161" s="566"/>
      <c r="AB161" s="635" t="str">
        <f>IF(足元帳!AM141="","","現金カード払い"&amp;足元帳!AM141&amp;"  ")&amp;IF(足元帳!AP141="","",足元帳!AP141&amp;"　")&amp;IF(足元帳!AQ141="","",足元帳!AQ141&amp;"　")&amp;IF(足元帳!AR141="","",足元帳!AR141&amp;"　")&amp;IF(足元帳!AS141="","",足元帳!AS141&amp;"　")&amp;IF(足元帳!AT141="","",足元帳!AT141&amp;"　")&amp;IF(足元帳!AN141="","","LOVE×2")&amp;IF(足元帳!AJ141="","","MM"&amp;足元帳!AJ141)&amp;IF(足元帳!AW141="","",W161&amp;"利用"&amp;足元帳!AW141)&amp;IF(足元帳!AX141="",""," 優待券配布"&amp;足元帳!AX141)&amp;IF(足元帳!AU141="","","メルマガ")</f>
        <v/>
      </c>
      <c r="AC161" s="636"/>
      <c r="AD161" s="636"/>
      <c r="AE161" s="636"/>
      <c r="AF161" s="636"/>
      <c r="AG161" s="636"/>
      <c r="AH161" s="636"/>
      <c r="AI161" s="636"/>
      <c r="AJ161" s="636"/>
      <c r="AK161" s="636"/>
      <c r="AL161" s="636"/>
      <c r="AM161" s="636"/>
      <c r="AN161" s="636"/>
      <c r="AO161" s="636"/>
      <c r="AP161" s="636"/>
      <c r="AQ161" s="662"/>
      <c r="AR161" s="113" t="str">
        <f>IF(足元帳!A141="","",足元帳!A141)</f>
        <v/>
      </c>
      <c r="AS161" s="123">
        <f>COUNTIF(AR$4:AR161,AR161)</f>
        <v>158</v>
      </c>
    </row>
    <row r="162" spans="1:45" ht="23.45" customHeight="1">
      <c r="A162" s="586">
        <f t="shared" si="3"/>
        <v>141</v>
      </c>
      <c r="B162" s="566"/>
      <c r="C162" s="73" t="str">
        <f>IF(足元帳!AY142=1,"N",IF(足元帳!AY142=2,"R",""))</f>
        <v/>
      </c>
      <c r="D162" s="74" t="str">
        <f>IF(足元帳!AZ142&gt;0,VLOOKUP(足元帳!AZ142,管理シート!$R$4:$V$12,5,FALSE),"")</f>
        <v/>
      </c>
      <c r="E162" s="587" t="str">
        <f>IF(足元帳!J142="","",足元帳!J142)</f>
        <v/>
      </c>
      <c r="F162" s="566"/>
      <c r="G162" s="587" t="str">
        <f>IF(足元帳!K142="","",足元帳!K142)</f>
        <v/>
      </c>
      <c r="H162" s="565"/>
      <c r="I162" s="565"/>
      <c r="J162" s="566"/>
      <c r="K162" s="587" t="str">
        <f>IF(足元帳!BB142&gt;0,VLOOKUP(足元帳!BB142,管理シート!$R$4:$W$12,4,FALSE),"")</f>
        <v/>
      </c>
      <c r="L162" s="565"/>
      <c r="M162" s="566"/>
      <c r="N162" s="587" t="str">
        <f>IF(足元帳!U142="","",足元帳!U142)&amp;IF(足元帳!V142="","",足元帳!V142)&amp;IF(足元帳!W142="","",足元帳!W142)&amp;IF(足元帳!X142="","",足元帳!X142)&amp;IF(足元帳!Y142="","",足元帳!Y142)&amp;IF(足元帳!Z142="","",足元帳!Z142)</f>
        <v/>
      </c>
      <c r="O162" s="565"/>
      <c r="P162" s="565"/>
      <c r="Q162" s="565"/>
      <c r="R162" s="565"/>
      <c r="S162" s="566"/>
      <c r="T162" s="661" t="str">
        <f ca="1">IFERROR(INDEX(管理シート!$CB$3:$CK$24,MATCH(W162,管理シート!$CB$3:$CB$24,0),MATCH(K162,管理シート!$CB$3:$CM$3,0)),"")</f>
        <v/>
      </c>
      <c r="U162" s="661"/>
      <c r="V162" s="661"/>
      <c r="W162" s="587" t="str">
        <f ca="1">IF(ISERROR(MATCH("●",足元帳!AA142:AJ142,0)),"",INDIRECT("足元帳!R1C"&amp;MATCH("●",足元帳!AA142:AJ142,0)+26,FALSE))</f>
        <v/>
      </c>
      <c r="X162" s="565"/>
      <c r="Y162" s="566"/>
      <c r="Z162" s="587" t="str">
        <f>IF(足元帳!AL142="","","○")</f>
        <v/>
      </c>
      <c r="AA162" s="566"/>
      <c r="AB162" s="635" t="str">
        <f>IF(足元帳!AM142="","","現金カード払い"&amp;足元帳!AM142&amp;"  ")&amp;IF(足元帳!AP142="","",足元帳!AP142&amp;"　")&amp;IF(足元帳!AQ142="","",足元帳!AQ142&amp;"　")&amp;IF(足元帳!AR142="","",足元帳!AR142&amp;"　")&amp;IF(足元帳!AS142="","",足元帳!AS142&amp;"　")&amp;IF(足元帳!AT142="","",足元帳!AT142&amp;"　")&amp;IF(足元帳!AN142="","","LOVE×2")&amp;IF(足元帳!AJ142="","","MM"&amp;足元帳!AJ142)&amp;IF(足元帳!AW142="","",W162&amp;"利用"&amp;足元帳!AW142)&amp;IF(足元帳!AX142="",""," 優待券配布"&amp;足元帳!AX142)&amp;IF(足元帳!AU142="","","メルマガ")</f>
        <v/>
      </c>
      <c r="AC162" s="636"/>
      <c r="AD162" s="636"/>
      <c r="AE162" s="636"/>
      <c r="AF162" s="636"/>
      <c r="AG162" s="636"/>
      <c r="AH162" s="636"/>
      <c r="AI162" s="636"/>
      <c r="AJ162" s="636"/>
      <c r="AK162" s="636"/>
      <c r="AL162" s="636"/>
      <c r="AM162" s="636"/>
      <c r="AN162" s="636"/>
      <c r="AO162" s="636"/>
      <c r="AP162" s="636"/>
      <c r="AQ162" s="662"/>
      <c r="AR162" s="113" t="str">
        <f>IF(足元帳!A142="","",足元帳!A142)</f>
        <v/>
      </c>
      <c r="AS162" s="123">
        <f>COUNTIF(AR$4:AR162,AR162)</f>
        <v>159</v>
      </c>
    </row>
    <row r="163" spans="1:45" ht="23.45" customHeight="1">
      <c r="A163" s="586">
        <f t="shared" si="3"/>
        <v>142</v>
      </c>
      <c r="B163" s="566"/>
      <c r="C163" s="73" t="str">
        <f>IF(足元帳!AY143=1,"N",IF(足元帳!AY143=2,"R",""))</f>
        <v/>
      </c>
      <c r="D163" s="74" t="str">
        <f>IF(足元帳!AZ143&gt;0,VLOOKUP(足元帳!AZ143,管理シート!$R$4:$V$12,5,FALSE),"")</f>
        <v/>
      </c>
      <c r="E163" s="587" t="str">
        <f>IF(足元帳!J143="","",足元帳!J143)</f>
        <v/>
      </c>
      <c r="F163" s="566"/>
      <c r="G163" s="587" t="str">
        <f>IF(足元帳!K143="","",足元帳!K143)</f>
        <v/>
      </c>
      <c r="H163" s="565"/>
      <c r="I163" s="565"/>
      <c r="J163" s="566"/>
      <c r="K163" s="587" t="str">
        <f>IF(足元帳!BB143&gt;0,VLOOKUP(足元帳!BB143,管理シート!$R$4:$W$12,4,FALSE),"")</f>
        <v/>
      </c>
      <c r="L163" s="565"/>
      <c r="M163" s="566"/>
      <c r="N163" s="587" t="str">
        <f>IF(足元帳!U143="","",足元帳!U143)&amp;IF(足元帳!V143="","",足元帳!V143)&amp;IF(足元帳!W143="","",足元帳!W143)&amp;IF(足元帳!X143="","",足元帳!X143)&amp;IF(足元帳!Y143="","",足元帳!Y143)&amp;IF(足元帳!Z143="","",足元帳!Z143)</f>
        <v/>
      </c>
      <c r="O163" s="565"/>
      <c r="P163" s="565"/>
      <c r="Q163" s="565"/>
      <c r="R163" s="565"/>
      <c r="S163" s="566"/>
      <c r="T163" s="661" t="str">
        <f ca="1">IFERROR(INDEX(管理シート!$CB$3:$CK$24,MATCH(W163,管理シート!$CB$3:$CB$24,0),MATCH(K163,管理シート!$CB$3:$CM$3,0)),"")</f>
        <v/>
      </c>
      <c r="U163" s="661"/>
      <c r="V163" s="661"/>
      <c r="W163" s="587" t="str">
        <f ca="1">IF(ISERROR(MATCH("●",足元帳!AA143:AJ143,0)),"",INDIRECT("足元帳!R1C"&amp;MATCH("●",足元帳!AA143:AJ143,0)+26,FALSE))</f>
        <v/>
      </c>
      <c r="X163" s="565"/>
      <c r="Y163" s="566"/>
      <c r="Z163" s="587" t="str">
        <f>IF(足元帳!AL143="","","○")</f>
        <v/>
      </c>
      <c r="AA163" s="566"/>
      <c r="AB163" s="635" t="str">
        <f>IF(足元帳!AM143="","","現金カード払い"&amp;足元帳!AM143&amp;"  ")&amp;IF(足元帳!AP143="","",足元帳!AP143&amp;"　")&amp;IF(足元帳!AQ143="","",足元帳!AQ143&amp;"　")&amp;IF(足元帳!AR143="","",足元帳!AR143&amp;"　")&amp;IF(足元帳!AS143="","",足元帳!AS143&amp;"　")&amp;IF(足元帳!AT143="","",足元帳!AT143&amp;"　")&amp;IF(足元帳!AN143="","","LOVE×2")&amp;IF(足元帳!AJ143="","","MM"&amp;足元帳!AJ143)&amp;IF(足元帳!AW143="","",W163&amp;"利用"&amp;足元帳!AW143)&amp;IF(足元帳!AX143="",""," 優待券配布"&amp;足元帳!AX143)&amp;IF(足元帳!AU143="","","メルマガ")</f>
        <v/>
      </c>
      <c r="AC163" s="636"/>
      <c r="AD163" s="636"/>
      <c r="AE163" s="636"/>
      <c r="AF163" s="636"/>
      <c r="AG163" s="636"/>
      <c r="AH163" s="636"/>
      <c r="AI163" s="636"/>
      <c r="AJ163" s="636"/>
      <c r="AK163" s="636"/>
      <c r="AL163" s="636"/>
      <c r="AM163" s="636"/>
      <c r="AN163" s="636"/>
      <c r="AO163" s="636"/>
      <c r="AP163" s="636"/>
      <c r="AQ163" s="662"/>
      <c r="AR163" s="113" t="str">
        <f>IF(足元帳!A143="","",足元帳!A143)</f>
        <v/>
      </c>
      <c r="AS163" s="123">
        <f>COUNTIF(AR$4:AR163,AR163)</f>
        <v>160</v>
      </c>
    </row>
    <row r="164" spans="1:45" ht="23.45" customHeight="1">
      <c r="A164" s="586">
        <f t="shared" si="3"/>
        <v>143</v>
      </c>
      <c r="B164" s="566"/>
      <c r="C164" s="73" t="str">
        <f>IF(足元帳!AY144=1,"N",IF(足元帳!AY144=2,"R",""))</f>
        <v/>
      </c>
      <c r="D164" s="74" t="str">
        <f>IF(足元帳!AZ144&gt;0,VLOOKUP(足元帳!AZ144,管理シート!$R$4:$V$12,5,FALSE),"")</f>
        <v/>
      </c>
      <c r="E164" s="587" t="str">
        <f>IF(足元帳!J144="","",足元帳!J144)</f>
        <v/>
      </c>
      <c r="F164" s="566"/>
      <c r="G164" s="587" t="str">
        <f>IF(足元帳!K144="","",足元帳!K144)</f>
        <v/>
      </c>
      <c r="H164" s="565"/>
      <c r="I164" s="565"/>
      <c r="J164" s="566"/>
      <c r="K164" s="587" t="str">
        <f>IF(足元帳!BB144&gt;0,VLOOKUP(足元帳!BB144,管理シート!$R$4:$W$12,4,FALSE),"")</f>
        <v/>
      </c>
      <c r="L164" s="565"/>
      <c r="M164" s="566"/>
      <c r="N164" s="587" t="str">
        <f>IF(足元帳!U144="","",足元帳!U144)&amp;IF(足元帳!V144="","",足元帳!V144)&amp;IF(足元帳!W144="","",足元帳!W144)&amp;IF(足元帳!X144="","",足元帳!X144)&amp;IF(足元帳!Y144="","",足元帳!Y144)&amp;IF(足元帳!Z144="","",足元帳!Z144)</f>
        <v/>
      </c>
      <c r="O164" s="565"/>
      <c r="P164" s="565"/>
      <c r="Q164" s="565"/>
      <c r="R164" s="565"/>
      <c r="S164" s="566"/>
      <c r="T164" s="661" t="str">
        <f ca="1">IFERROR(INDEX(管理シート!$CB$3:$CK$24,MATCH(W164,管理シート!$CB$3:$CB$24,0),MATCH(K164,管理シート!$CB$3:$CM$3,0)),"")</f>
        <v/>
      </c>
      <c r="U164" s="661"/>
      <c r="V164" s="661"/>
      <c r="W164" s="587" t="str">
        <f ca="1">IF(ISERROR(MATCH("●",足元帳!AA144:AJ144,0)),"",INDIRECT("足元帳!R1C"&amp;MATCH("●",足元帳!AA144:AJ144,0)+26,FALSE))</f>
        <v/>
      </c>
      <c r="X164" s="565"/>
      <c r="Y164" s="566"/>
      <c r="Z164" s="587" t="str">
        <f>IF(足元帳!AL144="","","○")</f>
        <v/>
      </c>
      <c r="AA164" s="566"/>
      <c r="AB164" s="635" t="str">
        <f>IF(足元帳!AM144="","","現金カード払い"&amp;足元帳!AM144&amp;"  ")&amp;IF(足元帳!AP144="","",足元帳!AP144&amp;"　")&amp;IF(足元帳!AQ144="","",足元帳!AQ144&amp;"　")&amp;IF(足元帳!AR144="","",足元帳!AR144&amp;"　")&amp;IF(足元帳!AS144="","",足元帳!AS144&amp;"　")&amp;IF(足元帳!AT144="","",足元帳!AT144&amp;"　")&amp;IF(足元帳!AN144="","","LOVE×2")&amp;IF(足元帳!AJ144="","","MM"&amp;足元帳!AJ144)&amp;IF(足元帳!AW144="","",W164&amp;"利用"&amp;足元帳!AW144)&amp;IF(足元帳!AX144="",""," 優待券配布"&amp;足元帳!AX144)&amp;IF(足元帳!AU144="","","メルマガ")</f>
        <v/>
      </c>
      <c r="AC164" s="636"/>
      <c r="AD164" s="636"/>
      <c r="AE164" s="636"/>
      <c r="AF164" s="636"/>
      <c r="AG164" s="636"/>
      <c r="AH164" s="636"/>
      <c r="AI164" s="636"/>
      <c r="AJ164" s="636"/>
      <c r="AK164" s="636"/>
      <c r="AL164" s="636"/>
      <c r="AM164" s="636"/>
      <c r="AN164" s="636"/>
      <c r="AO164" s="636"/>
      <c r="AP164" s="636"/>
      <c r="AQ164" s="662"/>
      <c r="AR164" s="113" t="str">
        <f>IF(足元帳!A144="","",足元帳!A144)</f>
        <v/>
      </c>
      <c r="AS164" s="123">
        <f>COUNTIF(AR$4:AR164,AR164)</f>
        <v>161</v>
      </c>
    </row>
    <row r="165" spans="1:45" ht="23.45" customHeight="1">
      <c r="A165" s="586">
        <f t="shared" si="3"/>
        <v>144</v>
      </c>
      <c r="B165" s="566"/>
      <c r="C165" s="73" t="str">
        <f>IF(足元帳!AY145=1,"N",IF(足元帳!AY145=2,"R",""))</f>
        <v/>
      </c>
      <c r="D165" s="74" t="str">
        <f>IF(足元帳!AZ145&gt;0,VLOOKUP(足元帳!AZ145,管理シート!$R$4:$V$12,5,FALSE),"")</f>
        <v/>
      </c>
      <c r="E165" s="587" t="str">
        <f>IF(足元帳!J145="","",足元帳!J145)</f>
        <v/>
      </c>
      <c r="F165" s="566"/>
      <c r="G165" s="587" t="str">
        <f>IF(足元帳!K145="","",足元帳!K145)</f>
        <v/>
      </c>
      <c r="H165" s="565"/>
      <c r="I165" s="565"/>
      <c r="J165" s="566"/>
      <c r="K165" s="587" t="str">
        <f>IF(足元帳!BB145&gt;0,VLOOKUP(足元帳!BB145,管理シート!$R$4:$W$12,4,FALSE),"")</f>
        <v/>
      </c>
      <c r="L165" s="565"/>
      <c r="M165" s="566"/>
      <c r="N165" s="587" t="str">
        <f>IF(足元帳!U145="","",足元帳!U145)&amp;IF(足元帳!V145="","",足元帳!V145)&amp;IF(足元帳!W145="","",足元帳!W145)&amp;IF(足元帳!X145="","",足元帳!X145)&amp;IF(足元帳!Y145="","",足元帳!Y145)&amp;IF(足元帳!Z145="","",足元帳!Z145)</f>
        <v/>
      </c>
      <c r="O165" s="565"/>
      <c r="P165" s="565"/>
      <c r="Q165" s="565"/>
      <c r="R165" s="565"/>
      <c r="S165" s="566"/>
      <c r="T165" s="661" t="str">
        <f ca="1">IFERROR(INDEX(管理シート!$CB$3:$CK$24,MATCH(W165,管理シート!$CB$3:$CB$24,0),MATCH(K165,管理シート!$CB$3:$CM$3,0)),"")</f>
        <v/>
      </c>
      <c r="U165" s="661"/>
      <c r="V165" s="661"/>
      <c r="W165" s="587" t="str">
        <f ca="1">IF(ISERROR(MATCH("●",足元帳!AA145:AJ145,0)),"",INDIRECT("足元帳!R1C"&amp;MATCH("●",足元帳!AA145:AJ145,0)+26,FALSE))</f>
        <v/>
      </c>
      <c r="X165" s="565"/>
      <c r="Y165" s="566"/>
      <c r="Z165" s="587" t="str">
        <f>IF(足元帳!AL145="","","○")</f>
        <v/>
      </c>
      <c r="AA165" s="566"/>
      <c r="AB165" s="635" t="str">
        <f>IF(足元帳!AM145="","","現金カード払い"&amp;足元帳!AM145&amp;"  ")&amp;IF(足元帳!AP145="","",足元帳!AP145&amp;"　")&amp;IF(足元帳!AQ145="","",足元帳!AQ145&amp;"　")&amp;IF(足元帳!AR145="","",足元帳!AR145&amp;"　")&amp;IF(足元帳!AS145="","",足元帳!AS145&amp;"　")&amp;IF(足元帳!AT145="","",足元帳!AT145&amp;"　")&amp;IF(足元帳!AN145="","","LOVE×2")&amp;IF(足元帳!AJ145="","","MM"&amp;足元帳!AJ145)&amp;IF(足元帳!AW145="","",W165&amp;"利用"&amp;足元帳!AW145)&amp;IF(足元帳!AX145="",""," 優待券配布"&amp;足元帳!AX145)&amp;IF(足元帳!AU145="","","メルマガ")</f>
        <v/>
      </c>
      <c r="AC165" s="636"/>
      <c r="AD165" s="636"/>
      <c r="AE165" s="636"/>
      <c r="AF165" s="636"/>
      <c r="AG165" s="636"/>
      <c r="AH165" s="636"/>
      <c r="AI165" s="636"/>
      <c r="AJ165" s="636"/>
      <c r="AK165" s="636"/>
      <c r="AL165" s="636"/>
      <c r="AM165" s="636"/>
      <c r="AN165" s="636"/>
      <c r="AO165" s="636"/>
      <c r="AP165" s="636"/>
      <c r="AQ165" s="662"/>
      <c r="AR165" s="113" t="str">
        <f>IF(足元帳!A145="","",足元帳!A145)</f>
        <v/>
      </c>
      <c r="AS165" s="123">
        <f>COUNTIF(AR$4:AR165,AR165)</f>
        <v>162</v>
      </c>
    </row>
    <row r="166" spans="1:45" ht="23.45" customHeight="1">
      <c r="A166" s="586">
        <f t="shared" si="3"/>
        <v>145</v>
      </c>
      <c r="B166" s="566"/>
      <c r="C166" s="73" t="str">
        <f>IF(足元帳!AY146=1,"N",IF(足元帳!AY146=2,"R",""))</f>
        <v/>
      </c>
      <c r="D166" s="74" t="str">
        <f>IF(足元帳!AZ146&gt;0,VLOOKUP(足元帳!AZ146,管理シート!$R$4:$V$12,5,FALSE),"")</f>
        <v/>
      </c>
      <c r="E166" s="587" t="str">
        <f>IF(足元帳!J146="","",足元帳!J146)</f>
        <v/>
      </c>
      <c r="F166" s="566"/>
      <c r="G166" s="587" t="str">
        <f>IF(足元帳!K146="","",足元帳!K146)</f>
        <v/>
      </c>
      <c r="H166" s="565"/>
      <c r="I166" s="565"/>
      <c r="J166" s="566"/>
      <c r="K166" s="587" t="str">
        <f>IF(足元帳!BB146&gt;0,VLOOKUP(足元帳!BB146,管理シート!$R$4:$W$12,4,FALSE),"")</f>
        <v/>
      </c>
      <c r="L166" s="565"/>
      <c r="M166" s="566"/>
      <c r="N166" s="587" t="str">
        <f>IF(足元帳!U146="","",足元帳!U146)&amp;IF(足元帳!V146="","",足元帳!V146)&amp;IF(足元帳!W146="","",足元帳!W146)&amp;IF(足元帳!X146="","",足元帳!X146)&amp;IF(足元帳!Y146="","",足元帳!Y146)&amp;IF(足元帳!Z146="","",足元帳!Z146)</f>
        <v/>
      </c>
      <c r="O166" s="565"/>
      <c r="P166" s="565"/>
      <c r="Q166" s="565"/>
      <c r="R166" s="565"/>
      <c r="S166" s="566"/>
      <c r="T166" s="661" t="str">
        <f ca="1">IFERROR(INDEX(管理シート!$CB$3:$CK$24,MATCH(W166,管理シート!$CB$3:$CB$24,0),MATCH(K166,管理シート!$CB$3:$CM$3,0)),"")</f>
        <v/>
      </c>
      <c r="U166" s="661"/>
      <c r="V166" s="661"/>
      <c r="W166" s="587" t="str">
        <f ca="1">IF(ISERROR(MATCH("●",足元帳!AA146:AJ146,0)),"",INDIRECT("足元帳!R1C"&amp;MATCH("●",足元帳!AA146:AJ146,0)+26,FALSE))</f>
        <v/>
      </c>
      <c r="X166" s="565"/>
      <c r="Y166" s="566"/>
      <c r="Z166" s="587" t="str">
        <f>IF(足元帳!AL146="","","○")</f>
        <v/>
      </c>
      <c r="AA166" s="566"/>
      <c r="AB166" s="635" t="str">
        <f>IF(足元帳!AM146="","","現金カード払い"&amp;足元帳!AM146&amp;"  ")&amp;IF(足元帳!AP146="","",足元帳!AP146&amp;"　")&amp;IF(足元帳!AQ146="","",足元帳!AQ146&amp;"　")&amp;IF(足元帳!AR146="","",足元帳!AR146&amp;"　")&amp;IF(足元帳!AS146="","",足元帳!AS146&amp;"　")&amp;IF(足元帳!AT146="","",足元帳!AT146&amp;"　")&amp;IF(足元帳!AN146="","","LOVE×2")&amp;IF(足元帳!AJ146="","","MM"&amp;足元帳!AJ146)&amp;IF(足元帳!AW146="","",W166&amp;"利用"&amp;足元帳!AW146)&amp;IF(足元帳!AX146="",""," 優待券配布"&amp;足元帳!AX146)&amp;IF(足元帳!AU146="","","メルマガ")</f>
        <v/>
      </c>
      <c r="AC166" s="636"/>
      <c r="AD166" s="636"/>
      <c r="AE166" s="636"/>
      <c r="AF166" s="636"/>
      <c r="AG166" s="636"/>
      <c r="AH166" s="636"/>
      <c r="AI166" s="636"/>
      <c r="AJ166" s="636"/>
      <c r="AK166" s="636"/>
      <c r="AL166" s="636"/>
      <c r="AM166" s="636"/>
      <c r="AN166" s="636"/>
      <c r="AO166" s="636"/>
      <c r="AP166" s="636"/>
      <c r="AQ166" s="662"/>
      <c r="AR166" s="113" t="str">
        <f>IF(足元帳!A146="","",足元帳!A146)</f>
        <v/>
      </c>
      <c r="AS166" s="123">
        <f>COUNTIF(AR$4:AR166,AR166)</f>
        <v>163</v>
      </c>
    </row>
    <row r="167" spans="1:45" ht="23.45" customHeight="1">
      <c r="A167" s="586">
        <f t="shared" si="3"/>
        <v>146</v>
      </c>
      <c r="B167" s="566"/>
      <c r="C167" s="73" t="str">
        <f>IF(足元帳!AY147=1,"N",IF(足元帳!AY147=2,"R",""))</f>
        <v/>
      </c>
      <c r="D167" s="74" t="str">
        <f>IF(足元帳!AZ147&gt;0,VLOOKUP(足元帳!AZ147,管理シート!$R$4:$V$12,5,FALSE),"")</f>
        <v/>
      </c>
      <c r="E167" s="587" t="str">
        <f>IF(足元帳!J147="","",足元帳!J147)</f>
        <v/>
      </c>
      <c r="F167" s="566"/>
      <c r="G167" s="587" t="str">
        <f>IF(足元帳!K147="","",足元帳!K147)</f>
        <v/>
      </c>
      <c r="H167" s="565"/>
      <c r="I167" s="565"/>
      <c r="J167" s="566"/>
      <c r="K167" s="587" t="str">
        <f>IF(足元帳!BB147&gt;0,VLOOKUP(足元帳!BB147,管理シート!$R$4:$W$12,4,FALSE),"")</f>
        <v/>
      </c>
      <c r="L167" s="565"/>
      <c r="M167" s="566"/>
      <c r="N167" s="587" t="str">
        <f>IF(足元帳!U147="","",足元帳!U147)&amp;IF(足元帳!V147="","",足元帳!V147)&amp;IF(足元帳!W147="","",足元帳!W147)&amp;IF(足元帳!X147="","",足元帳!X147)&amp;IF(足元帳!Y147="","",足元帳!Y147)&amp;IF(足元帳!Z147="","",足元帳!Z147)</f>
        <v/>
      </c>
      <c r="O167" s="565"/>
      <c r="P167" s="565"/>
      <c r="Q167" s="565"/>
      <c r="R167" s="565"/>
      <c r="S167" s="566"/>
      <c r="T167" s="661" t="str">
        <f ca="1">IFERROR(INDEX(管理シート!$CB$3:$CK$24,MATCH(W167,管理シート!$CB$3:$CB$24,0),MATCH(K167,管理シート!$CB$3:$CM$3,0)),"")</f>
        <v/>
      </c>
      <c r="U167" s="661"/>
      <c r="V167" s="661"/>
      <c r="W167" s="587" t="str">
        <f ca="1">IF(ISERROR(MATCH("●",足元帳!AA147:AJ147,0)),"",INDIRECT("足元帳!R1C"&amp;MATCH("●",足元帳!AA147:AJ147,0)+26,FALSE))</f>
        <v/>
      </c>
      <c r="X167" s="565"/>
      <c r="Y167" s="566"/>
      <c r="Z167" s="587" t="str">
        <f>IF(足元帳!AL147="","","○")</f>
        <v/>
      </c>
      <c r="AA167" s="566"/>
      <c r="AB167" s="635" t="str">
        <f>IF(足元帳!AM147="","","現金カード払い"&amp;足元帳!AM147&amp;"  ")&amp;IF(足元帳!AP147="","",足元帳!AP147&amp;"　")&amp;IF(足元帳!AQ147="","",足元帳!AQ147&amp;"　")&amp;IF(足元帳!AR147="","",足元帳!AR147&amp;"　")&amp;IF(足元帳!AS147="","",足元帳!AS147&amp;"　")&amp;IF(足元帳!AT147="","",足元帳!AT147&amp;"　")&amp;IF(足元帳!AN147="","","LOVE×2")&amp;IF(足元帳!AJ147="","","MM"&amp;足元帳!AJ147)&amp;IF(足元帳!AW147="","",W167&amp;"利用"&amp;足元帳!AW147)&amp;IF(足元帳!AX147="",""," 優待券配布"&amp;足元帳!AX147)&amp;IF(足元帳!AU147="","","メルマガ")</f>
        <v/>
      </c>
      <c r="AC167" s="636"/>
      <c r="AD167" s="636"/>
      <c r="AE167" s="636"/>
      <c r="AF167" s="636"/>
      <c r="AG167" s="636"/>
      <c r="AH167" s="636"/>
      <c r="AI167" s="636"/>
      <c r="AJ167" s="636"/>
      <c r="AK167" s="636"/>
      <c r="AL167" s="636"/>
      <c r="AM167" s="636"/>
      <c r="AN167" s="636"/>
      <c r="AO167" s="636"/>
      <c r="AP167" s="636"/>
      <c r="AQ167" s="662"/>
      <c r="AR167" s="113" t="str">
        <f>IF(足元帳!A147="","",足元帳!A147)</f>
        <v/>
      </c>
      <c r="AS167" s="123">
        <f>COUNTIF(AR$4:AR167,AR167)</f>
        <v>164</v>
      </c>
    </row>
    <row r="168" spans="1:45" ht="23.45" customHeight="1">
      <c r="A168" s="586">
        <f t="shared" si="3"/>
        <v>147</v>
      </c>
      <c r="B168" s="566"/>
      <c r="C168" s="73" t="str">
        <f>IF(足元帳!AY148=1,"N",IF(足元帳!AY148=2,"R",""))</f>
        <v/>
      </c>
      <c r="D168" s="74" t="str">
        <f>IF(足元帳!AZ148&gt;0,VLOOKUP(足元帳!AZ148,管理シート!$R$4:$V$12,5,FALSE),"")</f>
        <v/>
      </c>
      <c r="E168" s="587" t="str">
        <f>IF(足元帳!J148="","",足元帳!J148)</f>
        <v/>
      </c>
      <c r="F168" s="566"/>
      <c r="G168" s="587" t="str">
        <f>IF(足元帳!K148="","",足元帳!K148)</f>
        <v/>
      </c>
      <c r="H168" s="565"/>
      <c r="I168" s="565"/>
      <c r="J168" s="566"/>
      <c r="K168" s="587" t="str">
        <f>IF(足元帳!BB148&gt;0,VLOOKUP(足元帳!BB148,管理シート!$R$4:$W$12,4,FALSE),"")</f>
        <v/>
      </c>
      <c r="L168" s="565"/>
      <c r="M168" s="566"/>
      <c r="N168" s="587" t="str">
        <f>IF(足元帳!U148="","",足元帳!U148)&amp;IF(足元帳!V148="","",足元帳!V148)&amp;IF(足元帳!W148="","",足元帳!W148)&amp;IF(足元帳!X148="","",足元帳!X148)&amp;IF(足元帳!Y148="","",足元帳!Y148)&amp;IF(足元帳!Z148="","",足元帳!Z148)</f>
        <v/>
      </c>
      <c r="O168" s="565"/>
      <c r="P168" s="565"/>
      <c r="Q168" s="565"/>
      <c r="R168" s="565"/>
      <c r="S168" s="566"/>
      <c r="T168" s="661" t="str">
        <f ca="1">IFERROR(INDEX(管理シート!$CB$3:$CK$24,MATCH(W168,管理シート!$CB$3:$CB$24,0),MATCH(K168,管理シート!$CB$3:$CM$3,0)),"")</f>
        <v/>
      </c>
      <c r="U168" s="661"/>
      <c r="V168" s="661"/>
      <c r="W168" s="587" t="str">
        <f ca="1">IF(ISERROR(MATCH("●",足元帳!AA148:AJ148,0)),"",INDIRECT("足元帳!R1C"&amp;MATCH("●",足元帳!AA148:AJ148,0)+26,FALSE))</f>
        <v/>
      </c>
      <c r="X168" s="565"/>
      <c r="Y168" s="566"/>
      <c r="Z168" s="587" t="str">
        <f>IF(足元帳!AL148="","","○")</f>
        <v/>
      </c>
      <c r="AA168" s="566"/>
      <c r="AB168" s="635" t="str">
        <f>IF(足元帳!AM148="","","現金カード払い"&amp;足元帳!AM148&amp;"  ")&amp;IF(足元帳!AP148="","",足元帳!AP148&amp;"　")&amp;IF(足元帳!AQ148="","",足元帳!AQ148&amp;"　")&amp;IF(足元帳!AR148="","",足元帳!AR148&amp;"　")&amp;IF(足元帳!AS148="","",足元帳!AS148&amp;"　")&amp;IF(足元帳!AT148="","",足元帳!AT148&amp;"　")&amp;IF(足元帳!AN148="","","LOVE×2")&amp;IF(足元帳!AJ148="","","MM"&amp;足元帳!AJ148)&amp;IF(足元帳!AW148="","",W168&amp;"利用"&amp;足元帳!AW148)&amp;IF(足元帳!AX148="",""," 優待券配布"&amp;足元帳!AX148)&amp;IF(足元帳!AU148="","","メルマガ")</f>
        <v/>
      </c>
      <c r="AC168" s="636"/>
      <c r="AD168" s="636"/>
      <c r="AE168" s="636"/>
      <c r="AF168" s="636"/>
      <c r="AG168" s="636"/>
      <c r="AH168" s="636"/>
      <c r="AI168" s="636"/>
      <c r="AJ168" s="636"/>
      <c r="AK168" s="636"/>
      <c r="AL168" s="636"/>
      <c r="AM168" s="636"/>
      <c r="AN168" s="636"/>
      <c r="AO168" s="636"/>
      <c r="AP168" s="636"/>
      <c r="AQ168" s="662"/>
      <c r="AR168" s="113" t="str">
        <f>IF(足元帳!A148="","",足元帳!A148)</f>
        <v/>
      </c>
      <c r="AS168" s="123">
        <f>COUNTIF(AR$4:AR168,AR168)</f>
        <v>165</v>
      </c>
    </row>
    <row r="169" spans="1:45" ht="23.45" customHeight="1">
      <c r="A169" s="586">
        <f t="shared" si="3"/>
        <v>148</v>
      </c>
      <c r="B169" s="566"/>
      <c r="C169" s="73" t="str">
        <f>IF(足元帳!AY149=1,"N",IF(足元帳!AY149=2,"R",""))</f>
        <v/>
      </c>
      <c r="D169" s="74" t="str">
        <f>IF(足元帳!AZ149&gt;0,VLOOKUP(足元帳!AZ149,管理シート!$R$4:$V$12,5,FALSE),"")</f>
        <v/>
      </c>
      <c r="E169" s="587" t="str">
        <f>IF(足元帳!J149="","",足元帳!J149)</f>
        <v/>
      </c>
      <c r="F169" s="566"/>
      <c r="G169" s="587" t="str">
        <f>IF(足元帳!K149="","",足元帳!K149)</f>
        <v/>
      </c>
      <c r="H169" s="565"/>
      <c r="I169" s="565"/>
      <c r="J169" s="566"/>
      <c r="K169" s="587" t="str">
        <f>IF(足元帳!BB149&gt;0,VLOOKUP(足元帳!BB149,管理シート!$R$4:$W$12,4,FALSE),"")</f>
        <v/>
      </c>
      <c r="L169" s="565"/>
      <c r="M169" s="566"/>
      <c r="N169" s="587" t="str">
        <f>IF(足元帳!U149="","",足元帳!U149)&amp;IF(足元帳!V149="","",足元帳!V149)&amp;IF(足元帳!W149="","",足元帳!W149)&amp;IF(足元帳!X149="","",足元帳!X149)&amp;IF(足元帳!Y149="","",足元帳!Y149)&amp;IF(足元帳!Z149="","",足元帳!Z149)</f>
        <v/>
      </c>
      <c r="O169" s="565"/>
      <c r="P169" s="565"/>
      <c r="Q169" s="565"/>
      <c r="R169" s="565"/>
      <c r="S169" s="566"/>
      <c r="T169" s="661" t="str">
        <f ca="1">IFERROR(INDEX(管理シート!$CB$3:$CK$24,MATCH(W169,管理シート!$CB$3:$CB$24,0),MATCH(K169,管理シート!$CB$3:$CM$3,0)),"")</f>
        <v/>
      </c>
      <c r="U169" s="661"/>
      <c r="V169" s="661"/>
      <c r="W169" s="587" t="str">
        <f ca="1">IF(ISERROR(MATCH("●",足元帳!AA149:AJ149,0)),"",INDIRECT("足元帳!R1C"&amp;MATCH("●",足元帳!AA149:AJ149,0)+26,FALSE))</f>
        <v/>
      </c>
      <c r="X169" s="565"/>
      <c r="Y169" s="566"/>
      <c r="Z169" s="587" t="str">
        <f>IF(足元帳!AL149="","","○")</f>
        <v/>
      </c>
      <c r="AA169" s="566"/>
      <c r="AB169" s="635" t="str">
        <f>IF(足元帳!AM149="","","現金カード払い"&amp;足元帳!AM149&amp;"  ")&amp;IF(足元帳!AP149="","",足元帳!AP149&amp;"　")&amp;IF(足元帳!AQ149="","",足元帳!AQ149&amp;"　")&amp;IF(足元帳!AR149="","",足元帳!AR149&amp;"　")&amp;IF(足元帳!AS149="","",足元帳!AS149&amp;"　")&amp;IF(足元帳!AT149="","",足元帳!AT149&amp;"　")&amp;IF(足元帳!AN149="","","LOVE×2")&amp;IF(足元帳!AJ149="","","MM"&amp;足元帳!AJ149)&amp;IF(足元帳!AW149="","",W169&amp;"利用"&amp;足元帳!AW149)&amp;IF(足元帳!AX149="",""," 優待券配布"&amp;足元帳!AX149)&amp;IF(足元帳!AU149="","","メルマガ")</f>
        <v/>
      </c>
      <c r="AC169" s="636"/>
      <c r="AD169" s="636"/>
      <c r="AE169" s="636"/>
      <c r="AF169" s="636"/>
      <c r="AG169" s="636"/>
      <c r="AH169" s="636"/>
      <c r="AI169" s="636"/>
      <c r="AJ169" s="636"/>
      <c r="AK169" s="636"/>
      <c r="AL169" s="636"/>
      <c r="AM169" s="636"/>
      <c r="AN169" s="636"/>
      <c r="AO169" s="636"/>
      <c r="AP169" s="636"/>
      <c r="AQ169" s="662"/>
      <c r="AR169" s="113" t="str">
        <f>IF(足元帳!A149="","",足元帳!A149)</f>
        <v/>
      </c>
      <c r="AS169" s="123">
        <f>COUNTIF(AR$4:AR169,AR169)</f>
        <v>166</v>
      </c>
    </row>
    <row r="170" spans="1:45" ht="23.45" customHeight="1">
      <c r="A170" s="586">
        <f t="shared" si="3"/>
        <v>149</v>
      </c>
      <c r="B170" s="566"/>
      <c r="C170" s="73" t="str">
        <f>IF(足元帳!AY150=1,"N",IF(足元帳!AY150=2,"R",""))</f>
        <v/>
      </c>
      <c r="D170" s="74" t="str">
        <f>IF(足元帳!AZ150&gt;0,VLOOKUP(足元帳!AZ150,管理シート!$R$4:$V$12,5,FALSE),"")</f>
        <v/>
      </c>
      <c r="E170" s="587" t="str">
        <f>IF(足元帳!J150="","",足元帳!J150)</f>
        <v/>
      </c>
      <c r="F170" s="566"/>
      <c r="G170" s="587" t="str">
        <f>IF(足元帳!K150="","",足元帳!K150)</f>
        <v/>
      </c>
      <c r="H170" s="565"/>
      <c r="I170" s="565"/>
      <c r="J170" s="566"/>
      <c r="K170" s="587" t="str">
        <f>IF(足元帳!BB150&gt;0,VLOOKUP(足元帳!BB150,管理シート!$R$4:$W$12,4,FALSE),"")</f>
        <v/>
      </c>
      <c r="L170" s="565"/>
      <c r="M170" s="566"/>
      <c r="N170" s="587" t="str">
        <f>IF(足元帳!U150="","",足元帳!U150)&amp;IF(足元帳!V150="","",足元帳!V150)&amp;IF(足元帳!W150="","",足元帳!W150)&amp;IF(足元帳!X150="","",足元帳!X150)&amp;IF(足元帳!Y150="","",足元帳!Y150)&amp;IF(足元帳!Z150="","",足元帳!Z150)</f>
        <v/>
      </c>
      <c r="O170" s="565"/>
      <c r="P170" s="565"/>
      <c r="Q170" s="565"/>
      <c r="R170" s="565"/>
      <c r="S170" s="566"/>
      <c r="T170" s="661" t="str">
        <f ca="1">IFERROR(INDEX(管理シート!$CB$3:$CK$24,MATCH(W170,管理シート!$CB$3:$CB$24,0),MATCH(K170,管理シート!$CB$3:$CM$3,0)),"")</f>
        <v/>
      </c>
      <c r="U170" s="661"/>
      <c r="V170" s="661"/>
      <c r="W170" s="587" t="str">
        <f ca="1">IF(ISERROR(MATCH("●",足元帳!AA150:AJ150,0)),"",INDIRECT("足元帳!R1C"&amp;MATCH("●",足元帳!AA150:AJ150,0)+26,FALSE))</f>
        <v/>
      </c>
      <c r="X170" s="565"/>
      <c r="Y170" s="566"/>
      <c r="Z170" s="587" t="str">
        <f>IF(足元帳!AL150="","","○")</f>
        <v/>
      </c>
      <c r="AA170" s="566"/>
      <c r="AB170" s="635" t="str">
        <f>IF(足元帳!AM150="","","現金カード払い"&amp;足元帳!AM150&amp;"  ")&amp;IF(足元帳!AP150="","",足元帳!AP150&amp;"　")&amp;IF(足元帳!AQ150="","",足元帳!AQ150&amp;"　")&amp;IF(足元帳!AR150="","",足元帳!AR150&amp;"　")&amp;IF(足元帳!AS150="","",足元帳!AS150&amp;"　")&amp;IF(足元帳!AT150="","",足元帳!AT150&amp;"　")&amp;IF(足元帳!AN150="","","LOVE×2")&amp;IF(足元帳!AJ150="","","MM"&amp;足元帳!AJ150)&amp;IF(足元帳!AW150="","",W170&amp;"利用"&amp;足元帳!AW150)&amp;IF(足元帳!AX150="",""," 優待券配布"&amp;足元帳!AX150)&amp;IF(足元帳!AU150="","","メルマガ")</f>
        <v/>
      </c>
      <c r="AC170" s="636"/>
      <c r="AD170" s="636"/>
      <c r="AE170" s="636"/>
      <c r="AF170" s="636"/>
      <c r="AG170" s="636"/>
      <c r="AH170" s="636"/>
      <c r="AI170" s="636"/>
      <c r="AJ170" s="636"/>
      <c r="AK170" s="636"/>
      <c r="AL170" s="636"/>
      <c r="AM170" s="636"/>
      <c r="AN170" s="636"/>
      <c r="AO170" s="636"/>
      <c r="AP170" s="636"/>
      <c r="AQ170" s="662"/>
      <c r="AR170" s="113" t="str">
        <f>IF(足元帳!A150="","",足元帳!A150)</f>
        <v/>
      </c>
      <c r="AS170" s="123">
        <f>COUNTIF(AR$4:AR170,AR170)</f>
        <v>167</v>
      </c>
    </row>
    <row r="171" spans="1:45" ht="23.45" customHeight="1">
      <c r="A171" s="586">
        <f t="shared" si="3"/>
        <v>150</v>
      </c>
      <c r="B171" s="566"/>
      <c r="C171" s="73" t="str">
        <f>IF(足元帳!AY151=1,"N",IF(足元帳!AY151=2,"R",""))</f>
        <v/>
      </c>
      <c r="D171" s="74" t="str">
        <f>IF(足元帳!AZ151&gt;0,VLOOKUP(足元帳!AZ151,管理シート!$R$4:$V$12,5,FALSE),"")</f>
        <v/>
      </c>
      <c r="E171" s="587" t="str">
        <f>IF(足元帳!J151="","",足元帳!J151)</f>
        <v/>
      </c>
      <c r="F171" s="566"/>
      <c r="G171" s="587" t="str">
        <f>IF(足元帳!K151="","",足元帳!K151)</f>
        <v/>
      </c>
      <c r="H171" s="565"/>
      <c r="I171" s="565"/>
      <c r="J171" s="566"/>
      <c r="K171" s="587" t="str">
        <f>IF(足元帳!BB151&gt;0,VLOOKUP(足元帳!BB151,管理シート!$R$4:$W$12,4,FALSE),"")</f>
        <v/>
      </c>
      <c r="L171" s="565"/>
      <c r="M171" s="566"/>
      <c r="N171" s="587" t="str">
        <f>IF(足元帳!U151="","",足元帳!U151)&amp;IF(足元帳!V151="","",足元帳!V151)&amp;IF(足元帳!W151="","",足元帳!W151)&amp;IF(足元帳!X151="","",足元帳!X151)&amp;IF(足元帳!Y151="","",足元帳!Y151)&amp;IF(足元帳!Z151="","",足元帳!Z151)</f>
        <v/>
      </c>
      <c r="O171" s="565"/>
      <c r="P171" s="565"/>
      <c r="Q171" s="565"/>
      <c r="R171" s="565"/>
      <c r="S171" s="566"/>
      <c r="T171" s="661" t="str">
        <f ca="1">IFERROR(INDEX(管理シート!$CB$3:$CK$24,MATCH(W171,管理シート!$CB$3:$CB$24,0),MATCH(K171,管理シート!$CB$3:$CM$3,0)),"")</f>
        <v/>
      </c>
      <c r="U171" s="661"/>
      <c r="V171" s="661"/>
      <c r="W171" s="587" t="str">
        <f ca="1">IF(ISERROR(MATCH("●",足元帳!AA151:AJ151,0)),"",INDIRECT("足元帳!R1C"&amp;MATCH("●",足元帳!AA151:AJ151,0)+26,FALSE))</f>
        <v/>
      </c>
      <c r="X171" s="565"/>
      <c r="Y171" s="566"/>
      <c r="Z171" s="587" t="str">
        <f>IF(足元帳!AL151="","","○")</f>
        <v/>
      </c>
      <c r="AA171" s="566"/>
      <c r="AB171" s="635" t="str">
        <f>IF(足元帳!AM151="","","現金カード払い"&amp;足元帳!AM151&amp;"  ")&amp;IF(足元帳!AP151="","",足元帳!AP151&amp;"　")&amp;IF(足元帳!AQ151="","",足元帳!AQ151&amp;"　")&amp;IF(足元帳!AR151="","",足元帳!AR151&amp;"　")&amp;IF(足元帳!AS151="","",足元帳!AS151&amp;"　")&amp;IF(足元帳!AT151="","",足元帳!AT151&amp;"　")&amp;IF(足元帳!AN151="","","LOVE×2")&amp;IF(足元帳!AJ151="","","MM"&amp;足元帳!AJ151)&amp;IF(足元帳!AW151="","",W171&amp;"利用"&amp;足元帳!AW151)&amp;IF(足元帳!AX151="",""," 優待券配布"&amp;足元帳!AX151)&amp;IF(足元帳!AU151="","","メルマガ")</f>
        <v/>
      </c>
      <c r="AC171" s="636"/>
      <c r="AD171" s="636"/>
      <c r="AE171" s="636"/>
      <c r="AF171" s="636"/>
      <c r="AG171" s="636"/>
      <c r="AH171" s="636"/>
      <c r="AI171" s="636"/>
      <c r="AJ171" s="636"/>
      <c r="AK171" s="636"/>
      <c r="AL171" s="636"/>
      <c r="AM171" s="636"/>
      <c r="AN171" s="636"/>
      <c r="AO171" s="636"/>
      <c r="AP171" s="636"/>
      <c r="AQ171" s="662"/>
      <c r="AR171" s="113" t="str">
        <f>IF(足元帳!A151="","",足元帳!A151)</f>
        <v/>
      </c>
      <c r="AS171" s="123">
        <f>COUNTIF(AR$4:AR171,AR171)</f>
        <v>168</v>
      </c>
    </row>
    <row r="172" spans="1:45" ht="23.45" customHeight="1">
      <c r="A172" s="655">
        <f t="shared" si="3"/>
        <v>151</v>
      </c>
      <c r="B172" s="604"/>
      <c r="C172" s="73" t="str">
        <f>IF(足元帳!AY152=1,"N",IF(足元帳!AY152=2,"R",""))</f>
        <v/>
      </c>
      <c r="D172" s="74" t="str">
        <f>IF(足元帳!AZ152&gt;0,VLOOKUP(足元帳!AZ152,管理シート!$R$4:$V$12,5,FALSE),"")</f>
        <v/>
      </c>
      <c r="E172" s="587" t="str">
        <f>IF(足元帳!J152="","",足元帳!J152)</f>
        <v/>
      </c>
      <c r="F172" s="566"/>
      <c r="G172" s="587" t="str">
        <f>IF(足元帳!K152="","",足元帳!K152)</f>
        <v/>
      </c>
      <c r="H172" s="565"/>
      <c r="I172" s="565"/>
      <c r="J172" s="566"/>
      <c r="K172" s="587" t="str">
        <f>IF(足元帳!BB152&gt;0,VLOOKUP(足元帳!BB152,管理シート!$R$4:$W$12,4,FALSE),"")</f>
        <v/>
      </c>
      <c r="L172" s="565"/>
      <c r="M172" s="566"/>
      <c r="N172" s="587" t="str">
        <f>IF(足元帳!U152="","",足元帳!U152)&amp;IF(足元帳!V152="","",足元帳!V152)&amp;IF(足元帳!W152="","",足元帳!W152)&amp;IF(足元帳!X152="","",足元帳!X152)&amp;IF(足元帳!Y152="","",足元帳!Y152)&amp;IF(足元帳!Z152="","",足元帳!Z152)</f>
        <v/>
      </c>
      <c r="O172" s="565"/>
      <c r="P172" s="565"/>
      <c r="Q172" s="565"/>
      <c r="R172" s="565"/>
      <c r="S172" s="566"/>
      <c r="T172" s="661" t="str">
        <f ca="1">IFERROR(INDEX(管理シート!$CB$3:$CK$24,MATCH(W172,管理シート!$CB$3:$CB$24,0),MATCH(K172,管理シート!$CB$3:$CM$3,0)),"")</f>
        <v/>
      </c>
      <c r="U172" s="661"/>
      <c r="V172" s="661"/>
      <c r="W172" s="587" t="str">
        <f ca="1">IF(ISERROR(MATCH("●",足元帳!AA152:AJ152,0)),"",INDIRECT("足元帳!R1C"&amp;MATCH("●",足元帳!AA152:AJ152,0)+26,FALSE))</f>
        <v/>
      </c>
      <c r="X172" s="565"/>
      <c r="Y172" s="566"/>
      <c r="Z172" s="587" t="str">
        <f>IF(足元帳!AL152="","","○")</f>
        <v/>
      </c>
      <c r="AA172" s="566"/>
      <c r="AB172" s="635" t="str">
        <f>IF(足元帳!AM152="","","現金カード払い"&amp;足元帳!AM152&amp;"  ")&amp;IF(足元帳!AP152="","",足元帳!AP152&amp;"　")&amp;IF(足元帳!AQ152="","",足元帳!AQ152&amp;"　")&amp;IF(足元帳!AR152="","",足元帳!AR152&amp;"　")&amp;IF(足元帳!AS152="","",足元帳!AS152&amp;"　")&amp;IF(足元帳!AT152="","",足元帳!AT152&amp;"　")&amp;IF(足元帳!AN152="","","LOVE×2")&amp;IF(足元帳!AJ152="","","MM"&amp;足元帳!AJ152)&amp;IF(足元帳!AW152="","",W172&amp;"利用"&amp;足元帳!AW152)&amp;IF(足元帳!AX152="",""," 優待券配布"&amp;足元帳!AX152)&amp;IF(足元帳!AU152="","","メルマガ")</f>
        <v/>
      </c>
      <c r="AC172" s="636"/>
      <c r="AD172" s="636"/>
      <c r="AE172" s="636"/>
      <c r="AF172" s="636"/>
      <c r="AG172" s="636"/>
      <c r="AH172" s="636"/>
      <c r="AI172" s="636"/>
      <c r="AJ172" s="636"/>
      <c r="AK172" s="636"/>
      <c r="AL172" s="636"/>
      <c r="AM172" s="636"/>
      <c r="AN172" s="636"/>
      <c r="AO172" s="636"/>
      <c r="AP172" s="636"/>
      <c r="AQ172" s="662"/>
      <c r="AR172" s="113" t="str">
        <f>IF(足元帳!A152="","",足元帳!A152)</f>
        <v/>
      </c>
      <c r="AS172" s="123">
        <f>COUNTIF(AR$4:AR172,AR172)</f>
        <v>169</v>
      </c>
    </row>
    <row r="173" spans="1:45" ht="23.45" customHeight="1">
      <c r="A173" s="655">
        <f t="shared" si="3"/>
        <v>152</v>
      </c>
      <c r="B173" s="604"/>
      <c r="C173" s="73" t="str">
        <f>IF(足元帳!AY153=1,"N",IF(足元帳!AY153=2,"R",""))</f>
        <v/>
      </c>
      <c r="D173" s="74" t="str">
        <f>IF(足元帳!AZ153&gt;0,VLOOKUP(足元帳!AZ153,管理シート!$R$4:$V$12,5,FALSE),"")</f>
        <v/>
      </c>
      <c r="E173" s="587" t="str">
        <f>IF(足元帳!J153="","",足元帳!J153)</f>
        <v/>
      </c>
      <c r="F173" s="566"/>
      <c r="G173" s="587" t="str">
        <f>IF(足元帳!K153="","",足元帳!K153)</f>
        <v/>
      </c>
      <c r="H173" s="565"/>
      <c r="I173" s="565"/>
      <c r="J173" s="566"/>
      <c r="K173" s="587" t="str">
        <f>IF(足元帳!BB153&gt;0,VLOOKUP(足元帳!BB153,管理シート!$R$4:$W$12,4,FALSE),"")</f>
        <v/>
      </c>
      <c r="L173" s="565"/>
      <c r="M173" s="566"/>
      <c r="N173" s="587" t="str">
        <f>IF(足元帳!U153="","",足元帳!U153)&amp;IF(足元帳!V153="","",足元帳!V153)&amp;IF(足元帳!W153="","",足元帳!W153)&amp;IF(足元帳!X153="","",足元帳!X153)&amp;IF(足元帳!Y153="","",足元帳!Y153)&amp;IF(足元帳!Z153="","",足元帳!Z153)</f>
        <v/>
      </c>
      <c r="O173" s="565"/>
      <c r="P173" s="565"/>
      <c r="Q173" s="565"/>
      <c r="R173" s="565"/>
      <c r="S173" s="566"/>
      <c r="T173" s="661" t="str">
        <f ca="1">IFERROR(INDEX(管理シート!$CB$3:$CK$24,MATCH(W173,管理シート!$CB$3:$CB$24,0),MATCH(K173,管理シート!$CB$3:$CM$3,0)),"")</f>
        <v/>
      </c>
      <c r="U173" s="661"/>
      <c r="V173" s="661"/>
      <c r="W173" s="587" t="str">
        <f ca="1">IF(ISERROR(MATCH("●",足元帳!AA153:AJ153,0)),"",INDIRECT("足元帳!R1C"&amp;MATCH("●",足元帳!AA153:AJ153,0)+26,FALSE))</f>
        <v/>
      </c>
      <c r="X173" s="565"/>
      <c r="Y173" s="566"/>
      <c r="Z173" s="587" t="str">
        <f>IF(足元帳!AL153="","","○")</f>
        <v/>
      </c>
      <c r="AA173" s="566"/>
      <c r="AB173" s="635" t="str">
        <f>IF(足元帳!AM153="","","現金カード払い"&amp;足元帳!AM153&amp;"  ")&amp;IF(足元帳!AP153="","",足元帳!AP153&amp;"　")&amp;IF(足元帳!AQ153="","",足元帳!AQ153&amp;"　")&amp;IF(足元帳!AR153="","",足元帳!AR153&amp;"　")&amp;IF(足元帳!AS153="","",足元帳!AS153&amp;"　")&amp;IF(足元帳!AT153="","",足元帳!AT153&amp;"　")&amp;IF(足元帳!AN153="","","LOVE×2")&amp;IF(足元帳!AJ153="","","MM"&amp;足元帳!AJ153)&amp;IF(足元帳!AW153="","",W173&amp;"利用"&amp;足元帳!AW153)&amp;IF(足元帳!AX153="",""," 優待券配布"&amp;足元帳!AX153)&amp;IF(足元帳!AU153="","","メルマガ")</f>
        <v/>
      </c>
      <c r="AC173" s="636"/>
      <c r="AD173" s="636"/>
      <c r="AE173" s="636"/>
      <c r="AF173" s="636"/>
      <c r="AG173" s="636"/>
      <c r="AH173" s="636"/>
      <c r="AI173" s="636"/>
      <c r="AJ173" s="636"/>
      <c r="AK173" s="636"/>
      <c r="AL173" s="636"/>
      <c r="AM173" s="636"/>
      <c r="AN173" s="636"/>
      <c r="AO173" s="636"/>
      <c r="AP173" s="636"/>
      <c r="AQ173" s="662"/>
      <c r="AR173" s="113" t="str">
        <f>IF(足元帳!A153="","",足元帳!A153)</f>
        <v/>
      </c>
      <c r="AS173" s="123">
        <f>COUNTIF(AR$4:AR173,AR173)</f>
        <v>170</v>
      </c>
    </row>
    <row r="174" spans="1:45" ht="23.45" customHeight="1">
      <c r="A174" s="655">
        <f t="shared" si="3"/>
        <v>153</v>
      </c>
      <c r="B174" s="604"/>
      <c r="C174" s="73" t="str">
        <f>IF(足元帳!AY154=1,"N",IF(足元帳!AY154=2,"R",""))</f>
        <v/>
      </c>
      <c r="D174" s="74" t="str">
        <f>IF(足元帳!AZ154&gt;0,VLOOKUP(足元帳!AZ154,管理シート!$R$4:$V$12,5,FALSE),"")</f>
        <v/>
      </c>
      <c r="E174" s="587" t="str">
        <f>IF(足元帳!J154="","",足元帳!J154)</f>
        <v/>
      </c>
      <c r="F174" s="566"/>
      <c r="G174" s="587" t="str">
        <f>IF(足元帳!K154="","",足元帳!K154)</f>
        <v/>
      </c>
      <c r="H174" s="565"/>
      <c r="I174" s="565"/>
      <c r="J174" s="566"/>
      <c r="K174" s="587" t="str">
        <f>IF(足元帳!BB154&gt;0,VLOOKUP(足元帳!BB154,管理シート!$R$4:$W$12,4,FALSE),"")</f>
        <v/>
      </c>
      <c r="L174" s="565"/>
      <c r="M174" s="566"/>
      <c r="N174" s="587" t="str">
        <f>IF(足元帳!U154="","",足元帳!U154)&amp;IF(足元帳!V154="","",足元帳!V154)&amp;IF(足元帳!W154="","",足元帳!W154)&amp;IF(足元帳!X154="","",足元帳!X154)&amp;IF(足元帳!Y154="","",足元帳!Y154)&amp;IF(足元帳!Z154="","",足元帳!Z154)</f>
        <v/>
      </c>
      <c r="O174" s="565"/>
      <c r="P174" s="565"/>
      <c r="Q174" s="565"/>
      <c r="R174" s="565"/>
      <c r="S174" s="566"/>
      <c r="T174" s="661" t="str">
        <f ca="1">IFERROR(INDEX(管理シート!$CB$3:$CK$24,MATCH(W174,管理シート!$CB$3:$CB$24,0),MATCH(K174,管理シート!$CB$3:$CM$3,0)),"")</f>
        <v/>
      </c>
      <c r="U174" s="661"/>
      <c r="V174" s="661"/>
      <c r="W174" s="587" t="str">
        <f ca="1">IF(ISERROR(MATCH("●",足元帳!AA154:AJ154,0)),"",INDIRECT("足元帳!R1C"&amp;MATCH("●",足元帳!AA154:AJ154,0)+26,FALSE))</f>
        <v/>
      </c>
      <c r="X174" s="565"/>
      <c r="Y174" s="566"/>
      <c r="Z174" s="587" t="str">
        <f>IF(足元帳!AL154="","","○")</f>
        <v/>
      </c>
      <c r="AA174" s="566"/>
      <c r="AB174" s="635" t="str">
        <f>IF(足元帳!AM154="","","現金カード払い"&amp;足元帳!AM154&amp;"  ")&amp;IF(足元帳!AP154="","",足元帳!AP154&amp;"　")&amp;IF(足元帳!AQ154="","",足元帳!AQ154&amp;"　")&amp;IF(足元帳!AR154="","",足元帳!AR154&amp;"　")&amp;IF(足元帳!AS154="","",足元帳!AS154&amp;"　")&amp;IF(足元帳!AT154="","",足元帳!AT154&amp;"　")&amp;IF(足元帳!AN154="","","LOVE×2")&amp;IF(足元帳!AJ154="","","MM"&amp;足元帳!AJ154)&amp;IF(足元帳!AW154="","",W174&amp;"利用"&amp;足元帳!AW154)&amp;IF(足元帳!AX154="",""," 優待券配布"&amp;足元帳!AX154)&amp;IF(足元帳!AU154="","","メルマガ")</f>
        <v/>
      </c>
      <c r="AC174" s="636"/>
      <c r="AD174" s="636"/>
      <c r="AE174" s="636"/>
      <c r="AF174" s="636"/>
      <c r="AG174" s="636"/>
      <c r="AH174" s="636"/>
      <c r="AI174" s="636"/>
      <c r="AJ174" s="636"/>
      <c r="AK174" s="636"/>
      <c r="AL174" s="636"/>
      <c r="AM174" s="636"/>
      <c r="AN174" s="636"/>
      <c r="AO174" s="636"/>
      <c r="AP174" s="636"/>
      <c r="AQ174" s="662"/>
      <c r="AR174" s="113" t="str">
        <f>IF(足元帳!A154="","",足元帳!A154)</f>
        <v/>
      </c>
      <c r="AS174" s="123">
        <f>COUNTIF(AR$4:AR174,AR174)</f>
        <v>171</v>
      </c>
    </row>
    <row r="175" spans="1:45" ht="23.45" customHeight="1">
      <c r="A175" s="655">
        <f t="shared" si="3"/>
        <v>154</v>
      </c>
      <c r="B175" s="604"/>
      <c r="C175" s="73" t="str">
        <f>IF(足元帳!AY155=1,"N",IF(足元帳!AY155=2,"R",""))</f>
        <v/>
      </c>
      <c r="D175" s="74" t="str">
        <f>IF(足元帳!AZ155&gt;0,VLOOKUP(足元帳!AZ155,管理シート!$R$4:$V$12,5,FALSE),"")</f>
        <v/>
      </c>
      <c r="E175" s="587" t="str">
        <f>IF(足元帳!J155="","",足元帳!J155)</f>
        <v/>
      </c>
      <c r="F175" s="566"/>
      <c r="G175" s="587" t="str">
        <f>IF(足元帳!K155="","",足元帳!K155)</f>
        <v/>
      </c>
      <c r="H175" s="565"/>
      <c r="I175" s="565"/>
      <c r="J175" s="566"/>
      <c r="K175" s="587" t="str">
        <f>IF(足元帳!BB155&gt;0,VLOOKUP(足元帳!BB155,管理シート!$R$4:$W$12,4,FALSE),"")</f>
        <v/>
      </c>
      <c r="L175" s="565"/>
      <c r="M175" s="566"/>
      <c r="N175" s="587" t="str">
        <f>IF(足元帳!U155="","",足元帳!U155)&amp;IF(足元帳!V155="","",足元帳!V155)&amp;IF(足元帳!W155="","",足元帳!W155)&amp;IF(足元帳!X155="","",足元帳!X155)&amp;IF(足元帳!Y155="","",足元帳!Y155)&amp;IF(足元帳!Z155="","",足元帳!Z155)</f>
        <v/>
      </c>
      <c r="O175" s="565"/>
      <c r="P175" s="565"/>
      <c r="Q175" s="565"/>
      <c r="R175" s="565"/>
      <c r="S175" s="566"/>
      <c r="T175" s="661" t="str">
        <f ca="1">IFERROR(INDEX(管理シート!$CB$3:$CK$24,MATCH(W175,管理シート!$CB$3:$CB$24,0),MATCH(K175,管理シート!$CB$3:$CM$3,0)),"")</f>
        <v/>
      </c>
      <c r="U175" s="661"/>
      <c r="V175" s="661"/>
      <c r="W175" s="587" t="str">
        <f ca="1">IF(ISERROR(MATCH("●",足元帳!AA155:AJ155,0)),"",INDIRECT("足元帳!R1C"&amp;MATCH("●",足元帳!AA155:AJ155,0)+26,FALSE))</f>
        <v/>
      </c>
      <c r="X175" s="565"/>
      <c r="Y175" s="566"/>
      <c r="Z175" s="587" t="str">
        <f>IF(足元帳!AL155="","","○")</f>
        <v/>
      </c>
      <c r="AA175" s="566"/>
      <c r="AB175" s="635" t="str">
        <f>IF(足元帳!AM155="","","現金カード払い"&amp;足元帳!AM155&amp;"  ")&amp;IF(足元帳!AP155="","",足元帳!AP155&amp;"　")&amp;IF(足元帳!AQ155="","",足元帳!AQ155&amp;"　")&amp;IF(足元帳!AR155="","",足元帳!AR155&amp;"　")&amp;IF(足元帳!AS155="","",足元帳!AS155&amp;"　")&amp;IF(足元帳!AT155="","",足元帳!AT155&amp;"　")&amp;IF(足元帳!AN155="","","LOVE×2")&amp;IF(足元帳!AJ155="","","MM"&amp;足元帳!AJ155)&amp;IF(足元帳!AW155="","",W175&amp;"利用"&amp;足元帳!AW155)&amp;IF(足元帳!AX155="",""," 優待券配布"&amp;足元帳!AX155)&amp;IF(足元帳!AU155="","","メルマガ")</f>
        <v/>
      </c>
      <c r="AC175" s="636"/>
      <c r="AD175" s="636"/>
      <c r="AE175" s="636"/>
      <c r="AF175" s="636"/>
      <c r="AG175" s="636"/>
      <c r="AH175" s="636"/>
      <c r="AI175" s="636"/>
      <c r="AJ175" s="636"/>
      <c r="AK175" s="636"/>
      <c r="AL175" s="636"/>
      <c r="AM175" s="636"/>
      <c r="AN175" s="636"/>
      <c r="AO175" s="636"/>
      <c r="AP175" s="636"/>
      <c r="AQ175" s="662"/>
      <c r="AR175" s="113" t="str">
        <f>IF(足元帳!A155="","",足元帳!A155)</f>
        <v/>
      </c>
      <c r="AS175" s="123">
        <f>COUNTIF(AR$4:AR175,AR175)</f>
        <v>172</v>
      </c>
    </row>
    <row r="176" spans="1:45" ht="23.45" customHeight="1">
      <c r="A176" s="655">
        <f t="shared" si="3"/>
        <v>155</v>
      </c>
      <c r="B176" s="604"/>
      <c r="C176" s="73" t="str">
        <f>IF(足元帳!AY156=1,"N",IF(足元帳!AY156=2,"R",""))</f>
        <v/>
      </c>
      <c r="D176" s="74" t="str">
        <f>IF(足元帳!AZ156&gt;0,VLOOKUP(足元帳!AZ156,管理シート!$R$4:$V$12,5,FALSE),"")</f>
        <v/>
      </c>
      <c r="E176" s="587" t="str">
        <f>IF(足元帳!J156="","",足元帳!J156)</f>
        <v/>
      </c>
      <c r="F176" s="566"/>
      <c r="G176" s="587" t="str">
        <f>IF(足元帳!K156="","",足元帳!K156)</f>
        <v/>
      </c>
      <c r="H176" s="565"/>
      <c r="I176" s="565"/>
      <c r="J176" s="566"/>
      <c r="K176" s="587" t="str">
        <f>IF(足元帳!BB156&gt;0,VLOOKUP(足元帳!BB156,管理シート!$R$4:$W$12,4,FALSE),"")</f>
        <v/>
      </c>
      <c r="L176" s="565"/>
      <c r="M176" s="566"/>
      <c r="N176" s="587" t="str">
        <f>IF(足元帳!U156="","",足元帳!U156)&amp;IF(足元帳!V156="","",足元帳!V156)&amp;IF(足元帳!W156="","",足元帳!W156)&amp;IF(足元帳!X156="","",足元帳!X156)&amp;IF(足元帳!Y156="","",足元帳!Y156)&amp;IF(足元帳!Z156="","",足元帳!Z156)</f>
        <v/>
      </c>
      <c r="O176" s="565"/>
      <c r="P176" s="565"/>
      <c r="Q176" s="565"/>
      <c r="R176" s="565"/>
      <c r="S176" s="566"/>
      <c r="T176" s="661" t="str">
        <f ca="1">IFERROR(INDEX(管理シート!$CB$3:$CK$24,MATCH(W176,管理シート!$CB$3:$CB$24,0),MATCH(K176,管理シート!$CB$3:$CM$3,0)),"")</f>
        <v/>
      </c>
      <c r="U176" s="661"/>
      <c r="V176" s="661"/>
      <c r="W176" s="587" t="str">
        <f ca="1">IF(ISERROR(MATCH("●",足元帳!AA156:AJ156,0)),"",INDIRECT("足元帳!R1C"&amp;MATCH("●",足元帳!AA156:AJ156,0)+26,FALSE))</f>
        <v/>
      </c>
      <c r="X176" s="565"/>
      <c r="Y176" s="566"/>
      <c r="Z176" s="587" t="str">
        <f>IF(足元帳!AL156="","","○")</f>
        <v/>
      </c>
      <c r="AA176" s="566"/>
      <c r="AB176" s="635" t="str">
        <f>IF(足元帳!AM156="","","現金カード払い"&amp;足元帳!AM156&amp;"  ")&amp;IF(足元帳!AP156="","",足元帳!AP156&amp;"　")&amp;IF(足元帳!AQ156="","",足元帳!AQ156&amp;"　")&amp;IF(足元帳!AR156="","",足元帳!AR156&amp;"　")&amp;IF(足元帳!AS156="","",足元帳!AS156&amp;"　")&amp;IF(足元帳!AT156="","",足元帳!AT156&amp;"　")&amp;IF(足元帳!AN156="","","LOVE×2")&amp;IF(足元帳!AJ156="","","MM"&amp;足元帳!AJ156)&amp;IF(足元帳!AW156="","",W176&amp;"利用"&amp;足元帳!AW156)&amp;IF(足元帳!AX156="",""," 優待券配布"&amp;足元帳!AX156)&amp;IF(足元帳!AU156="","","メルマガ")</f>
        <v/>
      </c>
      <c r="AC176" s="636"/>
      <c r="AD176" s="636"/>
      <c r="AE176" s="636"/>
      <c r="AF176" s="636"/>
      <c r="AG176" s="636"/>
      <c r="AH176" s="636"/>
      <c r="AI176" s="636"/>
      <c r="AJ176" s="636"/>
      <c r="AK176" s="636"/>
      <c r="AL176" s="636"/>
      <c r="AM176" s="636"/>
      <c r="AN176" s="636"/>
      <c r="AO176" s="636"/>
      <c r="AP176" s="636"/>
      <c r="AQ176" s="662"/>
      <c r="AR176" s="113" t="str">
        <f>IF(足元帳!A156="","",足元帳!A156)</f>
        <v/>
      </c>
      <c r="AS176" s="123">
        <f>COUNTIF(AR$4:AR176,AR176)</f>
        <v>173</v>
      </c>
    </row>
    <row r="177" spans="1:45" ht="23.45" customHeight="1">
      <c r="A177" s="655">
        <f t="shared" si="3"/>
        <v>156</v>
      </c>
      <c r="B177" s="604"/>
      <c r="C177" s="73" t="str">
        <f>IF(足元帳!AY157=1,"N",IF(足元帳!AY157=2,"R",""))</f>
        <v/>
      </c>
      <c r="D177" s="74" t="str">
        <f>IF(足元帳!AZ157&gt;0,VLOOKUP(足元帳!AZ157,管理シート!$R$4:$V$12,5,FALSE),"")</f>
        <v/>
      </c>
      <c r="E177" s="587" t="str">
        <f>IF(足元帳!J157="","",足元帳!J157)</f>
        <v/>
      </c>
      <c r="F177" s="566"/>
      <c r="G177" s="587" t="str">
        <f>IF(足元帳!K157="","",足元帳!K157)</f>
        <v/>
      </c>
      <c r="H177" s="565"/>
      <c r="I177" s="565"/>
      <c r="J177" s="566"/>
      <c r="K177" s="587" t="str">
        <f>IF(足元帳!BB157&gt;0,VLOOKUP(足元帳!BB157,管理シート!$R$4:$W$12,4,FALSE),"")</f>
        <v/>
      </c>
      <c r="L177" s="565"/>
      <c r="M177" s="566"/>
      <c r="N177" s="587" t="str">
        <f>IF(足元帳!U157="","",足元帳!U157)&amp;IF(足元帳!V157="","",足元帳!V157)&amp;IF(足元帳!W157="","",足元帳!W157)&amp;IF(足元帳!X157="","",足元帳!X157)&amp;IF(足元帳!Y157="","",足元帳!Y157)&amp;IF(足元帳!Z157="","",足元帳!Z157)</f>
        <v/>
      </c>
      <c r="O177" s="565"/>
      <c r="P177" s="565"/>
      <c r="Q177" s="565"/>
      <c r="R177" s="565"/>
      <c r="S177" s="566"/>
      <c r="T177" s="661" t="str">
        <f ca="1">IFERROR(INDEX(管理シート!$CB$3:$CK$24,MATCH(W177,管理シート!$CB$3:$CB$24,0),MATCH(K177,管理シート!$CB$3:$CM$3,0)),"")</f>
        <v/>
      </c>
      <c r="U177" s="661"/>
      <c r="V177" s="661"/>
      <c r="W177" s="587" t="str">
        <f ca="1">IF(ISERROR(MATCH("●",足元帳!AA157:AJ157,0)),"",INDIRECT("足元帳!R1C"&amp;MATCH("●",足元帳!AA157:AJ157,0)+26,FALSE))</f>
        <v/>
      </c>
      <c r="X177" s="565"/>
      <c r="Y177" s="566"/>
      <c r="Z177" s="587" t="str">
        <f>IF(足元帳!AL157="","","○")</f>
        <v/>
      </c>
      <c r="AA177" s="566"/>
      <c r="AB177" s="635" t="str">
        <f>IF(足元帳!AM157="","","現金カード払い"&amp;足元帳!AM157&amp;"  ")&amp;IF(足元帳!AP157="","",足元帳!AP157&amp;"　")&amp;IF(足元帳!AQ157="","",足元帳!AQ157&amp;"　")&amp;IF(足元帳!AR157="","",足元帳!AR157&amp;"　")&amp;IF(足元帳!AS157="","",足元帳!AS157&amp;"　")&amp;IF(足元帳!AT157="","",足元帳!AT157&amp;"　")&amp;IF(足元帳!AN157="","","LOVE×2")&amp;IF(足元帳!AJ157="","","MM"&amp;足元帳!AJ157)&amp;IF(足元帳!AW157="","",W177&amp;"利用"&amp;足元帳!AW157)&amp;IF(足元帳!AX157="",""," 優待券配布"&amp;足元帳!AX157)&amp;IF(足元帳!AU157="","","メルマガ")</f>
        <v/>
      </c>
      <c r="AC177" s="636"/>
      <c r="AD177" s="636"/>
      <c r="AE177" s="636"/>
      <c r="AF177" s="636"/>
      <c r="AG177" s="636"/>
      <c r="AH177" s="636"/>
      <c r="AI177" s="636"/>
      <c r="AJ177" s="636"/>
      <c r="AK177" s="636"/>
      <c r="AL177" s="636"/>
      <c r="AM177" s="636"/>
      <c r="AN177" s="636"/>
      <c r="AO177" s="636"/>
      <c r="AP177" s="636"/>
      <c r="AQ177" s="662"/>
      <c r="AR177" s="113" t="str">
        <f>IF(足元帳!A157="","",足元帳!A157)</f>
        <v/>
      </c>
      <c r="AS177" s="123">
        <f>COUNTIF(AR$4:AR177,AR177)</f>
        <v>174</v>
      </c>
    </row>
    <row r="178" spans="1:45" ht="23.45" customHeight="1">
      <c r="A178" s="655">
        <f t="shared" si="3"/>
        <v>157</v>
      </c>
      <c r="B178" s="604"/>
      <c r="C178" s="73" t="str">
        <f>IF(足元帳!AY158=1,"N",IF(足元帳!AY158=2,"R",""))</f>
        <v/>
      </c>
      <c r="D178" s="74" t="str">
        <f>IF(足元帳!AZ158&gt;0,VLOOKUP(足元帳!AZ158,管理シート!$R$4:$V$12,5,FALSE),"")</f>
        <v/>
      </c>
      <c r="E178" s="587" t="str">
        <f>IF(足元帳!J158="","",足元帳!J158)</f>
        <v/>
      </c>
      <c r="F178" s="566"/>
      <c r="G178" s="587" t="str">
        <f>IF(足元帳!K158="","",足元帳!K158)</f>
        <v/>
      </c>
      <c r="H178" s="565"/>
      <c r="I178" s="565"/>
      <c r="J178" s="566"/>
      <c r="K178" s="587" t="str">
        <f>IF(足元帳!BB158&gt;0,VLOOKUP(足元帳!BB158,管理シート!$R$4:$W$12,4,FALSE),"")</f>
        <v/>
      </c>
      <c r="L178" s="565"/>
      <c r="M178" s="566"/>
      <c r="N178" s="587" t="str">
        <f>IF(足元帳!U158="","",足元帳!U158)&amp;IF(足元帳!V158="","",足元帳!V158)&amp;IF(足元帳!W158="","",足元帳!W158)&amp;IF(足元帳!X158="","",足元帳!X158)&amp;IF(足元帳!Y158="","",足元帳!Y158)&amp;IF(足元帳!Z158="","",足元帳!Z158)</f>
        <v/>
      </c>
      <c r="O178" s="565"/>
      <c r="P178" s="565"/>
      <c r="Q178" s="565"/>
      <c r="R178" s="565"/>
      <c r="S178" s="566"/>
      <c r="T178" s="661" t="str">
        <f ca="1">IFERROR(INDEX(管理シート!$CB$3:$CK$24,MATCH(W178,管理シート!$CB$3:$CB$24,0),MATCH(K178,管理シート!$CB$3:$CM$3,0)),"")</f>
        <v/>
      </c>
      <c r="U178" s="661"/>
      <c r="V178" s="661"/>
      <c r="W178" s="587" t="str">
        <f ca="1">IF(ISERROR(MATCH("●",足元帳!AA158:AJ158,0)),"",INDIRECT("足元帳!R1C"&amp;MATCH("●",足元帳!AA158:AJ158,0)+26,FALSE))</f>
        <v/>
      </c>
      <c r="X178" s="565"/>
      <c r="Y178" s="566"/>
      <c r="Z178" s="587" t="str">
        <f>IF(足元帳!AL158="","","○")</f>
        <v/>
      </c>
      <c r="AA178" s="566"/>
      <c r="AB178" s="635" t="str">
        <f>IF(足元帳!AM158="","","現金カード払い"&amp;足元帳!AM158&amp;"  ")&amp;IF(足元帳!AP158="","",足元帳!AP158&amp;"　")&amp;IF(足元帳!AQ158="","",足元帳!AQ158&amp;"　")&amp;IF(足元帳!AR158="","",足元帳!AR158&amp;"　")&amp;IF(足元帳!AS158="","",足元帳!AS158&amp;"　")&amp;IF(足元帳!AT158="","",足元帳!AT158&amp;"　")&amp;IF(足元帳!AN158="","","LOVE×2")&amp;IF(足元帳!AJ158="","","MM"&amp;足元帳!AJ158)&amp;IF(足元帳!AW158="","",W178&amp;"利用"&amp;足元帳!AW158)&amp;IF(足元帳!AX158="",""," 優待券配布"&amp;足元帳!AX158)&amp;IF(足元帳!AU158="","","メルマガ")</f>
        <v/>
      </c>
      <c r="AC178" s="636"/>
      <c r="AD178" s="636"/>
      <c r="AE178" s="636"/>
      <c r="AF178" s="636"/>
      <c r="AG178" s="636"/>
      <c r="AH178" s="636"/>
      <c r="AI178" s="636"/>
      <c r="AJ178" s="636"/>
      <c r="AK178" s="636"/>
      <c r="AL178" s="636"/>
      <c r="AM178" s="636"/>
      <c r="AN178" s="636"/>
      <c r="AO178" s="636"/>
      <c r="AP178" s="636"/>
      <c r="AQ178" s="662"/>
      <c r="AR178" s="113" t="str">
        <f>IF(足元帳!A158="","",足元帳!A158)</f>
        <v/>
      </c>
      <c r="AS178" s="123">
        <f>COUNTIF(AR$4:AR178,AR178)</f>
        <v>175</v>
      </c>
    </row>
    <row r="179" spans="1:45" ht="23.45" customHeight="1">
      <c r="A179" s="655">
        <f t="shared" si="3"/>
        <v>158</v>
      </c>
      <c r="B179" s="604"/>
      <c r="C179" s="73" t="str">
        <f>IF(足元帳!AY159=1,"N",IF(足元帳!AY159=2,"R",""))</f>
        <v/>
      </c>
      <c r="D179" s="74" t="str">
        <f>IF(足元帳!AZ159&gt;0,VLOOKUP(足元帳!AZ159,管理シート!$R$4:$V$12,5,FALSE),"")</f>
        <v/>
      </c>
      <c r="E179" s="587" t="str">
        <f>IF(足元帳!J159="","",足元帳!J159)</f>
        <v/>
      </c>
      <c r="F179" s="566"/>
      <c r="G179" s="587" t="str">
        <f>IF(足元帳!K159="","",足元帳!K159)</f>
        <v/>
      </c>
      <c r="H179" s="565"/>
      <c r="I179" s="565"/>
      <c r="J179" s="566"/>
      <c r="K179" s="587" t="str">
        <f>IF(足元帳!BB159&gt;0,VLOOKUP(足元帳!BB159,管理シート!$R$4:$W$12,4,FALSE),"")</f>
        <v/>
      </c>
      <c r="L179" s="565"/>
      <c r="M179" s="566"/>
      <c r="N179" s="587" t="str">
        <f>IF(足元帳!U159="","",足元帳!U159)&amp;IF(足元帳!V159="","",足元帳!V159)&amp;IF(足元帳!W159="","",足元帳!W159)&amp;IF(足元帳!X159="","",足元帳!X159)&amp;IF(足元帳!Y159="","",足元帳!Y159)&amp;IF(足元帳!Z159="","",足元帳!Z159)</f>
        <v/>
      </c>
      <c r="O179" s="565"/>
      <c r="P179" s="565"/>
      <c r="Q179" s="565"/>
      <c r="R179" s="565"/>
      <c r="S179" s="566"/>
      <c r="T179" s="661" t="str">
        <f ca="1">IFERROR(INDEX(管理シート!$CB$3:$CK$24,MATCH(W179,管理シート!$CB$3:$CB$24,0),MATCH(K179,管理シート!$CB$3:$CM$3,0)),"")</f>
        <v/>
      </c>
      <c r="U179" s="661"/>
      <c r="V179" s="661"/>
      <c r="W179" s="587" t="str">
        <f ca="1">IF(ISERROR(MATCH("●",足元帳!AA159:AJ159,0)),"",INDIRECT("足元帳!R1C"&amp;MATCH("●",足元帳!AA159:AJ159,0)+26,FALSE))</f>
        <v/>
      </c>
      <c r="X179" s="565"/>
      <c r="Y179" s="566"/>
      <c r="Z179" s="587" t="str">
        <f>IF(足元帳!AL159="","","○")</f>
        <v/>
      </c>
      <c r="AA179" s="566"/>
      <c r="AB179" s="635" t="str">
        <f>IF(足元帳!AM159="","","現金カード払い"&amp;足元帳!AM159&amp;"  ")&amp;IF(足元帳!AP159="","",足元帳!AP159&amp;"　")&amp;IF(足元帳!AQ159="","",足元帳!AQ159&amp;"　")&amp;IF(足元帳!AR159="","",足元帳!AR159&amp;"　")&amp;IF(足元帳!AS159="","",足元帳!AS159&amp;"　")&amp;IF(足元帳!AT159="","",足元帳!AT159&amp;"　")&amp;IF(足元帳!AN159="","","LOVE×2")&amp;IF(足元帳!AJ159="","","MM"&amp;足元帳!AJ159)&amp;IF(足元帳!AW159="","",W179&amp;"利用"&amp;足元帳!AW159)&amp;IF(足元帳!AX159="",""," 優待券配布"&amp;足元帳!AX159)&amp;IF(足元帳!AU159="","","メルマガ")</f>
        <v/>
      </c>
      <c r="AC179" s="636"/>
      <c r="AD179" s="636"/>
      <c r="AE179" s="636"/>
      <c r="AF179" s="636"/>
      <c r="AG179" s="636"/>
      <c r="AH179" s="636"/>
      <c r="AI179" s="636"/>
      <c r="AJ179" s="636"/>
      <c r="AK179" s="636"/>
      <c r="AL179" s="636"/>
      <c r="AM179" s="636"/>
      <c r="AN179" s="636"/>
      <c r="AO179" s="636"/>
      <c r="AP179" s="636"/>
      <c r="AQ179" s="662"/>
      <c r="AR179" s="113" t="str">
        <f>IF(足元帳!A159="","",足元帳!A159)</f>
        <v/>
      </c>
      <c r="AS179" s="123">
        <f>COUNTIF(AR$4:AR179,AR179)</f>
        <v>176</v>
      </c>
    </row>
    <row r="180" spans="1:45" ht="23.45" customHeight="1">
      <c r="A180" s="655">
        <f t="shared" si="3"/>
        <v>159</v>
      </c>
      <c r="B180" s="604"/>
      <c r="C180" s="73" t="str">
        <f>IF(足元帳!AY160=1,"N",IF(足元帳!AY160=2,"R",""))</f>
        <v/>
      </c>
      <c r="D180" s="74" t="str">
        <f>IF(足元帳!AZ160&gt;0,VLOOKUP(足元帳!AZ160,管理シート!$R$4:$V$12,5,FALSE),"")</f>
        <v/>
      </c>
      <c r="E180" s="587" t="str">
        <f>IF(足元帳!J160="","",足元帳!J160)</f>
        <v/>
      </c>
      <c r="F180" s="566"/>
      <c r="G180" s="587" t="str">
        <f>IF(足元帳!K160="","",足元帳!K160)</f>
        <v/>
      </c>
      <c r="H180" s="565"/>
      <c r="I180" s="565"/>
      <c r="J180" s="566"/>
      <c r="K180" s="587" t="str">
        <f>IF(足元帳!BB160&gt;0,VLOOKUP(足元帳!BB160,管理シート!$R$4:$W$12,4,FALSE),"")</f>
        <v/>
      </c>
      <c r="L180" s="565"/>
      <c r="M180" s="566"/>
      <c r="N180" s="587" t="str">
        <f>IF(足元帳!U160="","",足元帳!U160)&amp;IF(足元帳!V160="","",足元帳!V160)&amp;IF(足元帳!W160="","",足元帳!W160)&amp;IF(足元帳!X160="","",足元帳!X160)&amp;IF(足元帳!Y160="","",足元帳!Y160)&amp;IF(足元帳!Z160="","",足元帳!Z160)</f>
        <v/>
      </c>
      <c r="O180" s="565"/>
      <c r="P180" s="565"/>
      <c r="Q180" s="565"/>
      <c r="R180" s="565"/>
      <c r="S180" s="566"/>
      <c r="T180" s="661" t="str">
        <f ca="1">IFERROR(INDEX(管理シート!$CB$3:$CK$24,MATCH(W180,管理シート!$CB$3:$CB$24,0),MATCH(K180,管理シート!$CB$3:$CM$3,0)),"")</f>
        <v/>
      </c>
      <c r="U180" s="661"/>
      <c r="V180" s="661"/>
      <c r="W180" s="587" t="str">
        <f ca="1">IF(ISERROR(MATCH("●",足元帳!AA160:AJ160,0)),"",INDIRECT("足元帳!R1C"&amp;MATCH("●",足元帳!AA160:AJ160,0)+26,FALSE))</f>
        <v/>
      </c>
      <c r="X180" s="565"/>
      <c r="Y180" s="566"/>
      <c r="Z180" s="587" t="str">
        <f>IF(足元帳!AL160="","","○")</f>
        <v/>
      </c>
      <c r="AA180" s="566"/>
      <c r="AB180" s="635" t="str">
        <f>IF(足元帳!AM160="","","現金カード払い"&amp;足元帳!AM160&amp;"  ")&amp;IF(足元帳!AP160="","",足元帳!AP160&amp;"　")&amp;IF(足元帳!AQ160="","",足元帳!AQ160&amp;"　")&amp;IF(足元帳!AR160="","",足元帳!AR160&amp;"　")&amp;IF(足元帳!AS160="","",足元帳!AS160&amp;"　")&amp;IF(足元帳!AT160="","",足元帳!AT160&amp;"　")&amp;IF(足元帳!AN160="","","LOVE×2")&amp;IF(足元帳!AJ160="","","MM"&amp;足元帳!AJ160)&amp;IF(足元帳!AW160="","",W180&amp;"利用"&amp;足元帳!AW160)&amp;IF(足元帳!AX160="",""," 優待券配布"&amp;足元帳!AX160)&amp;IF(足元帳!AU160="","","メルマガ")</f>
        <v/>
      </c>
      <c r="AC180" s="636"/>
      <c r="AD180" s="636"/>
      <c r="AE180" s="636"/>
      <c r="AF180" s="636"/>
      <c r="AG180" s="636"/>
      <c r="AH180" s="636"/>
      <c r="AI180" s="636"/>
      <c r="AJ180" s="636"/>
      <c r="AK180" s="636"/>
      <c r="AL180" s="636"/>
      <c r="AM180" s="636"/>
      <c r="AN180" s="636"/>
      <c r="AO180" s="636"/>
      <c r="AP180" s="636"/>
      <c r="AQ180" s="662"/>
      <c r="AR180" s="113" t="str">
        <f>IF(足元帳!A160="","",足元帳!A160)</f>
        <v/>
      </c>
      <c r="AS180" s="123">
        <f>COUNTIF(AR$4:AR180,AR180)</f>
        <v>177</v>
      </c>
    </row>
    <row r="181" spans="1:45" ht="23.45" customHeight="1" thickBot="1">
      <c r="A181" s="663">
        <f t="shared" si="3"/>
        <v>160</v>
      </c>
      <c r="B181" s="608"/>
      <c r="C181" s="76" t="str">
        <f>IF(足元帳!AY161=1,"N",IF(足元帳!AY161=2,"R",""))</f>
        <v/>
      </c>
      <c r="D181" s="77" t="str">
        <f>IF(足元帳!AZ161&gt;0,VLOOKUP(足元帳!AZ161,管理シート!$R$4:$V$12,5,FALSE),"")</f>
        <v/>
      </c>
      <c r="E181" s="597" t="str">
        <f>IF(足元帳!J161="","",足元帳!J161)</f>
        <v/>
      </c>
      <c r="F181" s="596"/>
      <c r="G181" s="597" t="str">
        <f>IF(足元帳!K161="","",足元帳!K161)</f>
        <v/>
      </c>
      <c r="H181" s="589"/>
      <c r="I181" s="589"/>
      <c r="J181" s="596"/>
      <c r="K181" s="597" t="str">
        <f>IF(足元帳!BB161&gt;0,VLOOKUP(足元帳!BB161,管理シート!$R$4:$W$12,4,FALSE),"")</f>
        <v/>
      </c>
      <c r="L181" s="589"/>
      <c r="M181" s="596"/>
      <c r="N181" s="597" t="str">
        <f>IF(足元帳!U161="","",足元帳!U161)&amp;IF(足元帳!V161="","",足元帳!V161)&amp;IF(足元帳!W161="","",足元帳!W161)&amp;IF(足元帳!X161="","",足元帳!X161)&amp;IF(足元帳!Y161="","",足元帳!Y161)&amp;IF(足元帳!Z161="","",足元帳!Z161)</f>
        <v/>
      </c>
      <c r="O181" s="589"/>
      <c r="P181" s="589"/>
      <c r="Q181" s="589"/>
      <c r="R181" s="589"/>
      <c r="S181" s="596"/>
      <c r="T181" s="608" t="str">
        <f ca="1">IFERROR(INDEX(管理シート!$CB$3:$CK$24,MATCH(W181,管理シート!$CB$3:$CB$24,0),MATCH(K181,管理シート!$CB$3:$CM$3,0)),"")</f>
        <v/>
      </c>
      <c r="U181" s="608"/>
      <c r="V181" s="608"/>
      <c r="W181" s="597" t="str">
        <f ca="1">IF(ISERROR(MATCH("●",足元帳!AA161:AJ161,0)),"",INDIRECT("足元帳!R1C"&amp;MATCH("●",足元帳!AA161:AJ161,0)+26,FALSE))</f>
        <v/>
      </c>
      <c r="X181" s="589"/>
      <c r="Y181" s="596"/>
      <c r="Z181" s="597" t="str">
        <f>IF(足元帳!AL161="","","○")</f>
        <v/>
      </c>
      <c r="AA181" s="596"/>
      <c r="AB181" s="597" t="str">
        <f>IF(足元帳!AM161="","","現金カード払い"&amp;足元帳!AM161&amp;"  ")&amp;IF(足元帳!AP161="","",足元帳!AP161&amp;"　")&amp;IF(足元帳!AQ161="","",足元帳!AQ161&amp;"　")&amp;IF(足元帳!AR161="","",足元帳!AR161&amp;"　")&amp;IF(足元帳!AS161="","",足元帳!AS161&amp;"　")&amp;IF(足元帳!AT161="","",足元帳!AT161&amp;"　")&amp;IF(足元帳!AN161="","","LOVE×2")&amp;IF(足元帳!AJ161="","","MM"&amp;足元帳!AJ161)&amp;IF(足元帳!AW161="","",W181&amp;"利用"&amp;足元帳!AW161)&amp;IF(足元帳!AX161="",""," 優待券配布"&amp;足元帳!AX161)&amp;IF(足元帳!AU161="","","メルマガ")</f>
        <v/>
      </c>
      <c r="AC181" s="589"/>
      <c r="AD181" s="589"/>
      <c r="AE181" s="589"/>
      <c r="AF181" s="589"/>
      <c r="AG181" s="589"/>
      <c r="AH181" s="589"/>
      <c r="AI181" s="589"/>
      <c r="AJ181" s="589"/>
      <c r="AK181" s="589"/>
      <c r="AL181" s="589"/>
      <c r="AM181" s="589"/>
      <c r="AN181" s="589"/>
      <c r="AO181" s="589"/>
      <c r="AP181" s="589"/>
      <c r="AQ181" s="590"/>
      <c r="AR181" s="113" t="str">
        <f>IF(足元帳!A161="","",足元帳!A161)</f>
        <v/>
      </c>
      <c r="AS181" s="123">
        <f>COUNTIF(AR$4:AR181,AR181)</f>
        <v>178</v>
      </c>
    </row>
    <row r="182" spans="1:45" ht="23.45" customHeight="1">
      <c r="A182" s="659" t="s">
        <v>159</v>
      </c>
      <c r="B182" s="660"/>
      <c r="C182" s="120" t="s">
        <v>183</v>
      </c>
      <c r="D182" s="122" t="s">
        <v>184</v>
      </c>
      <c r="E182" s="636">
        <f>IF((COUNTIF(C142:C181,"N")+COUNTIF(C142:C181,"R"))=0,COUNTIF(C142:C181,"N"),COUNTIF(C142:C181,"N")+E136)</f>
        <v>0</v>
      </c>
      <c r="F182" s="636"/>
      <c r="G182" s="122" t="s">
        <v>185</v>
      </c>
      <c r="H182" s="130" t="s">
        <v>186</v>
      </c>
      <c r="I182" s="122" t="s">
        <v>187</v>
      </c>
      <c r="J182" s="122" t="s">
        <v>184</v>
      </c>
      <c r="K182" s="636">
        <f>IF((COUNTIF(C142:C181,"R")+COUNTIF(C142:C181,"N"))=0,COUNTIF(C142:C181,"R"),COUNTIF(C142:C181,"R")+K136)</f>
        <v>0</v>
      </c>
      <c r="L182" s="636"/>
      <c r="M182" s="122" t="s">
        <v>185</v>
      </c>
      <c r="N182" s="130" t="s">
        <v>188</v>
      </c>
      <c r="O182" s="636">
        <f>IF(E182+K182=0,0,E182+K182)</f>
        <v>0</v>
      </c>
      <c r="P182" s="636"/>
      <c r="Q182" s="122"/>
      <c r="R182" s="122" t="s">
        <v>14</v>
      </c>
      <c r="S182" s="122" t="s">
        <v>189</v>
      </c>
      <c r="T182" s="636">
        <f>COUNTIF(D4:D43,"姫")+COUNTIF(D50:D89,"姫")+COUNTIF(D96:D135,"姫")+COUNTIF(D142:D181,"姫")</f>
        <v>0</v>
      </c>
      <c r="U182" s="636"/>
      <c r="V182" s="122" t="s">
        <v>190</v>
      </c>
      <c r="W182" s="290" t="s">
        <v>384</v>
      </c>
      <c r="X182" s="122" t="s">
        <v>5</v>
      </c>
      <c r="Y182" s="122" t="s">
        <v>385</v>
      </c>
      <c r="Z182" s="636">
        <f>COUNTIF(D4:D43,"本")+COUNTIF(D50:D89,"本")+COUNTIF(D96:D135,"本")+COUNTIF(D142:D181,"本")</f>
        <v>0</v>
      </c>
      <c r="AA182" s="636"/>
      <c r="AB182" s="122" t="s">
        <v>190</v>
      </c>
      <c r="AC182" s="130" t="s">
        <v>186</v>
      </c>
      <c r="AD182" s="122" t="s">
        <v>191</v>
      </c>
      <c r="AE182" s="122" t="s">
        <v>189</v>
      </c>
      <c r="AF182" s="636">
        <f>COUNTIF(D4:D43,"ネ")+COUNTIF(D50:D89,"ネ")+COUNTIF(D96:D135,"ネ")+COUNTIF(D142:D181,"ネ")</f>
        <v>0</v>
      </c>
      <c r="AG182" s="636"/>
      <c r="AH182" s="122" t="s">
        <v>190</v>
      </c>
      <c r="AI182" s="122" t="s">
        <v>186</v>
      </c>
      <c r="AJ182" s="122" t="s">
        <v>0</v>
      </c>
      <c r="AK182" s="122" t="s">
        <v>189</v>
      </c>
      <c r="AL182" s="636">
        <f>COUNTIF(D4:D43,"写")+COUNTIF(D50:D89,"写")+COUNTIF(D96:D135,"写")+COUNTIF(D142:D181,"写")</f>
        <v>0</v>
      </c>
      <c r="AM182" s="636"/>
      <c r="AN182" s="122" t="s">
        <v>190</v>
      </c>
      <c r="AO182" s="130" t="s">
        <v>166</v>
      </c>
      <c r="AP182" s="636">
        <f>T182+Z182+AF182+AL182</f>
        <v>0</v>
      </c>
      <c r="AQ182" s="662"/>
    </row>
    <row r="183" spans="1:45" ht="23.45" customHeight="1">
      <c r="A183" s="665" t="s">
        <v>160</v>
      </c>
      <c r="B183" s="666"/>
      <c r="C183" s="666"/>
      <c r="D183" s="666"/>
      <c r="E183" s="666"/>
      <c r="F183" s="666"/>
      <c r="G183" s="666" t="s">
        <v>192</v>
      </c>
      <c r="H183" s="666"/>
      <c r="I183" s="666" t="s">
        <v>162</v>
      </c>
      <c r="J183" s="666"/>
      <c r="K183" s="666"/>
      <c r="L183" s="666"/>
      <c r="M183" s="666"/>
      <c r="N183" s="666"/>
      <c r="O183" s="666" t="s">
        <v>192</v>
      </c>
      <c r="P183" s="666"/>
      <c r="Q183" s="666" t="s">
        <v>163</v>
      </c>
      <c r="R183" s="666"/>
      <c r="S183" s="666"/>
      <c r="T183" s="666"/>
      <c r="U183" s="666"/>
      <c r="V183" s="666"/>
      <c r="W183" s="666" t="s">
        <v>384</v>
      </c>
      <c r="X183" s="666"/>
      <c r="Y183" s="666" t="s">
        <v>165</v>
      </c>
      <c r="Z183" s="666"/>
      <c r="AA183" s="666"/>
      <c r="AB183" s="666"/>
      <c r="AC183" s="666"/>
      <c r="AD183" s="666"/>
      <c r="AE183" s="666" t="s">
        <v>166</v>
      </c>
      <c r="AF183" s="666"/>
      <c r="AG183" s="666" t="s">
        <v>167</v>
      </c>
      <c r="AH183" s="666"/>
      <c r="AI183" s="666"/>
      <c r="AJ183" s="666"/>
      <c r="AK183" s="666"/>
      <c r="AL183" s="666"/>
      <c r="AM183" s="666"/>
      <c r="AN183" s="666"/>
      <c r="AO183" s="666"/>
      <c r="AP183" s="666"/>
      <c r="AQ183" s="670"/>
    </row>
    <row r="184" spans="1:45" ht="23.45" customHeight="1" thickBot="1">
      <c r="A184" s="668">
        <f>IF(P228&gt;0,"",精算表!$BD$46)</f>
        <v>0</v>
      </c>
      <c r="B184" s="669"/>
      <c r="C184" s="669"/>
      <c r="D184" s="669"/>
      <c r="E184" s="669"/>
      <c r="F184" s="669"/>
      <c r="G184" s="656" t="s">
        <v>192</v>
      </c>
      <c r="H184" s="656"/>
      <c r="I184" s="669">
        <f>IF(P228&gt;0,"",精算表!$BD$49)</f>
        <v>0</v>
      </c>
      <c r="J184" s="669"/>
      <c r="K184" s="669"/>
      <c r="L184" s="669"/>
      <c r="M184" s="669"/>
      <c r="N184" s="669"/>
      <c r="O184" s="656" t="s">
        <v>192</v>
      </c>
      <c r="P184" s="656"/>
      <c r="Q184" s="669">
        <f>IF(P228&gt;0,"",精算表!$BD$50)</f>
        <v>0</v>
      </c>
      <c r="R184" s="669"/>
      <c r="S184" s="669"/>
      <c r="T184" s="669"/>
      <c r="U184" s="669"/>
      <c r="V184" s="669"/>
      <c r="W184" s="656" t="s">
        <v>384</v>
      </c>
      <c r="X184" s="656"/>
      <c r="Y184" s="669">
        <f>IF(P228&gt;0,"",精算表!$BD$56)</f>
        <v>0</v>
      </c>
      <c r="Z184" s="669"/>
      <c r="AA184" s="669"/>
      <c r="AB184" s="669"/>
      <c r="AC184" s="669"/>
      <c r="AD184" s="669"/>
      <c r="AE184" s="656" t="s">
        <v>166</v>
      </c>
      <c r="AF184" s="656"/>
      <c r="AG184" s="657">
        <f>IF(P228&gt;0,"",A184-I184-Q184+Y184)</f>
        <v>0</v>
      </c>
      <c r="AH184" s="656"/>
      <c r="AI184" s="656"/>
      <c r="AJ184" s="656"/>
      <c r="AK184" s="656"/>
      <c r="AL184" s="656"/>
      <c r="AM184" s="656"/>
      <c r="AN184" s="656"/>
      <c r="AO184" s="656"/>
      <c r="AP184" s="656"/>
      <c r="AQ184" s="658"/>
    </row>
    <row r="185" spans="1:45" ht="35.1" customHeight="1">
      <c r="AD185" s="113" t="s">
        <v>142</v>
      </c>
      <c r="AF185" s="585" t="str">
        <f>TEXT(精算表!W1,"eee")</f>
        <v>31</v>
      </c>
      <c r="AG185" s="585"/>
      <c r="AH185" s="113" t="s">
        <v>143</v>
      </c>
      <c r="AI185" s="585">
        <f>MONTH(精算表!W1)</f>
        <v>10</v>
      </c>
      <c r="AJ185" s="585"/>
      <c r="AK185" s="585"/>
      <c r="AL185" s="578" t="s">
        <v>144</v>
      </c>
      <c r="AM185" s="578"/>
      <c r="AN185" s="585">
        <f>DAY(精算表!W1)</f>
        <v>17</v>
      </c>
      <c r="AO185" s="585"/>
      <c r="AP185" s="578" t="s">
        <v>145</v>
      </c>
      <c r="AQ185" s="578"/>
    </row>
    <row r="186" spans="1:45" ht="35.1" customHeight="1" thickBot="1">
      <c r="A186" s="579">
        <v>5</v>
      </c>
      <c r="B186" s="579"/>
      <c r="C186" s="579"/>
      <c r="D186" s="579"/>
      <c r="E186" s="579"/>
      <c r="F186" s="579"/>
      <c r="G186" s="579"/>
      <c r="H186" s="579"/>
      <c r="I186" s="579"/>
      <c r="J186" s="579"/>
      <c r="K186" s="579"/>
      <c r="L186" s="579"/>
      <c r="M186" s="579"/>
      <c r="N186" s="579"/>
      <c r="O186" s="579"/>
      <c r="P186" s="579"/>
      <c r="Q186" s="579"/>
      <c r="R186" s="579"/>
      <c r="S186" s="579"/>
      <c r="T186" s="579"/>
      <c r="U186" s="579"/>
      <c r="V186" s="579"/>
      <c r="W186" s="579"/>
      <c r="X186" s="579"/>
      <c r="Y186" s="579"/>
      <c r="Z186" s="579"/>
      <c r="AA186" s="579"/>
      <c r="AB186" s="579"/>
      <c r="AC186" s="579"/>
      <c r="AD186" s="579"/>
      <c r="AE186" s="579"/>
      <c r="AF186" s="579"/>
      <c r="AG186" s="579"/>
      <c r="AH186" s="579"/>
      <c r="AI186" s="579"/>
      <c r="AJ186" s="579"/>
      <c r="AK186" s="579"/>
      <c r="AL186" s="579"/>
      <c r="AM186" s="579"/>
      <c r="AN186" s="579"/>
      <c r="AO186" s="579"/>
      <c r="AP186" s="579"/>
      <c r="AQ186" s="579"/>
    </row>
    <row r="187" spans="1:45" ht="23.45" customHeight="1" thickBot="1">
      <c r="A187" s="580" t="s">
        <v>146</v>
      </c>
      <c r="B187" s="581"/>
      <c r="C187" s="582" t="s">
        <v>147</v>
      </c>
      <c r="D187" s="581"/>
      <c r="E187" s="582" t="s">
        <v>6</v>
      </c>
      <c r="F187" s="581"/>
      <c r="G187" s="664" t="s">
        <v>148</v>
      </c>
      <c r="H187" s="664"/>
      <c r="I187" s="664"/>
      <c r="J187" s="664"/>
      <c r="K187" s="664" t="s">
        <v>180</v>
      </c>
      <c r="L187" s="664"/>
      <c r="M187" s="664"/>
      <c r="N187" s="582" t="s">
        <v>181</v>
      </c>
      <c r="O187" s="583"/>
      <c r="P187" s="583"/>
      <c r="Q187" s="583"/>
      <c r="R187" s="583"/>
      <c r="S187" s="581"/>
      <c r="T187" s="582" t="s">
        <v>2</v>
      </c>
      <c r="U187" s="583"/>
      <c r="V187" s="581"/>
      <c r="W187" s="582" t="s">
        <v>383</v>
      </c>
      <c r="X187" s="583"/>
      <c r="Y187" s="581"/>
      <c r="Z187" s="582" t="s">
        <v>182</v>
      </c>
      <c r="AA187" s="581"/>
      <c r="AB187" s="582" t="s">
        <v>151</v>
      </c>
      <c r="AC187" s="583"/>
      <c r="AD187" s="583"/>
      <c r="AE187" s="583"/>
      <c r="AF187" s="583"/>
      <c r="AG187" s="583"/>
      <c r="AH187" s="583"/>
      <c r="AI187" s="583"/>
      <c r="AJ187" s="583"/>
      <c r="AK187" s="583"/>
      <c r="AL187" s="583"/>
      <c r="AM187" s="583"/>
      <c r="AN187" s="583"/>
      <c r="AO187" s="583"/>
      <c r="AP187" s="583"/>
      <c r="AQ187" s="584"/>
    </row>
    <row r="188" spans="1:45" ht="23.45" customHeight="1">
      <c r="A188" s="667">
        <v>161</v>
      </c>
      <c r="B188" s="661"/>
      <c r="C188" s="120" t="str">
        <f>IF(足元帳!AY162=1,"N",IF(足元帳!AY162=2,"R",""))</f>
        <v/>
      </c>
      <c r="D188" s="241" t="str">
        <f>IF(足元帳!AZ162&gt;0,VLOOKUP(足元帳!AZ162,管理シート!$R$4:$V$12,5,FALSE),"")</f>
        <v/>
      </c>
      <c r="E188" s="577" t="str">
        <f>IF(足元帳!J162="","",足元帳!J162)</f>
        <v/>
      </c>
      <c r="F188" s="571"/>
      <c r="G188" s="577" t="str">
        <f>IF(足元帳!K162="","",足元帳!K162)</f>
        <v/>
      </c>
      <c r="H188" s="564"/>
      <c r="I188" s="564"/>
      <c r="J188" s="571"/>
      <c r="K188" s="577" t="str">
        <f>IF(足元帳!BB162&gt;0,VLOOKUP(足元帳!BB162,管理シート!$R$4:$W$12,4,FALSE),"")</f>
        <v/>
      </c>
      <c r="L188" s="564"/>
      <c r="M188" s="571"/>
      <c r="N188" s="577" t="str">
        <f>IF(足元帳!U162="","",足元帳!U162)&amp;IF(足元帳!V162="","",足元帳!V162)&amp;IF(足元帳!W162="","",足元帳!W162)&amp;IF(足元帳!X162="","",足元帳!X162)&amp;IF(足元帳!Y162="","",足元帳!Y162)&amp;IF(足元帳!Z162="","",足元帳!Z162)</f>
        <v/>
      </c>
      <c r="O188" s="564"/>
      <c r="P188" s="564"/>
      <c r="Q188" s="564"/>
      <c r="R188" s="564"/>
      <c r="S188" s="571"/>
      <c r="T188" s="577" t="str">
        <f ca="1">IFERROR(INDEX(管理シート!$CB$3:$CK$24,MATCH(W188,管理シート!$CB$3:$CB$24,0),MATCH(K188,管理シート!$CB$3:$CM$3,0)),"")</f>
        <v/>
      </c>
      <c r="U188" s="564"/>
      <c r="V188" s="571"/>
      <c r="W188" s="577" t="str">
        <f ca="1">IF(ISERROR(MATCH("●",足元帳!AA162:AJ162,0)),"",INDIRECT("足元帳!R1C"&amp;MATCH("●",足元帳!AA162:AJ162,0)+26,FALSE))</f>
        <v/>
      </c>
      <c r="X188" s="564"/>
      <c r="Y188" s="571"/>
      <c r="Z188" s="577" t="str">
        <f>IF(足元帳!AL162="","","○")</f>
        <v/>
      </c>
      <c r="AA188" s="571"/>
      <c r="AB188" s="577" t="str">
        <f>IF(足元帳!AM162="","","現金カード払い"&amp;足元帳!AM162&amp;"  ")&amp;IF(足元帳!AP162="","",足元帳!AP162&amp;"　")&amp;IF(足元帳!AQ162="","",足元帳!AQ162&amp;"　")&amp;IF(足元帳!AR162="","",足元帳!AR162&amp;"　")&amp;IF(足元帳!AS162="","",足元帳!AS162&amp;"　")&amp;IF(足元帳!AT162="","",足元帳!AT162&amp;"　")&amp;IF(足元帳!AN162="","","LOVE×2")&amp;IF(足元帳!AJ162="","","MM"&amp;足元帳!AJ162)&amp;IF(足元帳!AW162="","",W188&amp;"利用"&amp;足元帳!AW162)&amp;IF(足元帳!AX162="",""," 優待券配布"&amp;足元帳!AX162)&amp;IF(足元帳!AU162="","","メルマガ")</f>
        <v/>
      </c>
      <c r="AC188" s="564"/>
      <c r="AD188" s="564"/>
      <c r="AE188" s="564"/>
      <c r="AF188" s="564"/>
      <c r="AG188" s="564"/>
      <c r="AH188" s="564"/>
      <c r="AI188" s="564"/>
      <c r="AJ188" s="564"/>
      <c r="AK188" s="564"/>
      <c r="AL188" s="564"/>
      <c r="AM188" s="564"/>
      <c r="AN188" s="564"/>
      <c r="AO188" s="564"/>
      <c r="AP188" s="564"/>
      <c r="AQ188" s="569"/>
      <c r="AR188" s="113" t="str">
        <f>IF(足元帳!A162="","",足元帳!A162)</f>
        <v/>
      </c>
      <c r="AS188" s="123">
        <f>COUNTIF(AR$4:AR188,AR188)</f>
        <v>185</v>
      </c>
    </row>
    <row r="189" spans="1:45" ht="23.45" customHeight="1">
      <c r="A189" s="586">
        <f>A188+1</f>
        <v>162</v>
      </c>
      <c r="B189" s="566"/>
      <c r="C189" s="73" t="str">
        <f>IF(足元帳!AY163=1,"N",IF(足元帳!AY163=2,"R",""))</f>
        <v/>
      </c>
      <c r="D189" s="74" t="str">
        <f>IF(足元帳!AZ163&gt;0,VLOOKUP(足元帳!AZ163,管理シート!$R$4:$V$12,5,FALSE),"")</f>
        <v/>
      </c>
      <c r="E189" s="587" t="str">
        <f>IF(足元帳!J163="","",足元帳!J163)</f>
        <v/>
      </c>
      <c r="F189" s="566"/>
      <c r="G189" s="587" t="str">
        <f>IF(足元帳!K163="","",足元帳!K163)</f>
        <v/>
      </c>
      <c r="H189" s="565"/>
      <c r="I189" s="565"/>
      <c r="J189" s="566"/>
      <c r="K189" s="587" t="str">
        <f>IF(足元帳!BB163&gt;0,VLOOKUP(足元帳!BB163,管理シート!$R$4:$W$12,4,FALSE),"")</f>
        <v/>
      </c>
      <c r="L189" s="565"/>
      <c r="M189" s="566"/>
      <c r="N189" s="587" t="str">
        <f>IF(足元帳!U163="","",足元帳!U163)&amp;IF(足元帳!V163="","",足元帳!V163)&amp;IF(足元帳!W163="","",足元帳!W163)&amp;IF(足元帳!X163="","",足元帳!X163)&amp;IF(足元帳!Y163="","",足元帳!Y163)&amp;IF(足元帳!Z163="","",足元帳!Z163)</f>
        <v/>
      </c>
      <c r="O189" s="565"/>
      <c r="P189" s="565"/>
      <c r="Q189" s="565"/>
      <c r="R189" s="565"/>
      <c r="S189" s="566"/>
      <c r="T189" s="661" t="str">
        <f ca="1">IFERROR(INDEX(管理シート!$CB$3:$CK$24,MATCH(W189,管理シート!$CB$3:$CB$24,0),MATCH(K189,管理シート!$CB$3:$CM$3,0)),"")</f>
        <v/>
      </c>
      <c r="U189" s="661"/>
      <c r="V189" s="661"/>
      <c r="W189" s="587" t="str">
        <f ca="1">IF(ISERROR(MATCH("●",足元帳!AA163:AJ163,0)),"",INDIRECT("足元帳!R1C"&amp;MATCH("●",足元帳!AA163:AJ163,0)+26,FALSE))</f>
        <v/>
      </c>
      <c r="X189" s="565"/>
      <c r="Y189" s="566"/>
      <c r="Z189" s="587" t="str">
        <f>IF(足元帳!AL163="","","○")</f>
        <v/>
      </c>
      <c r="AA189" s="566"/>
      <c r="AB189" s="635" t="str">
        <f>IF(足元帳!AM163="","","現金カード払い"&amp;足元帳!AM163&amp;"  ")&amp;IF(足元帳!AP163="","",足元帳!AP163&amp;"　")&amp;IF(足元帳!AQ163="","",足元帳!AQ163&amp;"　")&amp;IF(足元帳!AR163="","",足元帳!AR163&amp;"　")&amp;IF(足元帳!AS163="","",足元帳!AS163&amp;"　")&amp;IF(足元帳!AT163="","",足元帳!AT163&amp;"　")&amp;IF(足元帳!AN163="","","LOVE×2")&amp;IF(足元帳!AJ163="","","MM"&amp;足元帳!AJ163)&amp;IF(足元帳!AW163="","",W189&amp;"利用"&amp;足元帳!AW163)&amp;IF(足元帳!AX163="",""," 優待券配布"&amp;足元帳!AX163)&amp;IF(足元帳!AU163="","","メルマガ")</f>
        <v/>
      </c>
      <c r="AC189" s="636"/>
      <c r="AD189" s="636"/>
      <c r="AE189" s="636"/>
      <c r="AF189" s="636"/>
      <c r="AG189" s="636"/>
      <c r="AH189" s="636"/>
      <c r="AI189" s="636"/>
      <c r="AJ189" s="636"/>
      <c r="AK189" s="636"/>
      <c r="AL189" s="636"/>
      <c r="AM189" s="636"/>
      <c r="AN189" s="636"/>
      <c r="AO189" s="636"/>
      <c r="AP189" s="636"/>
      <c r="AQ189" s="662"/>
      <c r="AR189" s="113" t="str">
        <f>IF(足元帳!A163="","",足元帳!A163)</f>
        <v/>
      </c>
      <c r="AS189" s="123">
        <f>COUNTIF(AR$4:AR189,AR189)</f>
        <v>186</v>
      </c>
    </row>
    <row r="190" spans="1:45" ht="23.45" customHeight="1">
      <c r="A190" s="586">
        <f t="shared" ref="A190:A227" si="4">A189+1</f>
        <v>163</v>
      </c>
      <c r="B190" s="566"/>
      <c r="C190" s="73" t="str">
        <f>IF(足元帳!AY164=1,"N",IF(足元帳!AY164=2,"R",""))</f>
        <v/>
      </c>
      <c r="D190" s="74" t="str">
        <f>IF(足元帳!AZ164&gt;0,VLOOKUP(足元帳!AZ164,管理シート!$R$4:$V$12,5,FALSE),"")</f>
        <v/>
      </c>
      <c r="E190" s="587" t="str">
        <f>IF(足元帳!J164="","",足元帳!J164)</f>
        <v/>
      </c>
      <c r="F190" s="566"/>
      <c r="G190" s="587" t="str">
        <f>IF(足元帳!K164="","",足元帳!K164)</f>
        <v/>
      </c>
      <c r="H190" s="565"/>
      <c r="I190" s="565"/>
      <c r="J190" s="566"/>
      <c r="K190" s="587" t="str">
        <f>IF(足元帳!BB164&gt;0,VLOOKUP(足元帳!BB164,管理シート!$R$4:$W$12,4,FALSE),"")</f>
        <v/>
      </c>
      <c r="L190" s="565"/>
      <c r="M190" s="566"/>
      <c r="N190" s="587" t="str">
        <f>IF(足元帳!U164="","",足元帳!U164)&amp;IF(足元帳!V164="","",足元帳!V164)&amp;IF(足元帳!W164="","",足元帳!W164)&amp;IF(足元帳!X164="","",足元帳!X164)&amp;IF(足元帳!Y164="","",足元帳!Y164)&amp;IF(足元帳!Z164="","",足元帳!Z164)</f>
        <v/>
      </c>
      <c r="O190" s="565"/>
      <c r="P190" s="565"/>
      <c r="Q190" s="565"/>
      <c r="R190" s="565"/>
      <c r="S190" s="566"/>
      <c r="T190" s="661" t="str">
        <f ca="1">IFERROR(INDEX(管理シート!$CB$3:$CK$24,MATCH(W190,管理シート!$CB$3:$CB$24,0),MATCH(K190,管理シート!$CB$3:$CM$3,0)),"")</f>
        <v/>
      </c>
      <c r="U190" s="661"/>
      <c r="V190" s="661"/>
      <c r="W190" s="587" t="str">
        <f ca="1">IF(ISERROR(MATCH("●",足元帳!AA164:AJ164,0)),"",INDIRECT("足元帳!R1C"&amp;MATCH("●",足元帳!AA164:AJ164,0)+26,FALSE))</f>
        <v/>
      </c>
      <c r="X190" s="565"/>
      <c r="Y190" s="566"/>
      <c r="Z190" s="587" t="str">
        <f>IF(足元帳!AL164="","","○")</f>
        <v/>
      </c>
      <c r="AA190" s="566"/>
      <c r="AB190" s="635" t="str">
        <f>IF(足元帳!AM164="","","現金カード払い"&amp;足元帳!AM164&amp;"  ")&amp;IF(足元帳!AP164="","",足元帳!AP164&amp;"　")&amp;IF(足元帳!AQ164="","",足元帳!AQ164&amp;"　")&amp;IF(足元帳!AR164="","",足元帳!AR164&amp;"　")&amp;IF(足元帳!AS164="","",足元帳!AS164&amp;"　")&amp;IF(足元帳!AT164="","",足元帳!AT164&amp;"　")&amp;IF(足元帳!AN164="","","LOVE×2")&amp;IF(足元帳!AJ164="","","MM"&amp;足元帳!AJ164)&amp;IF(足元帳!AW164="","",W190&amp;"利用"&amp;足元帳!AW164)&amp;IF(足元帳!AX164="",""," 優待券配布"&amp;足元帳!AX164)&amp;IF(足元帳!AU164="","","メルマガ")</f>
        <v/>
      </c>
      <c r="AC190" s="636"/>
      <c r="AD190" s="636"/>
      <c r="AE190" s="636"/>
      <c r="AF190" s="636"/>
      <c r="AG190" s="636"/>
      <c r="AH190" s="636"/>
      <c r="AI190" s="636"/>
      <c r="AJ190" s="636"/>
      <c r="AK190" s="636"/>
      <c r="AL190" s="636"/>
      <c r="AM190" s="636"/>
      <c r="AN190" s="636"/>
      <c r="AO190" s="636"/>
      <c r="AP190" s="636"/>
      <c r="AQ190" s="662"/>
      <c r="AR190" s="113" t="str">
        <f>IF(足元帳!A164="","",足元帳!A164)</f>
        <v/>
      </c>
      <c r="AS190" s="123">
        <f>COUNTIF(AR$4:AR190,AR190)</f>
        <v>187</v>
      </c>
    </row>
    <row r="191" spans="1:45" ht="23.45" customHeight="1">
      <c r="A191" s="586">
        <f t="shared" si="4"/>
        <v>164</v>
      </c>
      <c r="B191" s="566"/>
      <c r="C191" s="73" t="str">
        <f>IF(足元帳!AY165=1,"N",IF(足元帳!AY165=2,"R",""))</f>
        <v/>
      </c>
      <c r="D191" s="74" t="str">
        <f>IF(足元帳!AZ165&gt;0,VLOOKUP(足元帳!AZ165,管理シート!$R$4:$V$12,5,FALSE),"")</f>
        <v/>
      </c>
      <c r="E191" s="587" t="str">
        <f>IF(足元帳!J165="","",足元帳!J165)</f>
        <v/>
      </c>
      <c r="F191" s="566"/>
      <c r="G191" s="587" t="str">
        <f>IF(足元帳!K165="","",足元帳!K165)</f>
        <v/>
      </c>
      <c r="H191" s="565"/>
      <c r="I191" s="565"/>
      <c r="J191" s="566"/>
      <c r="K191" s="587" t="str">
        <f>IF(足元帳!BB165&gt;0,VLOOKUP(足元帳!BB165,管理シート!$R$4:$W$12,4,FALSE),"")</f>
        <v/>
      </c>
      <c r="L191" s="565"/>
      <c r="M191" s="566"/>
      <c r="N191" s="587" t="str">
        <f>IF(足元帳!U165="","",足元帳!U165)&amp;IF(足元帳!V165="","",足元帳!V165)&amp;IF(足元帳!W165="","",足元帳!W165)&amp;IF(足元帳!X165="","",足元帳!X165)&amp;IF(足元帳!Y165="","",足元帳!Y165)&amp;IF(足元帳!Z165="","",足元帳!Z165)</f>
        <v/>
      </c>
      <c r="O191" s="565"/>
      <c r="P191" s="565"/>
      <c r="Q191" s="565"/>
      <c r="R191" s="565"/>
      <c r="S191" s="566"/>
      <c r="T191" s="661" t="str">
        <f ca="1">IFERROR(INDEX(管理シート!$CB$3:$CK$24,MATCH(W191,管理シート!$CB$3:$CB$24,0),MATCH(K191,管理シート!$CB$3:$CM$3,0)),"")</f>
        <v/>
      </c>
      <c r="U191" s="661"/>
      <c r="V191" s="661"/>
      <c r="W191" s="587" t="str">
        <f ca="1">IF(ISERROR(MATCH("●",足元帳!AA165:AJ165,0)),"",INDIRECT("足元帳!R1C"&amp;MATCH("●",足元帳!AA165:AJ165,0)+26,FALSE))</f>
        <v/>
      </c>
      <c r="X191" s="565"/>
      <c r="Y191" s="566"/>
      <c r="Z191" s="587" t="str">
        <f>IF(足元帳!AL165="","","○")</f>
        <v/>
      </c>
      <c r="AA191" s="566"/>
      <c r="AB191" s="635" t="str">
        <f>IF(足元帳!AM165="","","現金カード払い"&amp;足元帳!AM165&amp;"  ")&amp;IF(足元帳!AP165="","",足元帳!AP165&amp;"　")&amp;IF(足元帳!AQ165="","",足元帳!AQ165&amp;"　")&amp;IF(足元帳!AR165="","",足元帳!AR165&amp;"　")&amp;IF(足元帳!AS165="","",足元帳!AS165&amp;"　")&amp;IF(足元帳!AT165="","",足元帳!AT165&amp;"　")&amp;IF(足元帳!AN165="","","LOVE×2")&amp;IF(足元帳!AJ165="","","MM"&amp;足元帳!AJ165)&amp;IF(足元帳!AW165="","",W191&amp;"利用"&amp;足元帳!AW165)&amp;IF(足元帳!AX165="",""," 優待券配布"&amp;足元帳!AX165)&amp;IF(足元帳!AU165="","","メルマガ")</f>
        <v/>
      </c>
      <c r="AC191" s="636"/>
      <c r="AD191" s="636"/>
      <c r="AE191" s="636"/>
      <c r="AF191" s="636"/>
      <c r="AG191" s="636"/>
      <c r="AH191" s="636"/>
      <c r="AI191" s="636"/>
      <c r="AJ191" s="636"/>
      <c r="AK191" s="636"/>
      <c r="AL191" s="636"/>
      <c r="AM191" s="636"/>
      <c r="AN191" s="636"/>
      <c r="AO191" s="636"/>
      <c r="AP191" s="636"/>
      <c r="AQ191" s="662"/>
      <c r="AR191" s="113" t="str">
        <f>IF(足元帳!A165="","",足元帳!A165)</f>
        <v/>
      </c>
      <c r="AS191" s="123">
        <f>COUNTIF(AR$4:AR191,AR191)</f>
        <v>188</v>
      </c>
    </row>
    <row r="192" spans="1:45" ht="23.45" customHeight="1">
      <c r="A192" s="586">
        <f t="shared" si="4"/>
        <v>165</v>
      </c>
      <c r="B192" s="566"/>
      <c r="C192" s="73" t="str">
        <f>IF(足元帳!AY166=1,"N",IF(足元帳!AY166=2,"R",""))</f>
        <v/>
      </c>
      <c r="D192" s="74" t="str">
        <f>IF(足元帳!AZ166&gt;0,VLOOKUP(足元帳!AZ166,管理シート!$R$4:$V$12,5,FALSE),"")</f>
        <v/>
      </c>
      <c r="E192" s="587" t="str">
        <f>IF(足元帳!J166="","",足元帳!J166)</f>
        <v/>
      </c>
      <c r="F192" s="566"/>
      <c r="G192" s="587" t="str">
        <f>IF(足元帳!K166="","",足元帳!K166)</f>
        <v/>
      </c>
      <c r="H192" s="565"/>
      <c r="I192" s="565"/>
      <c r="J192" s="566"/>
      <c r="K192" s="587" t="str">
        <f>IF(足元帳!BB166&gt;0,VLOOKUP(足元帳!BB166,管理シート!$R$4:$W$12,4,FALSE),"")</f>
        <v/>
      </c>
      <c r="L192" s="565"/>
      <c r="M192" s="566"/>
      <c r="N192" s="587" t="str">
        <f>IF(足元帳!U166="","",足元帳!U166)&amp;IF(足元帳!V166="","",足元帳!V166)&amp;IF(足元帳!W166="","",足元帳!W166)&amp;IF(足元帳!X166="","",足元帳!X166)&amp;IF(足元帳!Y166="","",足元帳!Y166)&amp;IF(足元帳!Z166="","",足元帳!Z166)</f>
        <v/>
      </c>
      <c r="O192" s="565"/>
      <c r="P192" s="565"/>
      <c r="Q192" s="565"/>
      <c r="R192" s="565"/>
      <c r="S192" s="566"/>
      <c r="T192" s="661" t="str">
        <f ca="1">IFERROR(INDEX(管理シート!$CB$3:$CK$24,MATCH(W192,管理シート!$CB$3:$CB$24,0),MATCH(K192,管理シート!$CB$3:$CM$3,0)),"")</f>
        <v/>
      </c>
      <c r="U192" s="661"/>
      <c r="V192" s="661"/>
      <c r="W192" s="587" t="str">
        <f ca="1">IF(ISERROR(MATCH("●",足元帳!AA166:AJ166,0)),"",INDIRECT("足元帳!R1C"&amp;MATCH("●",足元帳!AA166:AJ166,0)+26,FALSE))</f>
        <v/>
      </c>
      <c r="X192" s="565"/>
      <c r="Y192" s="566"/>
      <c r="Z192" s="587" t="str">
        <f>IF(足元帳!AL166="","","○")</f>
        <v/>
      </c>
      <c r="AA192" s="566"/>
      <c r="AB192" s="635" t="str">
        <f>IF(足元帳!AM166="","","現金カード払い"&amp;足元帳!AM166&amp;"  ")&amp;IF(足元帳!AP166="","",足元帳!AP166&amp;"　")&amp;IF(足元帳!AQ166="","",足元帳!AQ166&amp;"　")&amp;IF(足元帳!AR166="","",足元帳!AR166&amp;"　")&amp;IF(足元帳!AS166="","",足元帳!AS166&amp;"　")&amp;IF(足元帳!AT166="","",足元帳!AT166&amp;"　")&amp;IF(足元帳!AN166="","","LOVE×2")&amp;IF(足元帳!AJ166="","","MM"&amp;足元帳!AJ166)&amp;IF(足元帳!AW166="","",W192&amp;"利用"&amp;足元帳!AW166)&amp;IF(足元帳!AX166="",""," 優待券配布"&amp;足元帳!AX166)&amp;IF(足元帳!AU166="","","メルマガ")</f>
        <v/>
      </c>
      <c r="AC192" s="636"/>
      <c r="AD192" s="636"/>
      <c r="AE192" s="636"/>
      <c r="AF192" s="636"/>
      <c r="AG192" s="636"/>
      <c r="AH192" s="636"/>
      <c r="AI192" s="636"/>
      <c r="AJ192" s="636"/>
      <c r="AK192" s="636"/>
      <c r="AL192" s="636"/>
      <c r="AM192" s="636"/>
      <c r="AN192" s="636"/>
      <c r="AO192" s="636"/>
      <c r="AP192" s="636"/>
      <c r="AQ192" s="662"/>
      <c r="AR192" s="113" t="str">
        <f>IF(足元帳!A166="","",足元帳!A166)</f>
        <v/>
      </c>
      <c r="AS192" s="123">
        <f>COUNTIF(AR$4:AR192,AR192)</f>
        <v>189</v>
      </c>
    </row>
    <row r="193" spans="1:45" ht="23.45" customHeight="1">
      <c r="A193" s="586">
        <f t="shared" si="4"/>
        <v>166</v>
      </c>
      <c r="B193" s="566"/>
      <c r="C193" s="73" t="str">
        <f>IF(足元帳!AY167=1,"N",IF(足元帳!AY167=2,"R",""))</f>
        <v/>
      </c>
      <c r="D193" s="74" t="str">
        <f>IF(足元帳!AZ167&gt;0,VLOOKUP(足元帳!AZ167,管理シート!$R$4:$V$12,5,FALSE),"")</f>
        <v/>
      </c>
      <c r="E193" s="587" t="str">
        <f>IF(足元帳!J167="","",足元帳!J167)</f>
        <v/>
      </c>
      <c r="F193" s="566"/>
      <c r="G193" s="587" t="str">
        <f>IF(足元帳!K167="","",足元帳!K167)</f>
        <v/>
      </c>
      <c r="H193" s="565"/>
      <c r="I193" s="565"/>
      <c r="J193" s="566"/>
      <c r="K193" s="587" t="str">
        <f>IF(足元帳!BB167&gt;0,VLOOKUP(足元帳!BB167,管理シート!$R$4:$W$12,4,FALSE),"")</f>
        <v/>
      </c>
      <c r="L193" s="565"/>
      <c r="M193" s="566"/>
      <c r="N193" s="587" t="str">
        <f>IF(足元帳!U167="","",足元帳!U167)&amp;IF(足元帳!V167="","",足元帳!V167)&amp;IF(足元帳!W167="","",足元帳!W167)&amp;IF(足元帳!X167="","",足元帳!X167)&amp;IF(足元帳!Y167="","",足元帳!Y167)&amp;IF(足元帳!Z167="","",足元帳!Z167)</f>
        <v/>
      </c>
      <c r="O193" s="565"/>
      <c r="P193" s="565"/>
      <c r="Q193" s="565"/>
      <c r="R193" s="565"/>
      <c r="S193" s="566"/>
      <c r="T193" s="661" t="str">
        <f ca="1">IFERROR(INDEX(管理シート!$CB$3:$CK$24,MATCH(W193,管理シート!$CB$3:$CB$24,0),MATCH(K193,管理シート!$CB$3:$CM$3,0)),"")</f>
        <v/>
      </c>
      <c r="U193" s="661"/>
      <c r="V193" s="661"/>
      <c r="W193" s="587" t="str">
        <f ca="1">IF(ISERROR(MATCH("●",足元帳!AA167:AJ167,0)),"",INDIRECT("足元帳!R1C"&amp;MATCH("●",足元帳!AA167:AJ167,0)+26,FALSE))</f>
        <v/>
      </c>
      <c r="X193" s="565"/>
      <c r="Y193" s="566"/>
      <c r="Z193" s="587" t="str">
        <f>IF(足元帳!AL167="","","○")</f>
        <v/>
      </c>
      <c r="AA193" s="566"/>
      <c r="AB193" s="635" t="str">
        <f>IF(足元帳!AM167="","","現金カード払い"&amp;足元帳!AM167&amp;"  ")&amp;IF(足元帳!AP167="","",足元帳!AP167&amp;"　")&amp;IF(足元帳!AQ167="","",足元帳!AQ167&amp;"　")&amp;IF(足元帳!AR167="","",足元帳!AR167&amp;"　")&amp;IF(足元帳!AS167="","",足元帳!AS167&amp;"　")&amp;IF(足元帳!AT167="","",足元帳!AT167&amp;"　")&amp;IF(足元帳!AN167="","","LOVE×2")&amp;IF(足元帳!AJ167="","","MM"&amp;足元帳!AJ167)&amp;IF(足元帳!AW167="","",W193&amp;"利用"&amp;足元帳!AW167)&amp;IF(足元帳!AX167="",""," 優待券配布"&amp;足元帳!AX167)&amp;IF(足元帳!AU167="","","メルマガ")</f>
        <v/>
      </c>
      <c r="AC193" s="636"/>
      <c r="AD193" s="636"/>
      <c r="AE193" s="636"/>
      <c r="AF193" s="636"/>
      <c r="AG193" s="636"/>
      <c r="AH193" s="636"/>
      <c r="AI193" s="636"/>
      <c r="AJ193" s="636"/>
      <c r="AK193" s="636"/>
      <c r="AL193" s="636"/>
      <c r="AM193" s="636"/>
      <c r="AN193" s="636"/>
      <c r="AO193" s="636"/>
      <c r="AP193" s="636"/>
      <c r="AQ193" s="662"/>
      <c r="AR193" s="113" t="str">
        <f>IF(足元帳!A167="","",足元帳!A167)</f>
        <v/>
      </c>
      <c r="AS193" s="123">
        <f>COUNTIF(AR$4:AR193,AR193)</f>
        <v>190</v>
      </c>
    </row>
    <row r="194" spans="1:45" ht="23.45" customHeight="1">
      <c r="A194" s="586">
        <f t="shared" si="4"/>
        <v>167</v>
      </c>
      <c r="B194" s="566"/>
      <c r="C194" s="73" t="str">
        <f>IF(足元帳!AY168=1,"N",IF(足元帳!AY168=2,"R",""))</f>
        <v/>
      </c>
      <c r="D194" s="74" t="str">
        <f>IF(足元帳!AZ168&gt;0,VLOOKUP(足元帳!AZ168,管理シート!$R$4:$V$12,5,FALSE),"")</f>
        <v/>
      </c>
      <c r="E194" s="587" t="str">
        <f>IF(足元帳!J168="","",足元帳!J168)</f>
        <v/>
      </c>
      <c r="F194" s="566"/>
      <c r="G194" s="587" t="str">
        <f>IF(足元帳!K168="","",足元帳!K168)</f>
        <v/>
      </c>
      <c r="H194" s="565"/>
      <c r="I194" s="565"/>
      <c r="J194" s="566"/>
      <c r="K194" s="587" t="str">
        <f>IF(足元帳!BB168&gt;0,VLOOKUP(足元帳!BB168,管理シート!$R$4:$W$12,4,FALSE),"")</f>
        <v/>
      </c>
      <c r="L194" s="565"/>
      <c r="M194" s="566"/>
      <c r="N194" s="587" t="str">
        <f>IF(足元帳!U168="","",足元帳!U168)&amp;IF(足元帳!V168="","",足元帳!V168)&amp;IF(足元帳!W168="","",足元帳!W168)&amp;IF(足元帳!X168="","",足元帳!X168)&amp;IF(足元帳!Y168="","",足元帳!Y168)&amp;IF(足元帳!Z168="","",足元帳!Z168)</f>
        <v/>
      </c>
      <c r="O194" s="565"/>
      <c r="P194" s="565"/>
      <c r="Q194" s="565"/>
      <c r="R194" s="565"/>
      <c r="S194" s="566"/>
      <c r="T194" s="661" t="str">
        <f ca="1">IFERROR(INDEX(管理シート!$CB$3:$CK$24,MATCH(W194,管理シート!$CB$3:$CB$24,0),MATCH(K194,管理シート!$CB$3:$CM$3,0)),"")</f>
        <v/>
      </c>
      <c r="U194" s="661"/>
      <c r="V194" s="661"/>
      <c r="W194" s="587" t="str">
        <f ca="1">IF(ISERROR(MATCH("●",足元帳!AA168:AJ168,0)),"",INDIRECT("足元帳!R1C"&amp;MATCH("●",足元帳!AA168:AJ168,0)+26,FALSE))</f>
        <v/>
      </c>
      <c r="X194" s="565"/>
      <c r="Y194" s="566"/>
      <c r="Z194" s="587" t="str">
        <f>IF(足元帳!AL168="","","○")</f>
        <v/>
      </c>
      <c r="AA194" s="566"/>
      <c r="AB194" s="635" t="str">
        <f>IF(足元帳!AM168="","","現金カード払い"&amp;足元帳!AM168&amp;"  ")&amp;IF(足元帳!AP168="","",足元帳!AP168&amp;"　")&amp;IF(足元帳!AQ168="","",足元帳!AQ168&amp;"　")&amp;IF(足元帳!AR168="","",足元帳!AR168&amp;"　")&amp;IF(足元帳!AS168="","",足元帳!AS168&amp;"　")&amp;IF(足元帳!AT168="","",足元帳!AT168&amp;"　")&amp;IF(足元帳!AN168="","","LOVE×2")&amp;IF(足元帳!AJ168="","","MM"&amp;足元帳!AJ168)&amp;IF(足元帳!AW168="","",W194&amp;"利用"&amp;足元帳!AW168)&amp;IF(足元帳!AX168="",""," 優待券配布"&amp;足元帳!AX168)&amp;IF(足元帳!AU168="","","メルマガ")</f>
        <v/>
      </c>
      <c r="AC194" s="636"/>
      <c r="AD194" s="636"/>
      <c r="AE194" s="636"/>
      <c r="AF194" s="636"/>
      <c r="AG194" s="636"/>
      <c r="AH194" s="636"/>
      <c r="AI194" s="636"/>
      <c r="AJ194" s="636"/>
      <c r="AK194" s="636"/>
      <c r="AL194" s="636"/>
      <c r="AM194" s="636"/>
      <c r="AN194" s="636"/>
      <c r="AO194" s="636"/>
      <c r="AP194" s="636"/>
      <c r="AQ194" s="662"/>
      <c r="AR194" s="113" t="str">
        <f>IF(足元帳!A168="","",足元帳!A168)</f>
        <v/>
      </c>
      <c r="AS194" s="123">
        <f>COUNTIF(AR$4:AR194,AR194)</f>
        <v>191</v>
      </c>
    </row>
    <row r="195" spans="1:45" ht="23.45" customHeight="1">
      <c r="A195" s="586">
        <f t="shared" si="4"/>
        <v>168</v>
      </c>
      <c r="B195" s="566"/>
      <c r="C195" s="73" t="str">
        <f>IF(足元帳!AY169=1,"N",IF(足元帳!AY169=2,"R",""))</f>
        <v/>
      </c>
      <c r="D195" s="74" t="str">
        <f>IF(足元帳!AZ169&gt;0,VLOOKUP(足元帳!AZ169,管理シート!$R$4:$V$12,5,FALSE),"")</f>
        <v/>
      </c>
      <c r="E195" s="587" t="str">
        <f>IF(足元帳!J169="","",足元帳!J169)</f>
        <v/>
      </c>
      <c r="F195" s="566"/>
      <c r="G195" s="587" t="str">
        <f>IF(足元帳!K169="","",足元帳!K169)</f>
        <v/>
      </c>
      <c r="H195" s="565"/>
      <c r="I195" s="565"/>
      <c r="J195" s="566"/>
      <c r="K195" s="587" t="str">
        <f>IF(足元帳!BB169&gt;0,VLOOKUP(足元帳!BB169,管理シート!$R$4:$W$12,4,FALSE),"")</f>
        <v/>
      </c>
      <c r="L195" s="565"/>
      <c r="M195" s="566"/>
      <c r="N195" s="587" t="str">
        <f>IF(足元帳!U169="","",足元帳!U169)&amp;IF(足元帳!V169="","",足元帳!V169)&amp;IF(足元帳!W169="","",足元帳!W169)&amp;IF(足元帳!X169="","",足元帳!X169)&amp;IF(足元帳!Y169="","",足元帳!Y169)&amp;IF(足元帳!Z169="","",足元帳!Z169)</f>
        <v/>
      </c>
      <c r="O195" s="565"/>
      <c r="P195" s="565"/>
      <c r="Q195" s="565"/>
      <c r="R195" s="565"/>
      <c r="S195" s="566"/>
      <c r="T195" s="661" t="str">
        <f ca="1">IFERROR(INDEX(管理シート!$CB$3:$CK$24,MATCH(W195,管理シート!$CB$3:$CB$24,0),MATCH(K195,管理シート!$CB$3:$CM$3,0)),"")</f>
        <v/>
      </c>
      <c r="U195" s="661"/>
      <c r="V195" s="661"/>
      <c r="W195" s="587" t="str">
        <f ca="1">IF(ISERROR(MATCH("●",足元帳!AA169:AJ169,0)),"",INDIRECT("足元帳!R1C"&amp;MATCH("●",足元帳!AA169:AJ169,0)+26,FALSE))</f>
        <v/>
      </c>
      <c r="X195" s="565"/>
      <c r="Y195" s="566"/>
      <c r="Z195" s="587" t="str">
        <f>IF(足元帳!AL169="","","○")</f>
        <v/>
      </c>
      <c r="AA195" s="566"/>
      <c r="AB195" s="635" t="str">
        <f>IF(足元帳!AM169="","","現金カード払い"&amp;足元帳!AM169&amp;"  ")&amp;IF(足元帳!AP169="","",足元帳!AP169&amp;"　")&amp;IF(足元帳!AQ169="","",足元帳!AQ169&amp;"　")&amp;IF(足元帳!AR169="","",足元帳!AR169&amp;"　")&amp;IF(足元帳!AS169="","",足元帳!AS169&amp;"　")&amp;IF(足元帳!AT169="","",足元帳!AT169&amp;"　")&amp;IF(足元帳!AN169="","","LOVE×2")&amp;IF(足元帳!AJ169="","","MM"&amp;足元帳!AJ169)&amp;IF(足元帳!AW169="","",W195&amp;"利用"&amp;足元帳!AW169)&amp;IF(足元帳!AX169="",""," 優待券配布"&amp;足元帳!AX169)&amp;IF(足元帳!AU169="","","メルマガ")</f>
        <v/>
      </c>
      <c r="AC195" s="636"/>
      <c r="AD195" s="636"/>
      <c r="AE195" s="636"/>
      <c r="AF195" s="636"/>
      <c r="AG195" s="636"/>
      <c r="AH195" s="636"/>
      <c r="AI195" s="636"/>
      <c r="AJ195" s="636"/>
      <c r="AK195" s="636"/>
      <c r="AL195" s="636"/>
      <c r="AM195" s="636"/>
      <c r="AN195" s="636"/>
      <c r="AO195" s="636"/>
      <c r="AP195" s="636"/>
      <c r="AQ195" s="662"/>
      <c r="AR195" s="113" t="str">
        <f>IF(足元帳!A169="","",足元帳!A169)</f>
        <v/>
      </c>
      <c r="AS195" s="123">
        <f>COUNTIF(AR$4:AR195,AR195)</f>
        <v>192</v>
      </c>
    </row>
    <row r="196" spans="1:45" ht="23.45" customHeight="1">
      <c r="A196" s="586">
        <f t="shared" si="4"/>
        <v>169</v>
      </c>
      <c r="B196" s="566"/>
      <c r="C196" s="73" t="str">
        <f>IF(足元帳!AY170=1,"N",IF(足元帳!AY170=2,"R",""))</f>
        <v/>
      </c>
      <c r="D196" s="74" t="str">
        <f>IF(足元帳!AZ170&gt;0,VLOOKUP(足元帳!AZ170,管理シート!$R$4:$V$12,5,FALSE),"")</f>
        <v/>
      </c>
      <c r="E196" s="587" t="str">
        <f>IF(足元帳!J170="","",足元帳!J170)</f>
        <v/>
      </c>
      <c r="F196" s="566"/>
      <c r="G196" s="587" t="str">
        <f>IF(足元帳!K170="","",足元帳!K170)</f>
        <v/>
      </c>
      <c r="H196" s="565"/>
      <c r="I196" s="565"/>
      <c r="J196" s="566"/>
      <c r="K196" s="587" t="str">
        <f>IF(足元帳!BB170&gt;0,VLOOKUP(足元帳!BB170,管理シート!$R$4:$W$12,4,FALSE),"")</f>
        <v/>
      </c>
      <c r="L196" s="565"/>
      <c r="M196" s="566"/>
      <c r="N196" s="587" t="str">
        <f>IF(足元帳!U170="","",足元帳!U170)&amp;IF(足元帳!V170="","",足元帳!V170)&amp;IF(足元帳!W170="","",足元帳!W170)&amp;IF(足元帳!X170="","",足元帳!X170)&amp;IF(足元帳!Y170="","",足元帳!Y170)&amp;IF(足元帳!Z170="","",足元帳!Z170)</f>
        <v/>
      </c>
      <c r="O196" s="565"/>
      <c r="P196" s="565"/>
      <c r="Q196" s="565"/>
      <c r="R196" s="565"/>
      <c r="S196" s="566"/>
      <c r="T196" s="661" t="str">
        <f ca="1">IFERROR(INDEX(管理シート!$CB$3:$CK$24,MATCH(W196,管理シート!$CB$3:$CB$24,0),MATCH(K196,管理シート!$CB$3:$CM$3,0)),"")</f>
        <v/>
      </c>
      <c r="U196" s="661"/>
      <c r="V196" s="661"/>
      <c r="W196" s="587" t="str">
        <f ca="1">IF(ISERROR(MATCH("●",足元帳!AA170:AJ170,0)),"",INDIRECT("足元帳!R1C"&amp;MATCH("●",足元帳!AA170:AJ170,0)+26,FALSE))</f>
        <v/>
      </c>
      <c r="X196" s="565"/>
      <c r="Y196" s="566"/>
      <c r="Z196" s="587" t="str">
        <f>IF(足元帳!AL170="","","○")</f>
        <v/>
      </c>
      <c r="AA196" s="566"/>
      <c r="AB196" s="635" t="str">
        <f>IF(足元帳!AM170="","","現金カード払い"&amp;足元帳!AM170&amp;"  ")&amp;IF(足元帳!AP170="","",足元帳!AP170&amp;"　")&amp;IF(足元帳!AQ170="","",足元帳!AQ170&amp;"　")&amp;IF(足元帳!AR170="","",足元帳!AR170&amp;"　")&amp;IF(足元帳!AS170="","",足元帳!AS170&amp;"　")&amp;IF(足元帳!AT170="","",足元帳!AT170&amp;"　")&amp;IF(足元帳!AN170="","","LOVE×2")&amp;IF(足元帳!AJ170="","","MM"&amp;足元帳!AJ170)&amp;IF(足元帳!AW170="","",W196&amp;"利用"&amp;足元帳!AW170)&amp;IF(足元帳!AX170="",""," 優待券配布"&amp;足元帳!AX170)&amp;IF(足元帳!AU170="","","メルマガ")</f>
        <v/>
      </c>
      <c r="AC196" s="636"/>
      <c r="AD196" s="636"/>
      <c r="AE196" s="636"/>
      <c r="AF196" s="636"/>
      <c r="AG196" s="636"/>
      <c r="AH196" s="636"/>
      <c r="AI196" s="636"/>
      <c r="AJ196" s="636"/>
      <c r="AK196" s="636"/>
      <c r="AL196" s="636"/>
      <c r="AM196" s="636"/>
      <c r="AN196" s="636"/>
      <c r="AO196" s="636"/>
      <c r="AP196" s="636"/>
      <c r="AQ196" s="662"/>
      <c r="AR196" s="113" t="str">
        <f>IF(足元帳!A170="","",足元帳!A170)</f>
        <v/>
      </c>
      <c r="AS196" s="123">
        <f>COUNTIF(AR$4:AR196,AR196)</f>
        <v>193</v>
      </c>
    </row>
    <row r="197" spans="1:45" ht="23.45" customHeight="1">
      <c r="A197" s="586">
        <f t="shared" si="4"/>
        <v>170</v>
      </c>
      <c r="B197" s="566"/>
      <c r="C197" s="73" t="str">
        <f>IF(足元帳!AY171=1,"N",IF(足元帳!AY171=2,"R",""))</f>
        <v/>
      </c>
      <c r="D197" s="74" t="str">
        <f>IF(足元帳!AZ171&gt;0,VLOOKUP(足元帳!AZ171,管理シート!$R$4:$V$12,5,FALSE),"")</f>
        <v/>
      </c>
      <c r="E197" s="587" t="str">
        <f>IF(足元帳!J171="","",足元帳!J171)</f>
        <v/>
      </c>
      <c r="F197" s="566"/>
      <c r="G197" s="587" t="str">
        <f>IF(足元帳!K171="","",足元帳!K171)</f>
        <v/>
      </c>
      <c r="H197" s="565"/>
      <c r="I197" s="565"/>
      <c r="J197" s="566"/>
      <c r="K197" s="587" t="str">
        <f>IF(足元帳!BB171&gt;0,VLOOKUP(足元帳!BB171,管理シート!$R$4:$W$12,4,FALSE),"")</f>
        <v/>
      </c>
      <c r="L197" s="565"/>
      <c r="M197" s="566"/>
      <c r="N197" s="587" t="str">
        <f>IF(足元帳!U171="","",足元帳!U171)&amp;IF(足元帳!V171="","",足元帳!V171)&amp;IF(足元帳!W171="","",足元帳!W171)&amp;IF(足元帳!X171="","",足元帳!X171)&amp;IF(足元帳!Y171="","",足元帳!Y171)&amp;IF(足元帳!Z171="","",足元帳!Z171)</f>
        <v/>
      </c>
      <c r="O197" s="565"/>
      <c r="P197" s="565"/>
      <c r="Q197" s="565"/>
      <c r="R197" s="565"/>
      <c r="S197" s="566"/>
      <c r="T197" s="661" t="str">
        <f ca="1">IFERROR(INDEX(管理シート!$CB$3:$CK$24,MATCH(W197,管理シート!$CB$3:$CB$24,0),MATCH(K197,管理シート!$CB$3:$CM$3,0)),"")</f>
        <v/>
      </c>
      <c r="U197" s="661"/>
      <c r="V197" s="661"/>
      <c r="W197" s="587" t="str">
        <f ca="1">IF(ISERROR(MATCH("●",足元帳!AA171:AJ171,0)),"",INDIRECT("足元帳!R1C"&amp;MATCH("●",足元帳!AA171:AJ171,0)+26,FALSE))</f>
        <v/>
      </c>
      <c r="X197" s="565"/>
      <c r="Y197" s="566"/>
      <c r="Z197" s="587" t="str">
        <f>IF(足元帳!AL171="","","○")</f>
        <v/>
      </c>
      <c r="AA197" s="566"/>
      <c r="AB197" s="635" t="str">
        <f>IF(足元帳!AM171="","","現金カード払い"&amp;足元帳!AM171&amp;"  ")&amp;IF(足元帳!AP171="","",足元帳!AP171&amp;"　")&amp;IF(足元帳!AQ171="","",足元帳!AQ171&amp;"　")&amp;IF(足元帳!AR171="","",足元帳!AR171&amp;"　")&amp;IF(足元帳!AS171="","",足元帳!AS171&amp;"　")&amp;IF(足元帳!AT171="","",足元帳!AT171&amp;"　")&amp;IF(足元帳!AN171="","","LOVE×2")&amp;IF(足元帳!AJ171="","","MM"&amp;足元帳!AJ171)&amp;IF(足元帳!AW171="","",W197&amp;"利用"&amp;足元帳!AW171)&amp;IF(足元帳!AX171="",""," 優待券配布"&amp;足元帳!AX171)&amp;IF(足元帳!AU171="","","メルマガ")</f>
        <v/>
      </c>
      <c r="AC197" s="636"/>
      <c r="AD197" s="636"/>
      <c r="AE197" s="636"/>
      <c r="AF197" s="636"/>
      <c r="AG197" s="636"/>
      <c r="AH197" s="636"/>
      <c r="AI197" s="636"/>
      <c r="AJ197" s="636"/>
      <c r="AK197" s="636"/>
      <c r="AL197" s="636"/>
      <c r="AM197" s="636"/>
      <c r="AN197" s="636"/>
      <c r="AO197" s="636"/>
      <c r="AP197" s="636"/>
      <c r="AQ197" s="662"/>
      <c r="AR197" s="113" t="str">
        <f>IF(足元帳!A171="","",足元帳!A171)</f>
        <v/>
      </c>
      <c r="AS197" s="123">
        <f>COUNTIF(AR$4:AR197,AR197)</f>
        <v>194</v>
      </c>
    </row>
    <row r="198" spans="1:45" ht="23.45" customHeight="1">
      <c r="A198" s="586">
        <f t="shared" si="4"/>
        <v>171</v>
      </c>
      <c r="B198" s="566"/>
      <c r="C198" s="73" t="str">
        <f>IF(足元帳!AY172=1,"N",IF(足元帳!AY172=2,"R",""))</f>
        <v/>
      </c>
      <c r="D198" s="74" t="str">
        <f>IF(足元帳!AZ172&gt;0,VLOOKUP(足元帳!AZ172,管理シート!$R$4:$V$12,5,FALSE),"")</f>
        <v/>
      </c>
      <c r="E198" s="587" t="str">
        <f>IF(足元帳!J172="","",足元帳!J172)</f>
        <v/>
      </c>
      <c r="F198" s="566"/>
      <c r="G198" s="587" t="str">
        <f>IF(足元帳!K172="","",足元帳!K172)</f>
        <v/>
      </c>
      <c r="H198" s="565"/>
      <c r="I198" s="565"/>
      <c r="J198" s="566"/>
      <c r="K198" s="587" t="str">
        <f>IF(足元帳!BB172&gt;0,VLOOKUP(足元帳!BB172,管理シート!$R$4:$W$12,4,FALSE),"")</f>
        <v/>
      </c>
      <c r="L198" s="565"/>
      <c r="M198" s="566"/>
      <c r="N198" s="587" t="str">
        <f>IF(足元帳!U172="","",足元帳!U172)&amp;IF(足元帳!V172="","",足元帳!V172)&amp;IF(足元帳!W172="","",足元帳!W172)&amp;IF(足元帳!X172="","",足元帳!X172)&amp;IF(足元帳!Y172="","",足元帳!Y172)&amp;IF(足元帳!Z172="","",足元帳!Z172)</f>
        <v/>
      </c>
      <c r="O198" s="565"/>
      <c r="P198" s="565"/>
      <c r="Q198" s="565"/>
      <c r="R198" s="565"/>
      <c r="S198" s="566"/>
      <c r="T198" s="661" t="str">
        <f ca="1">IFERROR(INDEX(管理シート!$CB$3:$CK$24,MATCH(W198,管理シート!$CB$3:$CB$24,0),MATCH(K198,管理シート!$CB$3:$CM$3,0)),"")</f>
        <v/>
      </c>
      <c r="U198" s="661"/>
      <c r="V198" s="661"/>
      <c r="W198" s="587" t="str">
        <f ca="1">IF(ISERROR(MATCH("●",足元帳!AA172:AJ172,0)),"",INDIRECT("足元帳!R1C"&amp;MATCH("●",足元帳!AA172:AJ172,0)+26,FALSE))</f>
        <v/>
      </c>
      <c r="X198" s="565"/>
      <c r="Y198" s="566"/>
      <c r="Z198" s="587" t="str">
        <f>IF(足元帳!AL172="","","○")</f>
        <v/>
      </c>
      <c r="AA198" s="566"/>
      <c r="AB198" s="635" t="str">
        <f>IF(足元帳!AM172="","","現金カード払い"&amp;足元帳!AM172&amp;"  ")&amp;IF(足元帳!AP172="","",足元帳!AP172&amp;"　")&amp;IF(足元帳!AQ172="","",足元帳!AQ172&amp;"　")&amp;IF(足元帳!AR172="","",足元帳!AR172&amp;"　")&amp;IF(足元帳!AS172="","",足元帳!AS172&amp;"　")&amp;IF(足元帳!AT172="","",足元帳!AT172&amp;"　")&amp;IF(足元帳!AN172="","","LOVE×2")&amp;IF(足元帳!AJ172="","","MM"&amp;足元帳!AJ172)&amp;IF(足元帳!AW172="","",W198&amp;"利用"&amp;足元帳!AW172)&amp;IF(足元帳!AX172="",""," 優待券配布"&amp;足元帳!AX172)&amp;IF(足元帳!AU172="","","メルマガ")</f>
        <v/>
      </c>
      <c r="AC198" s="636"/>
      <c r="AD198" s="636"/>
      <c r="AE198" s="636"/>
      <c r="AF198" s="636"/>
      <c r="AG198" s="636"/>
      <c r="AH198" s="636"/>
      <c r="AI198" s="636"/>
      <c r="AJ198" s="636"/>
      <c r="AK198" s="636"/>
      <c r="AL198" s="636"/>
      <c r="AM198" s="636"/>
      <c r="AN198" s="636"/>
      <c r="AO198" s="636"/>
      <c r="AP198" s="636"/>
      <c r="AQ198" s="662"/>
      <c r="AR198" s="113" t="str">
        <f>IF(足元帳!A172="","",足元帳!A172)</f>
        <v/>
      </c>
      <c r="AS198" s="123">
        <f>COUNTIF(AR$4:AR198,AR198)</f>
        <v>195</v>
      </c>
    </row>
    <row r="199" spans="1:45" ht="23.45" customHeight="1">
      <c r="A199" s="586">
        <f t="shared" si="4"/>
        <v>172</v>
      </c>
      <c r="B199" s="566"/>
      <c r="C199" s="73" t="str">
        <f>IF(足元帳!AY173=1,"N",IF(足元帳!AY173=2,"R",""))</f>
        <v/>
      </c>
      <c r="D199" s="74" t="str">
        <f>IF(足元帳!AZ173&gt;0,VLOOKUP(足元帳!AZ173,管理シート!$R$4:$V$12,5,FALSE),"")</f>
        <v/>
      </c>
      <c r="E199" s="587" t="str">
        <f>IF(足元帳!J173="","",足元帳!J173)</f>
        <v/>
      </c>
      <c r="F199" s="566"/>
      <c r="G199" s="587" t="str">
        <f>IF(足元帳!K173="","",足元帳!K173)</f>
        <v/>
      </c>
      <c r="H199" s="565"/>
      <c r="I199" s="565"/>
      <c r="J199" s="566"/>
      <c r="K199" s="587" t="str">
        <f>IF(足元帳!BB173&gt;0,VLOOKUP(足元帳!BB173,管理シート!$R$4:$W$12,4,FALSE),"")</f>
        <v/>
      </c>
      <c r="L199" s="565"/>
      <c r="M199" s="566"/>
      <c r="N199" s="587" t="str">
        <f>IF(足元帳!U173="","",足元帳!U173)&amp;IF(足元帳!V173="","",足元帳!V173)&amp;IF(足元帳!W173="","",足元帳!W173)&amp;IF(足元帳!X173="","",足元帳!X173)&amp;IF(足元帳!Y173="","",足元帳!Y173)&amp;IF(足元帳!Z173="","",足元帳!Z173)</f>
        <v/>
      </c>
      <c r="O199" s="565"/>
      <c r="P199" s="565"/>
      <c r="Q199" s="565"/>
      <c r="R199" s="565"/>
      <c r="S199" s="566"/>
      <c r="T199" s="661" t="str">
        <f ca="1">IFERROR(INDEX(管理シート!$CB$3:$CK$24,MATCH(W199,管理シート!$CB$3:$CB$24,0),MATCH(K199,管理シート!$CB$3:$CM$3,0)),"")</f>
        <v/>
      </c>
      <c r="U199" s="661"/>
      <c r="V199" s="661"/>
      <c r="W199" s="587" t="str">
        <f ca="1">IF(ISERROR(MATCH("●",足元帳!AA173:AJ173,0)),"",INDIRECT("足元帳!R1C"&amp;MATCH("●",足元帳!AA173:AJ173,0)+26,FALSE))</f>
        <v/>
      </c>
      <c r="X199" s="565"/>
      <c r="Y199" s="566"/>
      <c r="Z199" s="587" t="str">
        <f>IF(足元帳!AL173="","","○")</f>
        <v/>
      </c>
      <c r="AA199" s="566"/>
      <c r="AB199" s="635" t="str">
        <f>IF(足元帳!AM173="","","現金カード払い"&amp;足元帳!AM173&amp;"  ")&amp;IF(足元帳!AP173="","",足元帳!AP173&amp;"　")&amp;IF(足元帳!AQ173="","",足元帳!AQ173&amp;"　")&amp;IF(足元帳!AR173="","",足元帳!AR173&amp;"　")&amp;IF(足元帳!AS173="","",足元帳!AS173&amp;"　")&amp;IF(足元帳!AT173="","",足元帳!AT173&amp;"　")&amp;IF(足元帳!AN173="","","LOVE×2")&amp;IF(足元帳!AJ173="","","MM"&amp;足元帳!AJ173)&amp;IF(足元帳!AW173="","",W199&amp;"利用"&amp;足元帳!AW173)&amp;IF(足元帳!AX173="",""," 優待券配布"&amp;足元帳!AX173)&amp;IF(足元帳!AU173="","","メルマガ")</f>
        <v/>
      </c>
      <c r="AC199" s="636"/>
      <c r="AD199" s="636"/>
      <c r="AE199" s="636"/>
      <c r="AF199" s="636"/>
      <c r="AG199" s="636"/>
      <c r="AH199" s="636"/>
      <c r="AI199" s="636"/>
      <c r="AJ199" s="636"/>
      <c r="AK199" s="636"/>
      <c r="AL199" s="636"/>
      <c r="AM199" s="636"/>
      <c r="AN199" s="636"/>
      <c r="AO199" s="636"/>
      <c r="AP199" s="636"/>
      <c r="AQ199" s="662"/>
      <c r="AR199" s="113" t="str">
        <f>IF(足元帳!A173="","",足元帳!A173)</f>
        <v/>
      </c>
      <c r="AS199" s="123">
        <f>COUNTIF(AR$4:AR199,AR199)</f>
        <v>196</v>
      </c>
    </row>
    <row r="200" spans="1:45" ht="23.45" customHeight="1">
      <c r="A200" s="586">
        <f t="shared" si="4"/>
        <v>173</v>
      </c>
      <c r="B200" s="566"/>
      <c r="C200" s="73" t="str">
        <f>IF(足元帳!AY174=1,"N",IF(足元帳!AY174=2,"R",""))</f>
        <v/>
      </c>
      <c r="D200" s="74" t="str">
        <f>IF(足元帳!AZ174&gt;0,VLOOKUP(足元帳!AZ174,管理シート!$R$4:$V$12,5,FALSE),"")</f>
        <v/>
      </c>
      <c r="E200" s="587" t="str">
        <f>IF(足元帳!J174="","",足元帳!J174)</f>
        <v/>
      </c>
      <c r="F200" s="566"/>
      <c r="G200" s="587" t="str">
        <f>IF(足元帳!K174="","",足元帳!K174)</f>
        <v/>
      </c>
      <c r="H200" s="565"/>
      <c r="I200" s="565"/>
      <c r="J200" s="566"/>
      <c r="K200" s="587" t="str">
        <f>IF(足元帳!BB174&gt;0,VLOOKUP(足元帳!BB174,管理シート!$R$4:$W$12,4,FALSE),"")</f>
        <v/>
      </c>
      <c r="L200" s="565"/>
      <c r="M200" s="566"/>
      <c r="N200" s="587" t="str">
        <f>IF(足元帳!U174="","",足元帳!U174)&amp;IF(足元帳!V174="","",足元帳!V174)&amp;IF(足元帳!W174="","",足元帳!W174)&amp;IF(足元帳!X174="","",足元帳!X174)&amp;IF(足元帳!Y174="","",足元帳!Y174)&amp;IF(足元帳!Z174="","",足元帳!Z174)</f>
        <v/>
      </c>
      <c r="O200" s="565"/>
      <c r="P200" s="565"/>
      <c r="Q200" s="565"/>
      <c r="R200" s="565"/>
      <c r="S200" s="566"/>
      <c r="T200" s="661" t="str">
        <f ca="1">IFERROR(INDEX(管理シート!$CB$3:$CK$24,MATCH(W200,管理シート!$CB$3:$CB$24,0),MATCH(K200,管理シート!$CB$3:$CM$3,0)),"")</f>
        <v/>
      </c>
      <c r="U200" s="661"/>
      <c r="V200" s="661"/>
      <c r="W200" s="587" t="str">
        <f ca="1">IF(ISERROR(MATCH("●",足元帳!AA174:AJ174,0)),"",INDIRECT("足元帳!R1C"&amp;MATCH("●",足元帳!AA174:AJ174,0)+26,FALSE))</f>
        <v/>
      </c>
      <c r="X200" s="565"/>
      <c r="Y200" s="566"/>
      <c r="Z200" s="587" t="str">
        <f>IF(足元帳!AL174="","","○")</f>
        <v/>
      </c>
      <c r="AA200" s="566"/>
      <c r="AB200" s="635" t="str">
        <f>IF(足元帳!AM174="","","現金カード払い"&amp;足元帳!AM174&amp;"  ")&amp;IF(足元帳!AP174="","",足元帳!AP174&amp;"　")&amp;IF(足元帳!AQ174="","",足元帳!AQ174&amp;"　")&amp;IF(足元帳!AR174="","",足元帳!AR174&amp;"　")&amp;IF(足元帳!AS174="","",足元帳!AS174&amp;"　")&amp;IF(足元帳!AT174="","",足元帳!AT174&amp;"　")&amp;IF(足元帳!AN174="","","LOVE×2")&amp;IF(足元帳!AJ174="","","MM"&amp;足元帳!AJ174)&amp;IF(足元帳!AW174="","",W200&amp;"利用"&amp;足元帳!AW174)&amp;IF(足元帳!AX174="",""," 優待券配布"&amp;足元帳!AX174)&amp;IF(足元帳!AU174="","","メルマガ")</f>
        <v/>
      </c>
      <c r="AC200" s="636"/>
      <c r="AD200" s="636"/>
      <c r="AE200" s="636"/>
      <c r="AF200" s="636"/>
      <c r="AG200" s="636"/>
      <c r="AH200" s="636"/>
      <c r="AI200" s="636"/>
      <c r="AJ200" s="636"/>
      <c r="AK200" s="636"/>
      <c r="AL200" s="636"/>
      <c r="AM200" s="636"/>
      <c r="AN200" s="636"/>
      <c r="AO200" s="636"/>
      <c r="AP200" s="636"/>
      <c r="AQ200" s="662"/>
      <c r="AR200" s="113" t="str">
        <f>IF(足元帳!A174="","",足元帳!A174)</f>
        <v/>
      </c>
      <c r="AS200" s="123">
        <f>COUNTIF(AR$4:AR200,AR200)</f>
        <v>197</v>
      </c>
    </row>
    <row r="201" spans="1:45" ht="23.45" customHeight="1">
      <c r="A201" s="586">
        <f t="shared" si="4"/>
        <v>174</v>
      </c>
      <c r="B201" s="566"/>
      <c r="C201" s="73" t="str">
        <f>IF(足元帳!AY175=1,"N",IF(足元帳!AY175=2,"R",""))</f>
        <v/>
      </c>
      <c r="D201" s="74" t="str">
        <f>IF(足元帳!AZ175&gt;0,VLOOKUP(足元帳!AZ175,管理シート!$R$4:$V$12,5,FALSE),"")</f>
        <v/>
      </c>
      <c r="E201" s="587" t="str">
        <f>IF(足元帳!J175="","",足元帳!J175)</f>
        <v/>
      </c>
      <c r="F201" s="566"/>
      <c r="G201" s="587" t="str">
        <f>IF(足元帳!K175="","",足元帳!K175)</f>
        <v/>
      </c>
      <c r="H201" s="565"/>
      <c r="I201" s="565"/>
      <c r="J201" s="566"/>
      <c r="K201" s="587" t="str">
        <f>IF(足元帳!BB175&gt;0,VLOOKUP(足元帳!BB175,管理シート!$R$4:$W$12,4,FALSE),"")</f>
        <v/>
      </c>
      <c r="L201" s="565"/>
      <c r="M201" s="566"/>
      <c r="N201" s="587" t="str">
        <f>IF(足元帳!U175="","",足元帳!U175)&amp;IF(足元帳!V175="","",足元帳!V175)&amp;IF(足元帳!W175="","",足元帳!W175)&amp;IF(足元帳!X175="","",足元帳!X175)&amp;IF(足元帳!Y175="","",足元帳!Y175)&amp;IF(足元帳!Z175="","",足元帳!Z175)</f>
        <v/>
      </c>
      <c r="O201" s="565"/>
      <c r="P201" s="565"/>
      <c r="Q201" s="565"/>
      <c r="R201" s="565"/>
      <c r="S201" s="566"/>
      <c r="T201" s="661" t="str">
        <f ca="1">IFERROR(INDEX(管理シート!$CB$3:$CK$24,MATCH(W201,管理シート!$CB$3:$CB$24,0),MATCH(K201,管理シート!$CB$3:$CM$3,0)),"")</f>
        <v/>
      </c>
      <c r="U201" s="661"/>
      <c r="V201" s="661"/>
      <c r="W201" s="587" t="str">
        <f ca="1">IF(ISERROR(MATCH("●",足元帳!AA175:AJ175,0)),"",INDIRECT("足元帳!R1C"&amp;MATCH("●",足元帳!AA175:AJ175,0)+26,FALSE))</f>
        <v/>
      </c>
      <c r="X201" s="565"/>
      <c r="Y201" s="566"/>
      <c r="Z201" s="587" t="str">
        <f>IF(足元帳!AL175="","","○")</f>
        <v/>
      </c>
      <c r="AA201" s="566"/>
      <c r="AB201" s="635" t="str">
        <f>IF(足元帳!AM175="","","現金カード払い"&amp;足元帳!AM175&amp;"  ")&amp;IF(足元帳!AP175="","",足元帳!AP175&amp;"　")&amp;IF(足元帳!AQ175="","",足元帳!AQ175&amp;"　")&amp;IF(足元帳!AR175="","",足元帳!AR175&amp;"　")&amp;IF(足元帳!AS175="","",足元帳!AS175&amp;"　")&amp;IF(足元帳!AT175="","",足元帳!AT175&amp;"　")&amp;IF(足元帳!AN175="","","LOVE×2")&amp;IF(足元帳!AJ175="","","MM"&amp;足元帳!AJ175)&amp;IF(足元帳!AW175="","",W201&amp;"利用"&amp;足元帳!AW175)&amp;IF(足元帳!AX175="",""," 優待券配布"&amp;足元帳!AX175)&amp;IF(足元帳!AU175="","","メルマガ")</f>
        <v/>
      </c>
      <c r="AC201" s="636"/>
      <c r="AD201" s="636"/>
      <c r="AE201" s="636"/>
      <c r="AF201" s="636"/>
      <c r="AG201" s="636"/>
      <c r="AH201" s="636"/>
      <c r="AI201" s="636"/>
      <c r="AJ201" s="636"/>
      <c r="AK201" s="636"/>
      <c r="AL201" s="636"/>
      <c r="AM201" s="636"/>
      <c r="AN201" s="636"/>
      <c r="AO201" s="636"/>
      <c r="AP201" s="636"/>
      <c r="AQ201" s="662"/>
      <c r="AR201" s="113" t="str">
        <f>IF(足元帳!A175="","",足元帳!A175)</f>
        <v/>
      </c>
      <c r="AS201" s="123">
        <f>COUNTIF(AR$4:AR201,AR201)</f>
        <v>198</v>
      </c>
    </row>
    <row r="202" spans="1:45" ht="23.45" customHeight="1">
      <c r="A202" s="586">
        <f t="shared" si="4"/>
        <v>175</v>
      </c>
      <c r="B202" s="566"/>
      <c r="C202" s="73" t="str">
        <f>IF(足元帳!AY176=1,"N",IF(足元帳!AY176=2,"R",""))</f>
        <v/>
      </c>
      <c r="D202" s="74" t="str">
        <f>IF(足元帳!AZ176&gt;0,VLOOKUP(足元帳!AZ176,管理シート!$R$4:$V$12,5,FALSE),"")</f>
        <v/>
      </c>
      <c r="E202" s="587" t="str">
        <f>IF(足元帳!J176="","",足元帳!J176)</f>
        <v/>
      </c>
      <c r="F202" s="566"/>
      <c r="G202" s="587" t="str">
        <f>IF(足元帳!K176="","",足元帳!K176)</f>
        <v/>
      </c>
      <c r="H202" s="565"/>
      <c r="I202" s="565"/>
      <c r="J202" s="566"/>
      <c r="K202" s="587" t="str">
        <f>IF(足元帳!BB176&gt;0,VLOOKUP(足元帳!BB176,管理シート!$R$4:$W$12,4,FALSE),"")</f>
        <v/>
      </c>
      <c r="L202" s="565"/>
      <c r="M202" s="566"/>
      <c r="N202" s="587" t="str">
        <f>IF(足元帳!U176="","",足元帳!U176)&amp;IF(足元帳!V176="","",足元帳!V176)&amp;IF(足元帳!W176="","",足元帳!W176)&amp;IF(足元帳!X176="","",足元帳!X176)&amp;IF(足元帳!Y176="","",足元帳!Y176)&amp;IF(足元帳!Z176="","",足元帳!Z176)</f>
        <v/>
      </c>
      <c r="O202" s="565"/>
      <c r="P202" s="565"/>
      <c r="Q202" s="565"/>
      <c r="R202" s="565"/>
      <c r="S202" s="566"/>
      <c r="T202" s="661" t="str">
        <f ca="1">IFERROR(INDEX(管理シート!$CB$3:$CK$24,MATCH(W202,管理シート!$CB$3:$CB$24,0),MATCH(K202,管理シート!$CB$3:$CM$3,0)),"")</f>
        <v/>
      </c>
      <c r="U202" s="661"/>
      <c r="V202" s="661"/>
      <c r="W202" s="587" t="str">
        <f ca="1">IF(ISERROR(MATCH("●",足元帳!AA176:AJ176,0)),"",INDIRECT("足元帳!R1C"&amp;MATCH("●",足元帳!AA176:AJ176,0)+26,FALSE))</f>
        <v/>
      </c>
      <c r="X202" s="565"/>
      <c r="Y202" s="566"/>
      <c r="Z202" s="587" t="str">
        <f>IF(足元帳!AL176="","","○")</f>
        <v/>
      </c>
      <c r="AA202" s="566"/>
      <c r="AB202" s="635" t="str">
        <f>IF(足元帳!AM176="","","現金カード払い"&amp;足元帳!AM176&amp;"  ")&amp;IF(足元帳!AP176="","",足元帳!AP176&amp;"　")&amp;IF(足元帳!AQ176="","",足元帳!AQ176&amp;"　")&amp;IF(足元帳!AR176="","",足元帳!AR176&amp;"　")&amp;IF(足元帳!AS176="","",足元帳!AS176&amp;"　")&amp;IF(足元帳!AT176="","",足元帳!AT176&amp;"　")&amp;IF(足元帳!AN176="","","LOVE×2")&amp;IF(足元帳!AJ176="","","MM"&amp;足元帳!AJ176)&amp;IF(足元帳!AW176="","",W202&amp;"利用"&amp;足元帳!AW176)&amp;IF(足元帳!AX176="",""," 優待券配布"&amp;足元帳!AX176)&amp;IF(足元帳!AU176="","","メルマガ")</f>
        <v/>
      </c>
      <c r="AC202" s="636"/>
      <c r="AD202" s="636"/>
      <c r="AE202" s="636"/>
      <c r="AF202" s="636"/>
      <c r="AG202" s="636"/>
      <c r="AH202" s="636"/>
      <c r="AI202" s="636"/>
      <c r="AJ202" s="636"/>
      <c r="AK202" s="636"/>
      <c r="AL202" s="636"/>
      <c r="AM202" s="636"/>
      <c r="AN202" s="636"/>
      <c r="AO202" s="636"/>
      <c r="AP202" s="636"/>
      <c r="AQ202" s="662"/>
      <c r="AR202" s="113" t="str">
        <f>IF(足元帳!A176="","",足元帳!A176)</f>
        <v/>
      </c>
      <c r="AS202" s="123">
        <f>COUNTIF(AR$4:AR202,AR202)</f>
        <v>199</v>
      </c>
    </row>
    <row r="203" spans="1:45" ht="23.45" customHeight="1">
      <c r="A203" s="586">
        <f t="shared" si="4"/>
        <v>176</v>
      </c>
      <c r="B203" s="566"/>
      <c r="C203" s="73" t="str">
        <f>IF(足元帳!AY177=1,"N",IF(足元帳!AY177=2,"R",""))</f>
        <v/>
      </c>
      <c r="D203" s="74" t="str">
        <f>IF(足元帳!AZ177&gt;0,VLOOKUP(足元帳!AZ177,管理シート!$R$4:$V$12,5,FALSE),"")</f>
        <v/>
      </c>
      <c r="E203" s="587" t="str">
        <f>IF(足元帳!J177="","",足元帳!J177)</f>
        <v/>
      </c>
      <c r="F203" s="566"/>
      <c r="G203" s="587" t="str">
        <f>IF(足元帳!K177="","",足元帳!K177)</f>
        <v/>
      </c>
      <c r="H203" s="565"/>
      <c r="I203" s="565"/>
      <c r="J203" s="566"/>
      <c r="K203" s="587" t="str">
        <f>IF(足元帳!BB177&gt;0,VLOOKUP(足元帳!BB177,管理シート!$R$4:$W$12,4,FALSE),"")</f>
        <v/>
      </c>
      <c r="L203" s="565"/>
      <c r="M203" s="566"/>
      <c r="N203" s="587" t="str">
        <f>IF(足元帳!U177="","",足元帳!U177)&amp;IF(足元帳!V177="","",足元帳!V177)&amp;IF(足元帳!W177="","",足元帳!W177)&amp;IF(足元帳!X177="","",足元帳!X177)&amp;IF(足元帳!Y177="","",足元帳!Y177)&amp;IF(足元帳!Z177="","",足元帳!Z177)</f>
        <v/>
      </c>
      <c r="O203" s="565"/>
      <c r="P203" s="565"/>
      <c r="Q203" s="565"/>
      <c r="R203" s="565"/>
      <c r="S203" s="566"/>
      <c r="T203" s="661" t="str">
        <f ca="1">IFERROR(INDEX(管理シート!$CB$3:$CK$24,MATCH(W203,管理シート!$CB$3:$CB$24,0),MATCH(K203,管理シート!$CB$3:$CM$3,0)),"")</f>
        <v/>
      </c>
      <c r="U203" s="661"/>
      <c r="V203" s="661"/>
      <c r="W203" s="587" t="str">
        <f ca="1">IF(ISERROR(MATCH("●",足元帳!AA177:AJ177,0)),"",INDIRECT("足元帳!R1C"&amp;MATCH("●",足元帳!AA177:AJ177,0)+26,FALSE))</f>
        <v/>
      </c>
      <c r="X203" s="565"/>
      <c r="Y203" s="566"/>
      <c r="Z203" s="587" t="str">
        <f>IF(足元帳!AL177="","","○")</f>
        <v/>
      </c>
      <c r="AA203" s="566"/>
      <c r="AB203" s="635" t="str">
        <f>IF(足元帳!AM177="","","現金カード払い"&amp;足元帳!AM177&amp;"  ")&amp;IF(足元帳!AP177="","",足元帳!AP177&amp;"　")&amp;IF(足元帳!AQ177="","",足元帳!AQ177&amp;"　")&amp;IF(足元帳!AR177="","",足元帳!AR177&amp;"　")&amp;IF(足元帳!AS177="","",足元帳!AS177&amp;"　")&amp;IF(足元帳!AT177="","",足元帳!AT177&amp;"　")&amp;IF(足元帳!AN177="","","LOVE×2")&amp;IF(足元帳!AJ177="","","MM"&amp;足元帳!AJ177)&amp;IF(足元帳!AW177="","",W203&amp;"利用"&amp;足元帳!AW177)&amp;IF(足元帳!AX177="",""," 優待券配布"&amp;足元帳!AX177)&amp;IF(足元帳!AU177="","","メルマガ")</f>
        <v/>
      </c>
      <c r="AC203" s="636"/>
      <c r="AD203" s="636"/>
      <c r="AE203" s="636"/>
      <c r="AF203" s="636"/>
      <c r="AG203" s="636"/>
      <c r="AH203" s="636"/>
      <c r="AI203" s="636"/>
      <c r="AJ203" s="636"/>
      <c r="AK203" s="636"/>
      <c r="AL203" s="636"/>
      <c r="AM203" s="636"/>
      <c r="AN203" s="636"/>
      <c r="AO203" s="636"/>
      <c r="AP203" s="636"/>
      <c r="AQ203" s="662"/>
      <c r="AR203" s="113" t="str">
        <f>IF(足元帳!A177="","",足元帳!A177)</f>
        <v/>
      </c>
      <c r="AS203" s="123">
        <f>COUNTIF(AR$4:AR203,AR203)</f>
        <v>200</v>
      </c>
    </row>
    <row r="204" spans="1:45" ht="23.45" customHeight="1">
      <c r="A204" s="586">
        <f t="shared" si="4"/>
        <v>177</v>
      </c>
      <c r="B204" s="566"/>
      <c r="C204" s="73" t="str">
        <f>IF(足元帳!AY178=1,"N",IF(足元帳!AY178=2,"R",""))</f>
        <v/>
      </c>
      <c r="D204" s="74" t="str">
        <f>IF(足元帳!AZ178&gt;0,VLOOKUP(足元帳!AZ178,管理シート!$R$4:$V$12,5,FALSE),"")</f>
        <v/>
      </c>
      <c r="E204" s="587" t="str">
        <f>IF(足元帳!J178="","",足元帳!J178)</f>
        <v/>
      </c>
      <c r="F204" s="566"/>
      <c r="G204" s="587" t="str">
        <f>IF(足元帳!K178="","",足元帳!K178)</f>
        <v/>
      </c>
      <c r="H204" s="565"/>
      <c r="I204" s="565"/>
      <c r="J204" s="566"/>
      <c r="K204" s="587" t="str">
        <f>IF(足元帳!BB178&gt;0,VLOOKUP(足元帳!BB178,管理シート!$R$4:$W$12,4,FALSE),"")</f>
        <v/>
      </c>
      <c r="L204" s="565"/>
      <c r="M204" s="566"/>
      <c r="N204" s="587" t="str">
        <f>IF(足元帳!U178="","",足元帳!U178)&amp;IF(足元帳!V178="","",足元帳!V178)&amp;IF(足元帳!W178="","",足元帳!W178)&amp;IF(足元帳!X178="","",足元帳!X178)&amp;IF(足元帳!Y178="","",足元帳!Y178)&amp;IF(足元帳!Z178="","",足元帳!Z178)</f>
        <v/>
      </c>
      <c r="O204" s="565"/>
      <c r="P204" s="565"/>
      <c r="Q204" s="565"/>
      <c r="R204" s="565"/>
      <c r="S204" s="566"/>
      <c r="T204" s="661" t="str">
        <f ca="1">IFERROR(INDEX(管理シート!$CB$3:$CK$24,MATCH(W204,管理シート!$CB$3:$CB$24,0),MATCH(K204,管理シート!$CB$3:$CM$3,0)),"")</f>
        <v/>
      </c>
      <c r="U204" s="661"/>
      <c r="V204" s="661"/>
      <c r="W204" s="587" t="str">
        <f ca="1">IF(ISERROR(MATCH("●",足元帳!AA178:AJ178,0)),"",INDIRECT("足元帳!R1C"&amp;MATCH("●",足元帳!AA178:AJ178,0)+26,FALSE))</f>
        <v/>
      </c>
      <c r="X204" s="565"/>
      <c r="Y204" s="566"/>
      <c r="Z204" s="587" t="str">
        <f>IF(足元帳!AL178="","","○")</f>
        <v/>
      </c>
      <c r="AA204" s="566"/>
      <c r="AB204" s="635" t="str">
        <f>IF(足元帳!AM178="","","現金カード払い"&amp;足元帳!AM178&amp;"  ")&amp;IF(足元帳!AP178="","",足元帳!AP178&amp;"　")&amp;IF(足元帳!AQ178="","",足元帳!AQ178&amp;"　")&amp;IF(足元帳!AR178="","",足元帳!AR178&amp;"　")&amp;IF(足元帳!AS178="","",足元帳!AS178&amp;"　")&amp;IF(足元帳!AT178="","",足元帳!AT178&amp;"　")&amp;IF(足元帳!AN178="","","LOVE×2")&amp;IF(足元帳!AJ178="","","MM"&amp;足元帳!AJ178)&amp;IF(足元帳!AW178="","",W204&amp;"利用"&amp;足元帳!AW178)&amp;IF(足元帳!AX178="",""," 優待券配布"&amp;足元帳!AX178)&amp;IF(足元帳!AU178="","","メルマガ")</f>
        <v/>
      </c>
      <c r="AC204" s="636"/>
      <c r="AD204" s="636"/>
      <c r="AE204" s="636"/>
      <c r="AF204" s="636"/>
      <c r="AG204" s="636"/>
      <c r="AH204" s="636"/>
      <c r="AI204" s="636"/>
      <c r="AJ204" s="636"/>
      <c r="AK204" s="636"/>
      <c r="AL204" s="636"/>
      <c r="AM204" s="636"/>
      <c r="AN204" s="636"/>
      <c r="AO204" s="636"/>
      <c r="AP204" s="636"/>
      <c r="AQ204" s="662"/>
      <c r="AR204" s="113" t="str">
        <f>IF(足元帳!A178="","",足元帳!A178)</f>
        <v/>
      </c>
      <c r="AS204" s="123">
        <f>COUNTIF(AR$4:AR204,AR204)</f>
        <v>201</v>
      </c>
    </row>
    <row r="205" spans="1:45" ht="23.45" customHeight="1">
      <c r="A205" s="586">
        <f t="shared" si="4"/>
        <v>178</v>
      </c>
      <c r="B205" s="566"/>
      <c r="C205" s="73" t="str">
        <f>IF(足元帳!AY179=1,"N",IF(足元帳!AY179=2,"R",""))</f>
        <v/>
      </c>
      <c r="D205" s="74" t="str">
        <f>IF(足元帳!AZ179&gt;0,VLOOKUP(足元帳!AZ179,管理シート!$R$4:$V$12,5,FALSE),"")</f>
        <v/>
      </c>
      <c r="E205" s="587" t="str">
        <f>IF(足元帳!J179="","",足元帳!J179)</f>
        <v/>
      </c>
      <c r="F205" s="566"/>
      <c r="G205" s="587" t="str">
        <f>IF(足元帳!K179="","",足元帳!K179)</f>
        <v/>
      </c>
      <c r="H205" s="565"/>
      <c r="I205" s="565"/>
      <c r="J205" s="566"/>
      <c r="K205" s="587" t="str">
        <f>IF(足元帳!BB179&gt;0,VLOOKUP(足元帳!BB179,管理シート!$R$4:$W$12,4,FALSE),"")</f>
        <v/>
      </c>
      <c r="L205" s="565"/>
      <c r="M205" s="566"/>
      <c r="N205" s="587" t="str">
        <f>IF(足元帳!U179="","",足元帳!U179)&amp;IF(足元帳!V179="","",足元帳!V179)&amp;IF(足元帳!W179="","",足元帳!W179)&amp;IF(足元帳!X179="","",足元帳!X179)&amp;IF(足元帳!Y179="","",足元帳!Y179)&amp;IF(足元帳!Z179="","",足元帳!Z179)</f>
        <v/>
      </c>
      <c r="O205" s="565"/>
      <c r="P205" s="565"/>
      <c r="Q205" s="565"/>
      <c r="R205" s="565"/>
      <c r="S205" s="566"/>
      <c r="T205" s="661" t="str">
        <f ca="1">IFERROR(INDEX(管理シート!$CB$3:$CK$24,MATCH(W205,管理シート!$CB$3:$CB$24,0),MATCH(K205,管理シート!$CB$3:$CM$3,0)),"")</f>
        <v/>
      </c>
      <c r="U205" s="661"/>
      <c r="V205" s="661"/>
      <c r="W205" s="587" t="str">
        <f ca="1">IF(ISERROR(MATCH("●",足元帳!AA179:AJ179,0)),"",INDIRECT("足元帳!R1C"&amp;MATCH("●",足元帳!AA179:AJ179,0)+26,FALSE))</f>
        <v/>
      </c>
      <c r="X205" s="565"/>
      <c r="Y205" s="566"/>
      <c r="Z205" s="587" t="str">
        <f>IF(足元帳!AL179="","","○")</f>
        <v/>
      </c>
      <c r="AA205" s="566"/>
      <c r="AB205" s="635" t="str">
        <f>IF(足元帳!AM179="","","現金カード払い"&amp;足元帳!AM179&amp;"  ")&amp;IF(足元帳!AP179="","",足元帳!AP179&amp;"　")&amp;IF(足元帳!AQ179="","",足元帳!AQ179&amp;"　")&amp;IF(足元帳!AR179="","",足元帳!AR179&amp;"　")&amp;IF(足元帳!AS179="","",足元帳!AS179&amp;"　")&amp;IF(足元帳!AT179="","",足元帳!AT179&amp;"　")&amp;IF(足元帳!AN179="","","LOVE×2")&amp;IF(足元帳!AJ179="","","MM"&amp;足元帳!AJ179)&amp;IF(足元帳!AW179="","",W205&amp;"利用"&amp;足元帳!AW179)&amp;IF(足元帳!AX179="",""," 優待券配布"&amp;足元帳!AX179)&amp;IF(足元帳!AU179="","","メルマガ")</f>
        <v/>
      </c>
      <c r="AC205" s="636"/>
      <c r="AD205" s="636"/>
      <c r="AE205" s="636"/>
      <c r="AF205" s="636"/>
      <c r="AG205" s="636"/>
      <c r="AH205" s="636"/>
      <c r="AI205" s="636"/>
      <c r="AJ205" s="636"/>
      <c r="AK205" s="636"/>
      <c r="AL205" s="636"/>
      <c r="AM205" s="636"/>
      <c r="AN205" s="636"/>
      <c r="AO205" s="636"/>
      <c r="AP205" s="636"/>
      <c r="AQ205" s="662"/>
      <c r="AR205" s="113" t="str">
        <f>IF(足元帳!A179="","",足元帳!A179)</f>
        <v/>
      </c>
      <c r="AS205" s="123">
        <f>COUNTIF(AR$4:AR205,AR205)</f>
        <v>202</v>
      </c>
    </row>
    <row r="206" spans="1:45" ht="23.45" customHeight="1">
      <c r="A206" s="586">
        <f t="shared" si="4"/>
        <v>179</v>
      </c>
      <c r="B206" s="566"/>
      <c r="C206" s="73" t="str">
        <f>IF(足元帳!AY180=1,"N",IF(足元帳!AY180=2,"R",""))</f>
        <v/>
      </c>
      <c r="D206" s="74" t="str">
        <f>IF(足元帳!AZ180&gt;0,VLOOKUP(足元帳!AZ180,管理シート!$R$4:$V$12,5,FALSE),"")</f>
        <v/>
      </c>
      <c r="E206" s="587" t="str">
        <f>IF(足元帳!J180="","",足元帳!J180)</f>
        <v/>
      </c>
      <c r="F206" s="566"/>
      <c r="G206" s="587" t="str">
        <f>IF(足元帳!K180="","",足元帳!K180)</f>
        <v/>
      </c>
      <c r="H206" s="565"/>
      <c r="I206" s="565"/>
      <c r="J206" s="566"/>
      <c r="K206" s="587" t="str">
        <f>IF(足元帳!BB180&gt;0,VLOOKUP(足元帳!BB180,管理シート!$R$4:$W$12,4,FALSE),"")</f>
        <v/>
      </c>
      <c r="L206" s="565"/>
      <c r="M206" s="566"/>
      <c r="N206" s="587" t="str">
        <f>IF(足元帳!U180="","",足元帳!U180)&amp;IF(足元帳!V180="","",足元帳!V180)&amp;IF(足元帳!W180="","",足元帳!W180)&amp;IF(足元帳!X180="","",足元帳!X180)&amp;IF(足元帳!Y180="","",足元帳!Y180)&amp;IF(足元帳!Z180="","",足元帳!Z180)</f>
        <v/>
      </c>
      <c r="O206" s="565"/>
      <c r="P206" s="565"/>
      <c r="Q206" s="565"/>
      <c r="R206" s="565"/>
      <c r="S206" s="566"/>
      <c r="T206" s="661" t="str">
        <f ca="1">IFERROR(INDEX(管理シート!$CB$3:$CK$24,MATCH(W206,管理シート!$CB$3:$CB$24,0),MATCH(K206,管理シート!$CB$3:$CM$3,0)),"")</f>
        <v/>
      </c>
      <c r="U206" s="661"/>
      <c r="V206" s="661"/>
      <c r="W206" s="587" t="str">
        <f ca="1">IF(ISERROR(MATCH("●",足元帳!AA180:AJ180,0)),"",INDIRECT("足元帳!R1C"&amp;MATCH("●",足元帳!AA180:AJ180,0)+26,FALSE))</f>
        <v/>
      </c>
      <c r="X206" s="565"/>
      <c r="Y206" s="566"/>
      <c r="Z206" s="587" t="str">
        <f>IF(足元帳!AL180="","","○")</f>
        <v/>
      </c>
      <c r="AA206" s="566"/>
      <c r="AB206" s="635" t="str">
        <f>IF(足元帳!AM180="","","現金カード払い"&amp;足元帳!AM180&amp;"  ")&amp;IF(足元帳!AP180="","",足元帳!AP180&amp;"　")&amp;IF(足元帳!AQ180="","",足元帳!AQ180&amp;"　")&amp;IF(足元帳!AR180="","",足元帳!AR180&amp;"　")&amp;IF(足元帳!AS180="","",足元帳!AS180&amp;"　")&amp;IF(足元帳!AT180="","",足元帳!AT180&amp;"　")&amp;IF(足元帳!AN180="","","LOVE×2")&amp;IF(足元帳!AJ180="","","MM"&amp;足元帳!AJ180)&amp;IF(足元帳!AW180="","",W206&amp;"利用"&amp;足元帳!AW180)&amp;IF(足元帳!AX180="",""," 優待券配布"&amp;足元帳!AX180)&amp;IF(足元帳!AU180="","","メルマガ")</f>
        <v/>
      </c>
      <c r="AC206" s="636"/>
      <c r="AD206" s="636"/>
      <c r="AE206" s="636"/>
      <c r="AF206" s="636"/>
      <c r="AG206" s="636"/>
      <c r="AH206" s="636"/>
      <c r="AI206" s="636"/>
      <c r="AJ206" s="636"/>
      <c r="AK206" s="636"/>
      <c r="AL206" s="636"/>
      <c r="AM206" s="636"/>
      <c r="AN206" s="636"/>
      <c r="AO206" s="636"/>
      <c r="AP206" s="636"/>
      <c r="AQ206" s="662"/>
      <c r="AR206" s="113" t="str">
        <f>IF(足元帳!A180="","",足元帳!A180)</f>
        <v/>
      </c>
      <c r="AS206" s="123">
        <f>COUNTIF(AR$4:AR206,AR206)</f>
        <v>203</v>
      </c>
    </row>
    <row r="207" spans="1:45" ht="23.45" customHeight="1">
      <c r="A207" s="586">
        <f t="shared" si="4"/>
        <v>180</v>
      </c>
      <c r="B207" s="566"/>
      <c r="C207" s="73" t="str">
        <f>IF(足元帳!AY181=1,"N",IF(足元帳!AY181=2,"R",""))</f>
        <v/>
      </c>
      <c r="D207" s="74" t="str">
        <f>IF(足元帳!AZ181&gt;0,VLOOKUP(足元帳!AZ181,管理シート!$R$4:$V$12,5,FALSE),"")</f>
        <v/>
      </c>
      <c r="E207" s="587" t="str">
        <f>IF(足元帳!J181="","",足元帳!J181)</f>
        <v/>
      </c>
      <c r="F207" s="566"/>
      <c r="G207" s="587" t="str">
        <f>IF(足元帳!K181="","",足元帳!K181)</f>
        <v/>
      </c>
      <c r="H207" s="565"/>
      <c r="I207" s="565"/>
      <c r="J207" s="566"/>
      <c r="K207" s="587" t="str">
        <f>IF(足元帳!BB181&gt;0,VLOOKUP(足元帳!BB181,管理シート!$R$4:$W$12,4,FALSE),"")</f>
        <v/>
      </c>
      <c r="L207" s="565"/>
      <c r="M207" s="566"/>
      <c r="N207" s="587" t="str">
        <f>IF(足元帳!U181="","",足元帳!U181)&amp;IF(足元帳!V181="","",足元帳!V181)&amp;IF(足元帳!W181="","",足元帳!W181)&amp;IF(足元帳!X181="","",足元帳!X181)&amp;IF(足元帳!Y181="","",足元帳!Y181)&amp;IF(足元帳!Z181="","",足元帳!Z181)</f>
        <v/>
      </c>
      <c r="O207" s="565"/>
      <c r="P207" s="565"/>
      <c r="Q207" s="565"/>
      <c r="R207" s="565"/>
      <c r="S207" s="566"/>
      <c r="T207" s="661" t="str">
        <f ca="1">IFERROR(INDEX(管理シート!$CB$3:$CK$24,MATCH(W207,管理シート!$CB$3:$CB$24,0),MATCH(K207,管理シート!$CB$3:$CM$3,0)),"")</f>
        <v/>
      </c>
      <c r="U207" s="661"/>
      <c r="V207" s="661"/>
      <c r="W207" s="587" t="str">
        <f ca="1">IF(ISERROR(MATCH("●",足元帳!AA181:AJ181,0)),"",INDIRECT("足元帳!R1C"&amp;MATCH("●",足元帳!AA181:AJ181,0)+26,FALSE))</f>
        <v/>
      </c>
      <c r="X207" s="565"/>
      <c r="Y207" s="566"/>
      <c r="Z207" s="587" t="str">
        <f>IF(足元帳!AL181="","","○")</f>
        <v/>
      </c>
      <c r="AA207" s="566"/>
      <c r="AB207" s="635" t="str">
        <f>IF(足元帳!AM181="","","現金カード払い"&amp;足元帳!AM181&amp;"  ")&amp;IF(足元帳!AP181="","",足元帳!AP181&amp;"　")&amp;IF(足元帳!AQ181="","",足元帳!AQ181&amp;"　")&amp;IF(足元帳!AR181="","",足元帳!AR181&amp;"　")&amp;IF(足元帳!AS181="","",足元帳!AS181&amp;"　")&amp;IF(足元帳!AT181="","",足元帳!AT181&amp;"　")&amp;IF(足元帳!AN181="","","LOVE×2")&amp;IF(足元帳!AJ181="","","MM"&amp;足元帳!AJ181)&amp;IF(足元帳!AW181="","",W207&amp;"利用"&amp;足元帳!AW181)&amp;IF(足元帳!AX181="",""," 優待券配布"&amp;足元帳!AX181)&amp;IF(足元帳!AU181="","","メルマガ")</f>
        <v/>
      </c>
      <c r="AC207" s="636"/>
      <c r="AD207" s="636"/>
      <c r="AE207" s="636"/>
      <c r="AF207" s="636"/>
      <c r="AG207" s="636"/>
      <c r="AH207" s="636"/>
      <c r="AI207" s="636"/>
      <c r="AJ207" s="636"/>
      <c r="AK207" s="636"/>
      <c r="AL207" s="636"/>
      <c r="AM207" s="636"/>
      <c r="AN207" s="636"/>
      <c r="AO207" s="636"/>
      <c r="AP207" s="636"/>
      <c r="AQ207" s="662"/>
      <c r="AR207" s="113" t="str">
        <f>IF(足元帳!A181="","",足元帳!A181)</f>
        <v/>
      </c>
      <c r="AS207" s="123">
        <f>COUNTIF(AR$4:AR207,AR207)</f>
        <v>204</v>
      </c>
    </row>
    <row r="208" spans="1:45" ht="23.45" customHeight="1">
      <c r="A208" s="586">
        <f t="shared" si="4"/>
        <v>181</v>
      </c>
      <c r="B208" s="566"/>
      <c r="C208" s="73" t="str">
        <f>IF(足元帳!AY182=1,"N",IF(足元帳!AY182=2,"R",""))</f>
        <v/>
      </c>
      <c r="D208" s="74" t="str">
        <f>IF(足元帳!AZ182&gt;0,VLOOKUP(足元帳!AZ182,管理シート!$R$4:$V$12,5,FALSE),"")</f>
        <v/>
      </c>
      <c r="E208" s="587" t="str">
        <f>IF(足元帳!J182="","",足元帳!J182)</f>
        <v/>
      </c>
      <c r="F208" s="566"/>
      <c r="G208" s="587" t="str">
        <f>IF(足元帳!K182="","",足元帳!K182)</f>
        <v/>
      </c>
      <c r="H208" s="565"/>
      <c r="I208" s="565"/>
      <c r="J208" s="566"/>
      <c r="K208" s="587" t="str">
        <f>IF(足元帳!BB182&gt;0,VLOOKUP(足元帳!BB182,管理シート!$R$4:$W$12,4,FALSE),"")</f>
        <v/>
      </c>
      <c r="L208" s="565"/>
      <c r="M208" s="566"/>
      <c r="N208" s="587" t="str">
        <f>IF(足元帳!U182="","",足元帳!U182)&amp;IF(足元帳!V182="","",足元帳!V182)&amp;IF(足元帳!W182="","",足元帳!W182)&amp;IF(足元帳!X182="","",足元帳!X182)&amp;IF(足元帳!Y182="","",足元帳!Y182)&amp;IF(足元帳!Z182="","",足元帳!Z182)</f>
        <v/>
      </c>
      <c r="O208" s="565"/>
      <c r="P208" s="565"/>
      <c r="Q208" s="565"/>
      <c r="R208" s="565"/>
      <c r="S208" s="566"/>
      <c r="T208" s="661" t="str">
        <f ca="1">IFERROR(INDEX(管理シート!$CB$3:$CK$24,MATCH(W208,管理シート!$CB$3:$CB$24,0),MATCH(K208,管理シート!$CB$3:$CM$3,0)),"")</f>
        <v/>
      </c>
      <c r="U208" s="661"/>
      <c r="V208" s="661"/>
      <c r="W208" s="587" t="str">
        <f ca="1">IF(ISERROR(MATCH("●",足元帳!AA182:AJ182,0)),"",INDIRECT("足元帳!R1C"&amp;MATCH("●",足元帳!AA182:AJ182,0)+26,FALSE))</f>
        <v/>
      </c>
      <c r="X208" s="565"/>
      <c r="Y208" s="566"/>
      <c r="Z208" s="587" t="str">
        <f>IF(足元帳!AL182="","","○")</f>
        <v/>
      </c>
      <c r="AA208" s="566"/>
      <c r="AB208" s="635" t="str">
        <f>IF(足元帳!AM182="","","現金カード払い"&amp;足元帳!AM182&amp;"  ")&amp;IF(足元帳!AP182="","",足元帳!AP182&amp;"　")&amp;IF(足元帳!AQ182="","",足元帳!AQ182&amp;"　")&amp;IF(足元帳!AR182="","",足元帳!AR182&amp;"　")&amp;IF(足元帳!AS182="","",足元帳!AS182&amp;"　")&amp;IF(足元帳!AT182="","",足元帳!AT182&amp;"　")&amp;IF(足元帳!AN182="","","LOVE×2")&amp;IF(足元帳!AJ182="","","MM"&amp;足元帳!AJ182)&amp;IF(足元帳!AW182="","",W208&amp;"利用"&amp;足元帳!AW182)&amp;IF(足元帳!AX182="",""," 優待券配布"&amp;足元帳!AX182)&amp;IF(足元帳!AU182="","","メルマガ")</f>
        <v/>
      </c>
      <c r="AC208" s="636"/>
      <c r="AD208" s="636"/>
      <c r="AE208" s="636"/>
      <c r="AF208" s="636"/>
      <c r="AG208" s="636"/>
      <c r="AH208" s="636"/>
      <c r="AI208" s="636"/>
      <c r="AJ208" s="636"/>
      <c r="AK208" s="636"/>
      <c r="AL208" s="636"/>
      <c r="AM208" s="636"/>
      <c r="AN208" s="636"/>
      <c r="AO208" s="636"/>
      <c r="AP208" s="636"/>
      <c r="AQ208" s="662"/>
      <c r="AR208" s="113" t="str">
        <f>IF(足元帳!A182="","",足元帳!A182)</f>
        <v/>
      </c>
      <c r="AS208" s="123">
        <f>COUNTIF(AR$4:AR208,AR208)</f>
        <v>205</v>
      </c>
    </row>
    <row r="209" spans="1:45" ht="23.45" customHeight="1">
      <c r="A209" s="586">
        <f t="shared" si="4"/>
        <v>182</v>
      </c>
      <c r="B209" s="566"/>
      <c r="C209" s="73" t="str">
        <f>IF(足元帳!AY183=1,"N",IF(足元帳!AY183=2,"R",""))</f>
        <v/>
      </c>
      <c r="D209" s="74" t="str">
        <f>IF(足元帳!AZ183&gt;0,VLOOKUP(足元帳!AZ183,管理シート!$R$4:$V$12,5,FALSE),"")</f>
        <v/>
      </c>
      <c r="E209" s="587" t="str">
        <f>IF(足元帳!J183="","",足元帳!J183)</f>
        <v/>
      </c>
      <c r="F209" s="566"/>
      <c r="G209" s="587" t="str">
        <f>IF(足元帳!K183="","",足元帳!K183)</f>
        <v/>
      </c>
      <c r="H209" s="565"/>
      <c r="I209" s="565"/>
      <c r="J209" s="566"/>
      <c r="K209" s="587" t="str">
        <f>IF(足元帳!BB183&gt;0,VLOOKUP(足元帳!BB183,管理シート!$R$4:$W$12,4,FALSE),"")</f>
        <v/>
      </c>
      <c r="L209" s="565"/>
      <c r="M209" s="566"/>
      <c r="N209" s="587" t="str">
        <f>IF(足元帳!U183="","",足元帳!U183)&amp;IF(足元帳!V183="","",足元帳!V183)&amp;IF(足元帳!W183="","",足元帳!W183)&amp;IF(足元帳!X183="","",足元帳!X183)&amp;IF(足元帳!Y183="","",足元帳!Y183)&amp;IF(足元帳!Z183="","",足元帳!Z183)</f>
        <v/>
      </c>
      <c r="O209" s="565"/>
      <c r="P209" s="565"/>
      <c r="Q209" s="565"/>
      <c r="R209" s="565"/>
      <c r="S209" s="566"/>
      <c r="T209" s="661" t="str">
        <f ca="1">IFERROR(INDEX(管理シート!$CB$3:$CK$24,MATCH(W209,管理シート!$CB$3:$CB$24,0),MATCH(K209,管理シート!$CB$3:$CM$3,0)),"")</f>
        <v/>
      </c>
      <c r="U209" s="661"/>
      <c r="V209" s="661"/>
      <c r="W209" s="587" t="str">
        <f ca="1">IF(ISERROR(MATCH("●",足元帳!AA183:AJ183,0)),"",INDIRECT("足元帳!R1C"&amp;MATCH("●",足元帳!AA183:AJ183,0)+26,FALSE))</f>
        <v/>
      </c>
      <c r="X209" s="565"/>
      <c r="Y209" s="566"/>
      <c r="Z209" s="587" t="str">
        <f>IF(足元帳!AL183="","","○")</f>
        <v/>
      </c>
      <c r="AA209" s="566"/>
      <c r="AB209" s="635" t="str">
        <f>IF(足元帳!AM183="","","現金カード払い"&amp;足元帳!AM183&amp;"  ")&amp;IF(足元帳!AP183="","",足元帳!AP183&amp;"　")&amp;IF(足元帳!AQ183="","",足元帳!AQ183&amp;"　")&amp;IF(足元帳!AR183="","",足元帳!AR183&amp;"　")&amp;IF(足元帳!AS183="","",足元帳!AS183&amp;"　")&amp;IF(足元帳!AT183="","",足元帳!AT183&amp;"　")&amp;IF(足元帳!AN183="","","LOVE×2")&amp;IF(足元帳!AJ183="","","MM"&amp;足元帳!AJ183)&amp;IF(足元帳!AW183="","",W209&amp;"利用"&amp;足元帳!AW183)&amp;IF(足元帳!AX183="",""," 優待券配布"&amp;足元帳!AX183)&amp;IF(足元帳!AU183="","","メルマガ")</f>
        <v/>
      </c>
      <c r="AC209" s="636"/>
      <c r="AD209" s="636"/>
      <c r="AE209" s="636"/>
      <c r="AF209" s="636"/>
      <c r="AG209" s="636"/>
      <c r="AH209" s="636"/>
      <c r="AI209" s="636"/>
      <c r="AJ209" s="636"/>
      <c r="AK209" s="636"/>
      <c r="AL209" s="636"/>
      <c r="AM209" s="636"/>
      <c r="AN209" s="636"/>
      <c r="AO209" s="636"/>
      <c r="AP209" s="636"/>
      <c r="AQ209" s="662"/>
      <c r="AR209" s="113" t="str">
        <f>IF(足元帳!A183="","",足元帳!A183)</f>
        <v/>
      </c>
      <c r="AS209" s="123">
        <f>COUNTIF(AR$4:AR209,AR209)</f>
        <v>206</v>
      </c>
    </row>
    <row r="210" spans="1:45" ht="23.45" customHeight="1">
      <c r="A210" s="586">
        <f t="shared" si="4"/>
        <v>183</v>
      </c>
      <c r="B210" s="566"/>
      <c r="C210" s="73" t="str">
        <f>IF(足元帳!AY184=1,"N",IF(足元帳!AY184=2,"R",""))</f>
        <v/>
      </c>
      <c r="D210" s="74" t="str">
        <f>IF(足元帳!AZ184&gt;0,VLOOKUP(足元帳!AZ184,管理シート!$R$4:$V$12,5,FALSE),"")</f>
        <v/>
      </c>
      <c r="E210" s="587" t="str">
        <f>IF(足元帳!J184="","",足元帳!J184)</f>
        <v/>
      </c>
      <c r="F210" s="566"/>
      <c r="G210" s="587" t="str">
        <f>IF(足元帳!K184="","",足元帳!K184)</f>
        <v/>
      </c>
      <c r="H210" s="565"/>
      <c r="I210" s="565"/>
      <c r="J210" s="566"/>
      <c r="K210" s="587" t="str">
        <f>IF(足元帳!BB184&gt;0,VLOOKUP(足元帳!BB184,管理シート!$R$4:$W$12,4,FALSE),"")</f>
        <v/>
      </c>
      <c r="L210" s="565"/>
      <c r="M210" s="566"/>
      <c r="N210" s="587" t="str">
        <f>IF(足元帳!U184="","",足元帳!U184)&amp;IF(足元帳!V184="","",足元帳!V184)&amp;IF(足元帳!W184="","",足元帳!W184)&amp;IF(足元帳!X184="","",足元帳!X184)&amp;IF(足元帳!Y184="","",足元帳!Y184)&amp;IF(足元帳!Z184="","",足元帳!Z184)</f>
        <v/>
      </c>
      <c r="O210" s="565"/>
      <c r="P210" s="565"/>
      <c r="Q210" s="565"/>
      <c r="R210" s="565"/>
      <c r="S210" s="566"/>
      <c r="T210" s="661" t="str">
        <f ca="1">IFERROR(INDEX(管理シート!$CB$3:$CK$24,MATCH(W210,管理シート!$CB$3:$CB$24,0),MATCH(K210,管理シート!$CB$3:$CM$3,0)),"")</f>
        <v/>
      </c>
      <c r="U210" s="661"/>
      <c r="V210" s="661"/>
      <c r="W210" s="587" t="str">
        <f ca="1">IF(ISERROR(MATCH("●",足元帳!AA184:AJ184,0)),"",INDIRECT("足元帳!R1C"&amp;MATCH("●",足元帳!AA184:AJ184,0)+26,FALSE))</f>
        <v/>
      </c>
      <c r="X210" s="565"/>
      <c r="Y210" s="566"/>
      <c r="Z210" s="587" t="str">
        <f>IF(足元帳!AL184="","","○")</f>
        <v/>
      </c>
      <c r="AA210" s="566"/>
      <c r="AB210" s="635" t="str">
        <f>IF(足元帳!AM184="","","現金カード払い"&amp;足元帳!AM184&amp;"  ")&amp;IF(足元帳!AP184="","",足元帳!AP184&amp;"　")&amp;IF(足元帳!AQ184="","",足元帳!AQ184&amp;"　")&amp;IF(足元帳!AR184="","",足元帳!AR184&amp;"　")&amp;IF(足元帳!AS184="","",足元帳!AS184&amp;"　")&amp;IF(足元帳!AT184="","",足元帳!AT184&amp;"　")&amp;IF(足元帳!AN184="","","LOVE×2")&amp;IF(足元帳!AJ184="","","MM"&amp;足元帳!AJ184)&amp;IF(足元帳!AW184="","",W210&amp;"利用"&amp;足元帳!AW184)&amp;IF(足元帳!AX184="",""," 優待券配布"&amp;足元帳!AX184)&amp;IF(足元帳!AU184="","","メルマガ")</f>
        <v/>
      </c>
      <c r="AC210" s="636"/>
      <c r="AD210" s="636"/>
      <c r="AE210" s="636"/>
      <c r="AF210" s="636"/>
      <c r="AG210" s="636"/>
      <c r="AH210" s="636"/>
      <c r="AI210" s="636"/>
      <c r="AJ210" s="636"/>
      <c r="AK210" s="636"/>
      <c r="AL210" s="636"/>
      <c r="AM210" s="636"/>
      <c r="AN210" s="636"/>
      <c r="AO210" s="636"/>
      <c r="AP210" s="636"/>
      <c r="AQ210" s="662"/>
      <c r="AR210" s="113" t="str">
        <f>IF(足元帳!A184="","",足元帳!A184)</f>
        <v/>
      </c>
      <c r="AS210" s="123">
        <f>COUNTIF(AR$4:AR210,AR210)</f>
        <v>207</v>
      </c>
    </row>
    <row r="211" spans="1:45" ht="23.45" customHeight="1">
      <c r="A211" s="586">
        <f t="shared" si="4"/>
        <v>184</v>
      </c>
      <c r="B211" s="566"/>
      <c r="C211" s="73" t="str">
        <f>IF(足元帳!AY185=1,"N",IF(足元帳!AY185=2,"R",""))</f>
        <v/>
      </c>
      <c r="D211" s="74" t="str">
        <f>IF(足元帳!AZ185&gt;0,VLOOKUP(足元帳!AZ185,管理シート!$R$4:$V$12,5,FALSE),"")</f>
        <v/>
      </c>
      <c r="E211" s="587" t="str">
        <f>IF(足元帳!J185="","",足元帳!J185)</f>
        <v/>
      </c>
      <c r="F211" s="566"/>
      <c r="G211" s="587" t="str">
        <f>IF(足元帳!K185="","",足元帳!K185)</f>
        <v/>
      </c>
      <c r="H211" s="565"/>
      <c r="I211" s="565"/>
      <c r="J211" s="566"/>
      <c r="K211" s="587" t="str">
        <f>IF(足元帳!BB185&gt;0,VLOOKUP(足元帳!BB185,管理シート!$R$4:$W$12,4,FALSE),"")</f>
        <v/>
      </c>
      <c r="L211" s="565"/>
      <c r="M211" s="566"/>
      <c r="N211" s="587" t="str">
        <f>IF(足元帳!U185="","",足元帳!U185)&amp;IF(足元帳!V185="","",足元帳!V185)&amp;IF(足元帳!W185="","",足元帳!W185)&amp;IF(足元帳!X185="","",足元帳!X185)&amp;IF(足元帳!Y185="","",足元帳!Y185)&amp;IF(足元帳!Z185="","",足元帳!Z185)</f>
        <v/>
      </c>
      <c r="O211" s="565"/>
      <c r="P211" s="565"/>
      <c r="Q211" s="565"/>
      <c r="R211" s="565"/>
      <c r="S211" s="566"/>
      <c r="T211" s="661" t="str">
        <f ca="1">IFERROR(INDEX(管理シート!$CB$3:$CK$24,MATCH(W211,管理シート!$CB$3:$CB$24,0),MATCH(K211,管理シート!$CB$3:$CM$3,0)),"")</f>
        <v/>
      </c>
      <c r="U211" s="661"/>
      <c r="V211" s="661"/>
      <c r="W211" s="587" t="str">
        <f ca="1">IF(ISERROR(MATCH("●",足元帳!AA185:AJ185,0)),"",INDIRECT("足元帳!R1C"&amp;MATCH("●",足元帳!AA185:AJ185,0)+26,FALSE))</f>
        <v/>
      </c>
      <c r="X211" s="565"/>
      <c r="Y211" s="566"/>
      <c r="Z211" s="587" t="str">
        <f>IF(足元帳!AL185="","","○")</f>
        <v/>
      </c>
      <c r="AA211" s="566"/>
      <c r="AB211" s="635" t="str">
        <f>IF(足元帳!AM185="","","現金カード払い"&amp;足元帳!AM185&amp;"  ")&amp;IF(足元帳!AP185="","",足元帳!AP185&amp;"　")&amp;IF(足元帳!AQ185="","",足元帳!AQ185&amp;"　")&amp;IF(足元帳!AR185="","",足元帳!AR185&amp;"　")&amp;IF(足元帳!AS185="","",足元帳!AS185&amp;"　")&amp;IF(足元帳!AT185="","",足元帳!AT185&amp;"　")&amp;IF(足元帳!AN185="","","LOVE×2")&amp;IF(足元帳!AJ185="","","MM"&amp;足元帳!AJ185)&amp;IF(足元帳!AW185="","",W211&amp;"利用"&amp;足元帳!AW185)&amp;IF(足元帳!AX185="",""," 優待券配布"&amp;足元帳!AX185)&amp;IF(足元帳!AU185="","","メルマガ")</f>
        <v/>
      </c>
      <c r="AC211" s="636"/>
      <c r="AD211" s="636"/>
      <c r="AE211" s="636"/>
      <c r="AF211" s="636"/>
      <c r="AG211" s="636"/>
      <c r="AH211" s="636"/>
      <c r="AI211" s="636"/>
      <c r="AJ211" s="636"/>
      <c r="AK211" s="636"/>
      <c r="AL211" s="636"/>
      <c r="AM211" s="636"/>
      <c r="AN211" s="636"/>
      <c r="AO211" s="636"/>
      <c r="AP211" s="636"/>
      <c r="AQ211" s="662"/>
      <c r="AR211" s="113" t="str">
        <f>IF(足元帳!A185="","",足元帳!A185)</f>
        <v/>
      </c>
      <c r="AS211" s="123">
        <f>COUNTIF(AR$4:AR211,AR211)</f>
        <v>208</v>
      </c>
    </row>
    <row r="212" spans="1:45" ht="23.45" customHeight="1">
      <c r="A212" s="586">
        <f t="shared" si="4"/>
        <v>185</v>
      </c>
      <c r="B212" s="566"/>
      <c r="C212" s="73" t="str">
        <f>IF(足元帳!AY186=1,"N",IF(足元帳!AY186=2,"R",""))</f>
        <v/>
      </c>
      <c r="D212" s="74" t="str">
        <f>IF(足元帳!AZ186&gt;0,VLOOKUP(足元帳!AZ186,管理シート!$R$4:$V$12,5,FALSE),"")</f>
        <v/>
      </c>
      <c r="E212" s="587" t="str">
        <f>IF(足元帳!J186="","",足元帳!J186)</f>
        <v/>
      </c>
      <c r="F212" s="566"/>
      <c r="G212" s="587" t="str">
        <f>IF(足元帳!K186="","",足元帳!K186)</f>
        <v/>
      </c>
      <c r="H212" s="565"/>
      <c r="I212" s="565"/>
      <c r="J212" s="566"/>
      <c r="K212" s="587" t="str">
        <f>IF(足元帳!BB186&gt;0,VLOOKUP(足元帳!BB186,管理シート!$R$4:$W$12,4,FALSE),"")</f>
        <v/>
      </c>
      <c r="L212" s="565"/>
      <c r="M212" s="566"/>
      <c r="N212" s="587" t="str">
        <f>IF(足元帳!U186="","",足元帳!U186)&amp;IF(足元帳!V186="","",足元帳!V186)&amp;IF(足元帳!W186="","",足元帳!W186)&amp;IF(足元帳!X186="","",足元帳!X186)&amp;IF(足元帳!Y186="","",足元帳!Y186)&amp;IF(足元帳!Z186="","",足元帳!Z186)</f>
        <v/>
      </c>
      <c r="O212" s="565"/>
      <c r="P212" s="565"/>
      <c r="Q212" s="565"/>
      <c r="R212" s="565"/>
      <c r="S212" s="566"/>
      <c r="T212" s="661" t="str">
        <f ca="1">IFERROR(INDEX(管理シート!$CB$3:$CK$24,MATCH(W212,管理シート!$CB$3:$CB$24,0),MATCH(K212,管理シート!$CB$3:$CM$3,0)),"")</f>
        <v/>
      </c>
      <c r="U212" s="661"/>
      <c r="V212" s="661"/>
      <c r="W212" s="587" t="str">
        <f ca="1">IF(ISERROR(MATCH("●",足元帳!AA186:AJ186,0)),"",INDIRECT("足元帳!R1C"&amp;MATCH("●",足元帳!AA186:AJ186,0)+26,FALSE))</f>
        <v/>
      </c>
      <c r="X212" s="565"/>
      <c r="Y212" s="566"/>
      <c r="Z212" s="587" t="str">
        <f>IF(足元帳!AL186="","","○")</f>
        <v/>
      </c>
      <c r="AA212" s="566"/>
      <c r="AB212" s="635" t="str">
        <f>IF(足元帳!AM186="","","現金カード払い"&amp;足元帳!AM186&amp;"  ")&amp;IF(足元帳!AP186="","",足元帳!AP186&amp;"　")&amp;IF(足元帳!AQ186="","",足元帳!AQ186&amp;"　")&amp;IF(足元帳!AR186="","",足元帳!AR186&amp;"　")&amp;IF(足元帳!AS186="","",足元帳!AS186&amp;"　")&amp;IF(足元帳!AT186="","",足元帳!AT186&amp;"　")&amp;IF(足元帳!AN186="","","LOVE×2")&amp;IF(足元帳!AJ186="","","MM"&amp;足元帳!AJ186)&amp;IF(足元帳!AW186="","",W212&amp;"利用"&amp;足元帳!AW186)&amp;IF(足元帳!AX186="",""," 優待券配布"&amp;足元帳!AX186)&amp;IF(足元帳!AU186="","","メルマガ")</f>
        <v/>
      </c>
      <c r="AC212" s="636"/>
      <c r="AD212" s="636"/>
      <c r="AE212" s="636"/>
      <c r="AF212" s="636"/>
      <c r="AG212" s="636"/>
      <c r="AH212" s="636"/>
      <c r="AI212" s="636"/>
      <c r="AJ212" s="636"/>
      <c r="AK212" s="636"/>
      <c r="AL212" s="636"/>
      <c r="AM212" s="636"/>
      <c r="AN212" s="636"/>
      <c r="AO212" s="636"/>
      <c r="AP212" s="636"/>
      <c r="AQ212" s="662"/>
      <c r="AR212" s="113" t="str">
        <f>IF(足元帳!A186="","",足元帳!A186)</f>
        <v/>
      </c>
      <c r="AS212" s="123">
        <f>COUNTIF(AR$4:AR212,AR212)</f>
        <v>209</v>
      </c>
    </row>
    <row r="213" spans="1:45" ht="23.45" customHeight="1">
      <c r="A213" s="586">
        <f t="shared" si="4"/>
        <v>186</v>
      </c>
      <c r="B213" s="566"/>
      <c r="C213" s="73" t="str">
        <f>IF(足元帳!AY187=1,"N",IF(足元帳!AY187=2,"R",""))</f>
        <v/>
      </c>
      <c r="D213" s="74" t="str">
        <f>IF(足元帳!AZ187&gt;0,VLOOKUP(足元帳!AZ187,管理シート!$R$4:$V$12,5,FALSE),"")</f>
        <v/>
      </c>
      <c r="E213" s="587" t="str">
        <f>IF(足元帳!J187="","",足元帳!J187)</f>
        <v/>
      </c>
      <c r="F213" s="566"/>
      <c r="G213" s="587" t="str">
        <f>IF(足元帳!K187="","",足元帳!K187)</f>
        <v/>
      </c>
      <c r="H213" s="565"/>
      <c r="I213" s="565"/>
      <c r="J213" s="566"/>
      <c r="K213" s="587" t="str">
        <f>IF(足元帳!BB187&gt;0,VLOOKUP(足元帳!BB187,管理シート!$R$4:$W$12,4,FALSE),"")</f>
        <v/>
      </c>
      <c r="L213" s="565"/>
      <c r="M213" s="566"/>
      <c r="N213" s="587" t="str">
        <f>IF(足元帳!U187="","",足元帳!U187)&amp;IF(足元帳!V187="","",足元帳!V187)&amp;IF(足元帳!W187="","",足元帳!W187)&amp;IF(足元帳!X187="","",足元帳!X187)&amp;IF(足元帳!Y187="","",足元帳!Y187)&amp;IF(足元帳!Z187="","",足元帳!Z187)</f>
        <v/>
      </c>
      <c r="O213" s="565"/>
      <c r="P213" s="565"/>
      <c r="Q213" s="565"/>
      <c r="R213" s="565"/>
      <c r="S213" s="566"/>
      <c r="T213" s="661" t="str">
        <f ca="1">IFERROR(INDEX(管理シート!$CB$3:$CK$24,MATCH(W213,管理シート!$CB$3:$CB$24,0),MATCH(K213,管理シート!$CB$3:$CM$3,0)),"")</f>
        <v/>
      </c>
      <c r="U213" s="661"/>
      <c r="V213" s="661"/>
      <c r="W213" s="587" t="str">
        <f ca="1">IF(ISERROR(MATCH("●",足元帳!AA187:AJ187,0)),"",INDIRECT("足元帳!R1C"&amp;MATCH("●",足元帳!AA187:AJ187,0)+26,FALSE))</f>
        <v/>
      </c>
      <c r="X213" s="565"/>
      <c r="Y213" s="566"/>
      <c r="Z213" s="587" t="str">
        <f>IF(足元帳!AL187="","","○")</f>
        <v/>
      </c>
      <c r="AA213" s="566"/>
      <c r="AB213" s="635" t="str">
        <f>IF(足元帳!AM187="","","現金カード払い"&amp;足元帳!AM187&amp;"  ")&amp;IF(足元帳!AP187="","",足元帳!AP187&amp;"　")&amp;IF(足元帳!AQ187="","",足元帳!AQ187&amp;"　")&amp;IF(足元帳!AR187="","",足元帳!AR187&amp;"　")&amp;IF(足元帳!AS187="","",足元帳!AS187&amp;"　")&amp;IF(足元帳!AT187="","",足元帳!AT187&amp;"　")&amp;IF(足元帳!AN187="","","LOVE×2")&amp;IF(足元帳!AJ187="","","MM"&amp;足元帳!AJ187)&amp;IF(足元帳!AW187="","",W213&amp;"利用"&amp;足元帳!AW187)&amp;IF(足元帳!AX187="",""," 優待券配布"&amp;足元帳!AX187)&amp;IF(足元帳!AU187="","","メルマガ")</f>
        <v/>
      </c>
      <c r="AC213" s="636"/>
      <c r="AD213" s="636"/>
      <c r="AE213" s="636"/>
      <c r="AF213" s="636"/>
      <c r="AG213" s="636"/>
      <c r="AH213" s="636"/>
      <c r="AI213" s="636"/>
      <c r="AJ213" s="636"/>
      <c r="AK213" s="636"/>
      <c r="AL213" s="636"/>
      <c r="AM213" s="636"/>
      <c r="AN213" s="636"/>
      <c r="AO213" s="636"/>
      <c r="AP213" s="636"/>
      <c r="AQ213" s="662"/>
      <c r="AR213" s="113" t="str">
        <f>IF(足元帳!A187="","",足元帳!A187)</f>
        <v/>
      </c>
      <c r="AS213" s="123">
        <f>COUNTIF(AR$4:AR213,AR213)</f>
        <v>210</v>
      </c>
    </row>
    <row r="214" spans="1:45" ht="23.45" customHeight="1">
      <c r="A214" s="586">
        <f t="shared" si="4"/>
        <v>187</v>
      </c>
      <c r="B214" s="566"/>
      <c r="C214" s="73" t="str">
        <f>IF(足元帳!AY188=1,"N",IF(足元帳!AY188=2,"R",""))</f>
        <v/>
      </c>
      <c r="D214" s="74" t="str">
        <f>IF(足元帳!AZ188&gt;0,VLOOKUP(足元帳!AZ188,管理シート!$R$4:$V$12,5,FALSE),"")</f>
        <v/>
      </c>
      <c r="E214" s="587" t="str">
        <f>IF(足元帳!J188="","",足元帳!J188)</f>
        <v/>
      </c>
      <c r="F214" s="566"/>
      <c r="G214" s="587" t="str">
        <f>IF(足元帳!K188="","",足元帳!K188)</f>
        <v/>
      </c>
      <c r="H214" s="565"/>
      <c r="I214" s="565"/>
      <c r="J214" s="566"/>
      <c r="K214" s="587" t="str">
        <f>IF(足元帳!BB188&gt;0,VLOOKUP(足元帳!BB188,管理シート!$R$4:$W$12,4,FALSE),"")</f>
        <v/>
      </c>
      <c r="L214" s="565"/>
      <c r="M214" s="566"/>
      <c r="N214" s="587" t="str">
        <f>IF(足元帳!U188="","",足元帳!U188)&amp;IF(足元帳!V188="","",足元帳!V188)&amp;IF(足元帳!W188="","",足元帳!W188)&amp;IF(足元帳!X188="","",足元帳!X188)&amp;IF(足元帳!Y188="","",足元帳!Y188)&amp;IF(足元帳!Z188="","",足元帳!Z188)</f>
        <v/>
      </c>
      <c r="O214" s="565"/>
      <c r="P214" s="565"/>
      <c r="Q214" s="565"/>
      <c r="R214" s="565"/>
      <c r="S214" s="566"/>
      <c r="T214" s="661" t="str">
        <f ca="1">IFERROR(INDEX(管理シート!$CB$3:$CK$24,MATCH(W214,管理シート!$CB$3:$CB$24,0),MATCH(K214,管理シート!$CB$3:$CM$3,0)),"")</f>
        <v/>
      </c>
      <c r="U214" s="661"/>
      <c r="V214" s="661"/>
      <c r="W214" s="587" t="str">
        <f ca="1">IF(ISERROR(MATCH("●",足元帳!AA188:AJ188,0)),"",INDIRECT("足元帳!R1C"&amp;MATCH("●",足元帳!AA188:AJ188,0)+26,FALSE))</f>
        <v/>
      </c>
      <c r="X214" s="565"/>
      <c r="Y214" s="566"/>
      <c r="Z214" s="587" t="str">
        <f>IF(足元帳!AL188="","","○")</f>
        <v/>
      </c>
      <c r="AA214" s="566"/>
      <c r="AB214" s="635" t="str">
        <f>IF(足元帳!AM188="","","現金カード払い"&amp;足元帳!AM188&amp;"  ")&amp;IF(足元帳!AP188="","",足元帳!AP188&amp;"　")&amp;IF(足元帳!AQ188="","",足元帳!AQ188&amp;"　")&amp;IF(足元帳!AR188="","",足元帳!AR188&amp;"　")&amp;IF(足元帳!AS188="","",足元帳!AS188&amp;"　")&amp;IF(足元帳!AT188="","",足元帳!AT188&amp;"　")&amp;IF(足元帳!AN188="","","LOVE×2")&amp;IF(足元帳!AJ188="","","MM"&amp;足元帳!AJ188)&amp;IF(足元帳!AW188="","",W214&amp;"利用"&amp;足元帳!AW188)&amp;IF(足元帳!AX188="",""," 優待券配布"&amp;足元帳!AX188)&amp;IF(足元帳!AU188="","","メルマガ")</f>
        <v/>
      </c>
      <c r="AC214" s="636"/>
      <c r="AD214" s="636"/>
      <c r="AE214" s="636"/>
      <c r="AF214" s="636"/>
      <c r="AG214" s="636"/>
      <c r="AH214" s="636"/>
      <c r="AI214" s="636"/>
      <c r="AJ214" s="636"/>
      <c r="AK214" s="636"/>
      <c r="AL214" s="636"/>
      <c r="AM214" s="636"/>
      <c r="AN214" s="636"/>
      <c r="AO214" s="636"/>
      <c r="AP214" s="636"/>
      <c r="AQ214" s="662"/>
      <c r="AR214" s="113" t="str">
        <f>IF(足元帳!A188="","",足元帳!A188)</f>
        <v/>
      </c>
      <c r="AS214" s="123">
        <f>COUNTIF(AR$4:AR214,AR214)</f>
        <v>211</v>
      </c>
    </row>
    <row r="215" spans="1:45" ht="23.45" customHeight="1">
      <c r="A215" s="586">
        <f t="shared" si="4"/>
        <v>188</v>
      </c>
      <c r="B215" s="566"/>
      <c r="C215" s="73" t="str">
        <f>IF(足元帳!AY189=1,"N",IF(足元帳!AY189=2,"R",""))</f>
        <v/>
      </c>
      <c r="D215" s="74" t="str">
        <f>IF(足元帳!AZ189&gt;0,VLOOKUP(足元帳!AZ189,管理シート!$R$4:$V$12,5,FALSE),"")</f>
        <v/>
      </c>
      <c r="E215" s="587" t="str">
        <f>IF(足元帳!J189="","",足元帳!J189)</f>
        <v/>
      </c>
      <c r="F215" s="566"/>
      <c r="G215" s="587" t="str">
        <f>IF(足元帳!K189="","",足元帳!K189)</f>
        <v/>
      </c>
      <c r="H215" s="565"/>
      <c r="I215" s="565"/>
      <c r="J215" s="566"/>
      <c r="K215" s="587" t="str">
        <f>IF(足元帳!BB189&gt;0,VLOOKUP(足元帳!BB189,管理シート!$R$4:$W$12,4,FALSE),"")</f>
        <v/>
      </c>
      <c r="L215" s="565"/>
      <c r="M215" s="566"/>
      <c r="N215" s="587" t="str">
        <f>IF(足元帳!U189="","",足元帳!U189)&amp;IF(足元帳!V189="","",足元帳!V189)&amp;IF(足元帳!W189="","",足元帳!W189)&amp;IF(足元帳!X189="","",足元帳!X189)&amp;IF(足元帳!Y189="","",足元帳!Y189)&amp;IF(足元帳!Z189="","",足元帳!Z189)</f>
        <v/>
      </c>
      <c r="O215" s="565"/>
      <c r="P215" s="565"/>
      <c r="Q215" s="565"/>
      <c r="R215" s="565"/>
      <c r="S215" s="566"/>
      <c r="T215" s="661" t="str">
        <f ca="1">IFERROR(INDEX(管理シート!$CB$3:$CK$24,MATCH(W215,管理シート!$CB$3:$CB$24,0),MATCH(K215,管理シート!$CB$3:$CM$3,0)),"")</f>
        <v/>
      </c>
      <c r="U215" s="661"/>
      <c r="V215" s="661"/>
      <c r="W215" s="587" t="str">
        <f ca="1">IF(ISERROR(MATCH("●",足元帳!AA189:AJ189,0)),"",INDIRECT("足元帳!R1C"&amp;MATCH("●",足元帳!AA189:AJ189,0)+26,FALSE))</f>
        <v/>
      </c>
      <c r="X215" s="565"/>
      <c r="Y215" s="566"/>
      <c r="Z215" s="587" t="str">
        <f>IF(足元帳!AL189="","","○")</f>
        <v/>
      </c>
      <c r="AA215" s="566"/>
      <c r="AB215" s="635" t="str">
        <f>IF(足元帳!AM189="","","現金カード払い"&amp;足元帳!AM189&amp;"  ")&amp;IF(足元帳!AP189="","",足元帳!AP189&amp;"　")&amp;IF(足元帳!AQ189="","",足元帳!AQ189&amp;"　")&amp;IF(足元帳!AR189="","",足元帳!AR189&amp;"　")&amp;IF(足元帳!AS189="","",足元帳!AS189&amp;"　")&amp;IF(足元帳!AT189="","",足元帳!AT189&amp;"　")&amp;IF(足元帳!AN189="","","LOVE×2")&amp;IF(足元帳!AJ189="","","MM"&amp;足元帳!AJ189)&amp;IF(足元帳!AW189="","",W215&amp;"利用"&amp;足元帳!AW189)&amp;IF(足元帳!AX189="",""," 優待券配布"&amp;足元帳!AX189)&amp;IF(足元帳!AU189="","","メルマガ")</f>
        <v/>
      </c>
      <c r="AC215" s="636"/>
      <c r="AD215" s="636"/>
      <c r="AE215" s="636"/>
      <c r="AF215" s="636"/>
      <c r="AG215" s="636"/>
      <c r="AH215" s="636"/>
      <c r="AI215" s="636"/>
      <c r="AJ215" s="636"/>
      <c r="AK215" s="636"/>
      <c r="AL215" s="636"/>
      <c r="AM215" s="636"/>
      <c r="AN215" s="636"/>
      <c r="AO215" s="636"/>
      <c r="AP215" s="636"/>
      <c r="AQ215" s="662"/>
      <c r="AR215" s="113" t="str">
        <f>IF(足元帳!A189="","",足元帳!A189)</f>
        <v/>
      </c>
      <c r="AS215" s="123">
        <f>COUNTIF(AR$4:AR215,AR215)</f>
        <v>212</v>
      </c>
    </row>
    <row r="216" spans="1:45" ht="23.45" customHeight="1">
      <c r="A216" s="586">
        <f t="shared" si="4"/>
        <v>189</v>
      </c>
      <c r="B216" s="566"/>
      <c r="C216" s="73" t="str">
        <f>IF(足元帳!AY190=1,"N",IF(足元帳!AY190=2,"R",""))</f>
        <v/>
      </c>
      <c r="D216" s="74" t="str">
        <f>IF(足元帳!AZ190&gt;0,VLOOKUP(足元帳!AZ190,管理シート!$R$4:$V$12,5,FALSE),"")</f>
        <v/>
      </c>
      <c r="E216" s="587" t="str">
        <f>IF(足元帳!J190="","",足元帳!J190)</f>
        <v/>
      </c>
      <c r="F216" s="566"/>
      <c r="G216" s="587" t="str">
        <f>IF(足元帳!K190="","",足元帳!K190)</f>
        <v/>
      </c>
      <c r="H216" s="565"/>
      <c r="I216" s="565"/>
      <c r="J216" s="566"/>
      <c r="K216" s="587" t="str">
        <f>IF(足元帳!BB190&gt;0,VLOOKUP(足元帳!BB190,管理シート!$R$4:$W$12,4,FALSE),"")</f>
        <v/>
      </c>
      <c r="L216" s="565"/>
      <c r="M216" s="566"/>
      <c r="N216" s="587" t="str">
        <f>IF(足元帳!U190="","",足元帳!U190)&amp;IF(足元帳!V190="","",足元帳!V190)&amp;IF(足元帳!W190="","",足元帳!W190)&amp;IF(足元帳!X190="","",足元帳!X190)&amp;IF(足元帳!Y190="","",足元帳!Y190)&amp;IF(足元帳!Z190="","",足元帳!Z190)</f>
        <v/>
      </c>
      <c r="O216" s="565"/>
      <c r="P216" s="565"/>
      <c r="Q216" s="565"/>
      <c r="R216" s="565"/>
      <c r="S216" s="566"/>
      <c r="T216" s="661" t="str">
        <f ca="1">IFERROR(INDEX(管理シート!$CB$3:$CK$24,MATCH(W216,管理シート!$CB$3:$CB$24,0),MATCH(K216,管理シート!$CB$3:$CM$3,0)),"")</f>
        <v/>
      </c>
      <c r="U216" s="661"/>
      <c r="V216" s="661"/>
      <c r="W216" s="587" t="str">
        <f ca="1">IF(ISERROR(MATCH("●",足元帳!AA190:AJ190,0)),"",INDIRECT("足元帳!R1C"&amp;MATCH("●",足元帳!AA190:AJ190,0)+26,FALSE))</f>
        <v/>
      </c>
      <c r="X216" s="565"/>
      <c r="Y216" s="566"/>
      <c r="Z216" s="587" t="str">
        <f>IF(足元帳!AL190="","","○")</f>
        <v/>
      </c>
      <c r="AA216" s="566"/>
      <c r="AB216" s="635" t="str">
        <f>IF(足元帳!AM190="","","現金カード払い"&amp;足元帳!AM190&amp;"  ")&amp;IF(足元帳!AP190="","",足元帳!AP190&amp;"　")&amp;IF(足元帳!AQ190="","",足元帳!AQ190&amp;"　")&amp;IF(足元帳!AR190="","",足元帳!AR190&amp;"　")&amp;IF(足元帳!AS190="","",足元帳!AS190&amp;"　")&amp;IF(足元帳!AT190="","",足元帳!AT190&amp;"　")&amp;IF(足元帳!AN190="","","LOVE×2")&amp;IF(足元帳!AJ190="","","MM"&amp;足元帳!AJ190)&amp;IF(足元帳!AW190="","",W216&amp;"利用"&amp;足元帳!AW190)&amp;IF(足元帳!AX190="",""," 優待券配布"&amp;足元帳!AX190)&amp;IF(足元帳!AU190="","","メルマガ")</f>
        <v/>
      </c>
      <c r="AC216" s="636"/>
      <c r="AD216" s="636"/>
      <c r="AE216" s="636"/>
      <c r="AF216" s="636"/>
      <c r="AG216" s="636"/>
      <c r="AH216" s="636"/>
      <c r="AI216" s="636"/>
      <c r="AJ216" s="636"/>
      <c r="AK216" s="636"/>
      <c r="AL216" s="636"/>
      <c r="AM216" s="636"/>
      <c r="AN216" s="636"/>
      <c r="AO216" s="636"/>
      <c r="AP216" s="636"/>
      <c r="AQ216" s="662"/>
      <c r="AR216" s="113" t="str">
        <f>IF(足元帳!A190="","",足元帳!A190)</f>
        <v/>
      </c>
      <c r="AS216" s="123">
        <f>COUNTIF(AR$4:AR216,AR216)</f>
        <v>213</v>
      </c>
    </row>
    <row r="217" spans="1:45" ht="23.45" customHeight="1">
      <c r="A217" s="586">
        <f t="shared" si="4"/>
        <v>190</v>
      </c>
      <c r="B217" s="566"/>
      <c r="C217" s="73" t="str">
        <f>IF(足元帳!AY191=1,"N",IF(足元帳!AY191=2,"R",""))</f>
        <v/>
      </c>
      <c r="D217" s="74" t="str">
        <f>IF(足元帳!AZ191&gt;0,VLOOKUP(足元帳!AZ191,管理シート!$R$4:$V$12,5,FALSE),"")</f>
        <v/>
      </c>
      <c r="E217" s="587" t="str">
        <f>IF(足元帳!J191="","",足元帳!J191)</f>
        <v/>
      </c>
      <c r="F217" s="566"/>
      <c r="G217" s="587" t="str">
        <f>IF(足元帳!K191="","",足元帳!K191)</f>
        <v/>
      </c>
      <c r="H217" s="565"/>
      <c r="I217" s="565"/>
      <c r="J217" s="566"/>
      <c r="K217" s="587" t="str">
        <f>IF(足元帳!BB191&gt;0,VLOOKUP(足元帳!BB191,管理シート!$R$4:$W$12,4,FALSE),"")</f>
        <v/>
      </c>
      <c r="L217" s="565"/>
      <c r="M217" s="566"/>
      <c r="N217" s="587" t="str">
        <f>IF(足元帳!U191="","",足元帳!U191)&amp;IF(足元帳!V191="","",足元帳!V191)&amp;IF(足元帳!W191="","",足元帳!W191)&amp;IF(足元帳!X191="","",足元帳!X191)&amp;IF(足元帳!Y191="","",足元帳!Y191)&amp;IF(足元帳!Z191="","",足元帳!Z191)</f>
        <v/>
      </c>
      <c r="O217" s="565"/>
      <c r="P217" s="565"/>
      <c r="Q217" s="565"/>
      <c r="R217" s="565"/>
      <c r="S217" s="566"/>
      <c r="T217" s="661" t="str">
        <f ca="1">IFERROR(INDEX(管理シート!$CB$3:$CK$24,MATCH(W217,管理シート!$CB$3:$CB$24,0),MATCH(K217,管理シート!$CB$3:$CM$3,0)),"")</f>
        <v/>
      </c>
      <c r="U217" s="661"/>
      <c r="V217" s="661"/>
      <c r="W217" s="587" t="str">
        <f ca="1">IF(ISERROR(MATCH("●",足元帳!AA191:AJ191,0)),"",INDIRECT("足元帳!R1C"&amp;MATCH("●",足元帳!AA191:AJ191,0)+26,FALSE))</f>
        <v/>
      </c>
      <c r="X217" s="565"/>
      <c r="Y217" s="566"/>
      <c r="Z217" s="587" t="str">
        <f>IF(足元帳!AL191="","","○")</f>
        <v/>
      </c>
      <c r="AA217" s="566"/>
      <c r="AB217" s="635" t="str">
        <f>IF(足元帳!AM191="","","現金カード払い"&amp;足元帳!AM191&amp;"  ")&amp;IF(足元帳!AP191="","",足元帳!AP191&amp;"　")&amp;IF(足元帳!AQ191="","",足元帳!AQ191&amp;"　")&amp;IF(足元帳!AR191="","",足元帳!AR191&amp;"　")&amp;IF(足元帳!AS191="","",足元帳!AS191&amp;"　")&amp;IF(足元帳!AT191="","",足元帳!AT191&amp;"　")&amp;IF(足元帳!AN191="","","LOVE×2")&amp;IF(足元帳!AJ191="","","MM"&amp;足元帳!AJ191)&amp;IF(足元帳!AW191="","",W217&amp;"利用"&amp;足元帳!AW191)&amp;IF(足元帳!AX191="",""," 優待券配布"&amp;足元帳!AX191)&amp;IF(足元帳!AU191="","","メルマガ")</f>
        <v/>
      </c>
      <c r="AC217" s="636"/>
      <c r="AD217" s="636"/>
      <c r="AE217" s="636"/>
      <c r="AF217" s="636"/>
      <c r="AG217" s="636"/>
      <c r="AH217" s="636"/>
      <c r="AI217" s="636"/>
      <c r="AJ217" s="636"/>
      <c r="AK217" s="636"/>
      <c r="AL217" s="636"/>
      <c r="AM217" s="636"/>
      <c r="AN217" s="636"/>
      <c r="AO217" s="636"/>
      <c r="AP217" s="636"/>
      <c r="AQ217" s="662"/>
      <c r="AR217" s="113" t="str">
        <f>IF(足元帳!A191="","",足元帳!A191)</f>
        <v/>
      </c>
      <c r="AS217" s="123">
        <f>COUNTIF(AR$4:AR217,AR217)</f>
        <v>214</v>
      </c>
    </row>
    <row r="218" spans="1:45" ht="23.45" customHeight="1">
      <c r="A218" s="655">
        <f t="shared" si="4"/>
        <v>191</v>
      </c>
      <c r="B218" s="604"/>
      <c r="C218" s="73" t="str">
        <f>IF(足元帳!AY192=1,"N",IF(足元帳!AY192=2,"R",""))</f>
        <v/>
      </c>
      <c r="D218" s="74" t="str">
        <f>IF(足元帳!AZ192&gt;0,VLOOKUP(足元帳!AZ192,管理シート!$R$4:$V$12,5,FALSE),"")</f>
        <v/>
      </c>
      <c r="E218" s="587" t="str">
        <f>IF(足元帳!J192="","",足元帳!J192)</f>
        <v/>
      </c>
      <c r="F218" s="566"/>
      <c r="G218" s="587" t="str">
        <f>IF(足元帳!K192="","",足元帳!K192)</f>
        <v/>
      </c>
      <c r="H218" s="565"/>
      <c r="I218" s="565"/>
      <c r="J218" s="566"/>
      <c r="K218" s="587" t="str">
        <f>IF(足元帳!BB192&gt;0,VLOOKUP(足元帳!BB192,管理シート!$R$4:$W$12,4,FALSE),"")</f>
        <v/>
      </c>
      <c r="L218" s="565"/>
      <c r="M218" s="566"/>
      <c r="N218" s="587" t="str">
        <f>IF(足元帳!U192="","",足元帳!U192)&amp;IF(足元帳!V192="","",足元帳!V192)&amp;IF(足元帳!W192="","",足元帳!W192)&amp;IF(足元帳!X192="","",足元帳!X192)&amp;IF(足元帳!Y192="","",足元帳!Y192)&amp;IF(足元帳!Z192="","",足元帳!Z192)</f>
        <v/>
      </c>
      <c r="O218" s="565"/>
      <c r="P218" s="565"/>
      <c r="Q218" s="565"/>
      <c r="R218" s="565"/>
      <c r="S218" s="566"/>
      <c r="T218" s="661" t="str">
        <f ca="1">IFERROR(INDEX(管理シート!$CB$3:$CK$24,MATCH(W218,管理シート!$CB$3:$CB$24,0),MATCH(K218,管理シート!$CB$3:$CM$3,0)),"")</f>
        <v/>
      </c>
      <c r="U218" s="661"/>
      <c r="V218" s="661"/>
      <c r="W218" s="587" t="str">
        <f ca="1">IF(ISERROR(MATCH("●",足元帳!AA192:AJ192,0)),"",INDIRECT("足元帳!R1C"&amp;MATCH("●",足元帳!AA192:AJ192,0)+26,FALSE))</f>
        <v/>
      </c>
      <c r="X218" s="565"/>
      <c r="Y218" s="566"/>
      <c r="Z218" s="587" t="str">
        <f>IF(足元帳!AL192="","","○")</f>
        <v/>
      </c>
      <c r="AA218" s="566"/>
      <c r="AB218" s="635" t="str">
        <f>IF(足元帳!AM192="","","現金カード払い"&amp;足元帳!AM192&amp;"  ")&amp;IF(足元帳!AP192="","",足元帳!AP192&amp;"　")&amp;IF(足元帳!AQ192="","",足元帳!AQ192&amp;"　")&amp;IF(足元帳!AR192="","",足元帳!AR192&amp;"　")&amp;IF(足元帳!AS192="","",足元帳!AS192&amp;"　")&amp;IF(足元帳!AT192="","",足元帳!AT192&amp;"　")&amp;IF(足元帳!AN192="","","LOVE×2")&amp;IF(足元帳!AJ192="","","MM"&amp;足元帳!AJ192)&amp;IF(足元帳!AW192="","",W218&amp;"利用"&amp;足元帳!AW192)&amp;IF(足元帳!AX192="",""," 優待券配布"&amp;足元帳!AX192)&amp;IF(足元帳!AU192="","","メルマガ")</f>
        <v/>
      </c>
      <c r="AC218" s="636"/>
      <c r="AD218" s="636"/>
      <c r="AE218" s="636"/>
      <c r="AF218" s="636"/>
      <c r="AG218" s="636"/>
      <c r="AH218" s="636"/>
      <c r="AI218" s="636"/>
      <c r="AJ218" s="636"/>
      <c r="AK218" s="636"/>
      <c r="AL218" s="636"/>
      <c r="AM218" s="636"/>
      <c r="AN218" s="636"/>
      <c r="AO218" s="636"/>
      <c r="AP218" s="636"/>
      <c r="AQ218" s="662"/>
      <c r="AR218" s="113" t="str">
        <f>IF(足元帳!A192="","",足元帳!A192)</f>
        <v/>
      </c>
      <c r="AS218" s="123">
        <f>COUNTIF(AR$4:AR218,AR218)</f>
        <v>215</v>
      </c>
    </row>
    <row r="219" spans="1:45" ht="23.45" customHeight="1">
      <c r="A219" s="655">
        <f t="shared" si="4"/>
        <v>192</v>
      </c>
      <c r="B219" s="604"/>
      <c r="C219" s="73" t="str">
        <f>IF(足元帳!AY193=1,"N",IF(足元帳!AY193=2,"R",""))</f>
        <v/>
      </c>
      <c r="D219" s="74" t="str">
        <f>IF(足元帳!AZ193&gt;0,VLOOKUP(足元帳!AZ193,管理シート!$R$4:$V$12,5,FALSE),"")</f>
        <v/>
      </c>
      <c r="E219" s="587" t="str">
        <f>IF(足元帳!J193="","",足元帳!J193)</f>
        <v/>
      </c>
      <c r="F219" s="566"/>
      <c r="G219" s="587" t="str">
        <f>IF(足元帳!K193="","",足元帳!K193)</f>
        <v/>
      </c>
      <c r="H219" s="565"/>
      <c r="I219" s="565"/>
      <c r="J219" s="566"/>
      <c r="K219" s="587" t="str">
        <f>IF(足元帳!BB193&gt;0,VLOOKUP(足元帳!BB193,管理シート!$R$4:$W$12,4,FALSE),"")</f>
        <v/>
      </c>
      <c r="L219" s="565"/>
      <c r="M219" s="566"/>
      <c r="N219" s="587" t="str">
        <f>IF(足元帳!U193="","",足元帳!U193)&amp;IF(足元帳!V193="","",足元帳!V193)&amp;IF(足元帳!W193="","",足元帳!W193)&amp;IF(足元帳!X193="","",足元帳!X193)&amp;IF(足元帳!Y193="","",足元帳!Y193)&amp;IF(足元帳!Z193="","",足元帳!Z193)</f>
        <v/>
      </c>
      <c r="O219" s="565"/>
      <c r="P219" s="565"/>
      <c r="Q219" s="565"/>
      <c r="R219" s="565"/>
      <c r="S219" s="566"/>
      <c r="T219" s="661" t="str">
        <f ca="1">IFERROR(INDEX(管理シート!$CB$3:$CK$24,MATCH(W219,管理シート!$CB$3:$CB$24,0),MATCH(K219,管理シート!$CB$3:$CM$3,0)),"")</f>
        <v/>
      </c>
      <c r="U219" s="661"/>
      <c r="V219" s="661"/>
      <c r="W219" s="587" t="str">
        <f ca="1">IF(ISERROR(MATCH("●",足元帳!AA193:AJ193,0)),"",INDIRECT("足元帳!R1C"&amp;MATCH("●",足元帳!AA193:AJ193,0)+26,FALSE))</f>
        <v/>
      </c>
      <c r="X219" s="565"/>
      <c r="Y219" s="566"/>
      <c r="Z219" s="587" t="str">
        <f>IF(足元帳!AL193="","","○")</f>
        <v/>
      </c>
      <c r="AA219" s="566"/>
      <c r="AB219" s="635" t="str">
        <f>IF(足元帳!AM193="","","現金カード払い"&amp;足元帳!AM193&amp;"  ")&amp;IF(足元帳!AP193="","",足元帳!AP193&amp;"　")&amp;IF(足元帳!AQ193="","",足元帳!AQ193&amp;"　")&amp;IF(足元帳!AR193="","",足元帳!AR193&amp;"　")&amp;IF(足元帳!AS193="","",足元帳!AS193&amp;"　")&amp;IF(足元帳!AT193="","",足元帳!AT193&amp;"　")&amp;IF(足元帳!AN193="","","LOVE×2")&amp;IF(足元帳!AJ193="","","MM"&amp;足元帳!AJ193)&amp;IF(足元帳!AW193="","",W219&amp;"利用"&amp;足元帳!AW193)&amp;IF(足元帳!AX193="",""," 優待券配布"&amp;足元帳!AX193)&amp;IF(足元帳!AU193="","","メルマガ")</f>
        <v/>
      </c>
      <c r="AC219" s="636"/>
      <c r="AD219" s="636"/>
      <c r="AE219" s="636"/>
      <c r="AF219" s="636"/>
      <c r="AG219" s="636"/>
      <c r="AH219" s="636"/>
      <c r="AI219" s="636"/>
      <c r="AJ219" s="636"/>
      <c r="AK219" s="636"/>
      <c r="AL219" s="636"/>
      <c r="AM219" s="636"/>
      <c r="AN219" s="636"/>
      <c r="AO219" s="636"/>
      <c r="AP219" s="636"/>
      <c r="AQ219" s="662"/>
      <c r="AR219" s="113" t="str">
        <f>IF(足元帳!A193="","",足元帳!A193)</f>
        <v/>
      </c>
      <c r="AS219" s="123">
        <f>COUNTIF(AR$4:AR219,AR219)</f>
        <v>216</v>
      </c>
    </row>
    <row r="220" spans="1:45" ht="23.45" customHeight="1">
      <c r="A220" s="655">
        <f t="shared" si="4"/>
        <v>193</v>
      </c>
      <c r="B220" s="604"/>
      <c r="C220" s="73" t="str">
        <f>IF(足元帳!AY194=1,"N",IF(足元帳!AY194=2,"R",""))</f>
        <v/>
      </c>
      <c r="D220" s="74" t="str">
        <f>IF(足元帳!AZ194&gt;0,VLOOKUP(足元帳!AZ194,管理シート!$R$4:$V$12,5,FALSE),"")</f>
        <v/>
      </c>
      <c r="E220" s="587" t="str">
        <f>IF(足元帳!J194="","",足元帳!J194)</f>
        <v/>
      </c>
      <c r="F220" s="566"/>
      <c r="G220" s="587" t="str">
        <f>IF(足元帳!K194="","",足元帳!K194)</f>
        <v/>
      </c>
      <c r="H220" s="565"/>
      <c r="I220" s="565"/>
      <c r="J220" s="566"/>
      <c r="K220" s="587" t="str">
        <f>IF(足元帳!BB194&gt;0,VLOOKUP(足元帳!BB194,管理シート!$R$4:$W$12,4,FALSE),"")</f>
        <v/>
      </c>
      <c r="L220" s="565"/>
      <c r="M220" s="566"/>
      <c r="N220" s="587" t="str">
        <f>IF(足元帳!U194="","",足元帳!U194)&amp;IF(足元帳!V194="","",足元帳!V194)&amp;IF(足元帳!W194="","",足元帳!W194)&amp;IF(足元帳!X194="","",足元帳!X194)&amp;IF(足元帳!Y194="","",足元帳!Y194)&amp;IF(足元帳!Z194="","",足元帳!Z194)</f>
        <v/>
      </c>
      <c r="O220" s="565"/>
      <c r="P220" s="565"/>
      <c r="Q220" s="565"/>
      <c r="R220" s="565"/>
      <c r="S220" s="566"/>
      <c r="T220" s="661" t="str">
        <f ca="1">IFERROR(INDEX(管理シート!$CB$3:$CK$24,MATCH(W220,管理シート!$CB$3:$CB$24,0),MATCH(K220,管理シート!$CB$3:$CM$3,0)),"")</f>
        <v/>
      </c>
      <c r="U220" s="661"/>
      <c r="V220" s="661"/>
      <c r="W220" s="587" t="str">
        <f ca="1">IF(ISERROR(MATCH("●",足元帳!AA194:AJ194,0)),"",INDIRECT("足元帳!R1C"&amp;MATCH("●",足元帳!AA194:AJ194,0)+26,FALSE))</f>
        <v/>
      </c>
      <c r="X220" s="565"/>
      <c r="Y220" s="566"/>
      <c r="Z220" s="587" t="str">
        <f>IF(足元帳!AL194="","","○")</f>
        <v/>
      </c>
      <c r="AA220" s="566"/>
      <c r="AB220" s="635" t="str">
        <f>IF(足元帳!AM194="","","現金カード払い"&amp;足元帳!AM194&amp;"  ")&amp;IF(足元帳!AP194="","",足元帳!AP194&amp;"　")&amp;IF(足元帳!AQ194="","",足元帳!AQ194&amp;"　")&amp;IF(足元帳!AR194="","",足元帳!AR194&amp;"　")&amp;IF(足元帳!AS194="","",足元帳!AS194&amp;"　")&amp;IF(足元帳!AT194="","",足元帳!AT194&amp;"　")&amp;IF(足元帳!AN194="","","LOVE×2")&amp;IF(足元帳!AJ194="","","MM"&amp;足元帳!AJ194)&amp;IF(足元帳!AW194="","",W220&amp;"利用"&amp;足元帳!AW194)&amp;IF(足元帳!AX194="",""," 優待券配布"&amp;足元帳!AX194)&amp;IF(足元帳!AU194="","","メルマガ")</f>
        <v/>
      </c>
      <c r="AC220" s="636"/>
      <c r="AD220" s="636"/>
      <c r="AE220" s="636"/>
      <c r="AF220" s="636"/>
      <c r="AG220" s="636"/>
      <c r="AH220" s="636"/>
      <c r="AI220" s="636"/>
      <c r="AJ220" s="636"/>
      <c r="AK220" s="636"/>
      <c r="AL220" s="636"/>
      <c r="AM220" s="636"/>
      <c r="AN220" s="636"/>
      <c r="AO220" s="636"/>
      <c r="AP220" s="636"/>
      <c r="AQ220" s="662"/>
      <c r="AR220" s="113" t="str">
        <f>IF(足元帳!A194="","",足元帳!A194)</f>
        <v/>
      </c>
      <c r="AS220" s="123">
        <f>COUNTIF(AR$4:AR220,AR220)</f>
        <v>217</v>
      </c>
    </row>
    <row r="221" spans="1:45" ht="23.45" customHeight="1">
      <c r="A221" s="655">
        <f t="shared" si="4"/>
        <v>194</v>
      </c>
      <c r="B221" s="604"/>
      <c r="C221" s="73" t="str">
        <f>IF(足元帳!AY195=1,"N",IF(足元帳!AY195=2,"R",""))</f>
        <v/>
      </c>
      <c r="D221" s="74" t="str">
        <f>IF(足元帳!AZ195&gt;0,VLOOKUP(足元帳!AZ195,管理シート!$R$4:$V$12,5,FALSE),"")</f>
        <v/>
      </c>
      <c r="E221" s="587" t="str">
        <f>IF(足元帳!J195="","",足元帳!J195)</f>
        <v/>
      </c>
      <c r="F221" s="566"/>
      <c r="G221" s="587" t="str">
        <f>IF(足元帳!K195="","",足元帳!K195)</f>
        <v/>
      </c>
      <c r="H221" s="565"/>
      <c r="I221" s="565"/>
      <c r="J221" s="566"/>
      <c r="K221" s="587" t="str">
        <f>IF(足元帳!BB195&gt;0,VLOOKUP(足元帳!BB195,管理シート!$R$4:$W$12,4,FALSE),"")</f>
        <v/>
      </c>
      <c r="L221" s="565"/>
      <c r="M221" s="566"/>
      <c r="N221" s="587" t="str">
        <f>IF(足元帳!U195="","",足元帳!U195)&amp;IF(足元帳!V195="","",足元帳!V195)&amp;IF(足元帳!W195="","",足元帳!W195)&amp;IF(足元帳!X195="","",足元帳!X195)&amp;IF(足元帳!Y195="","",足元帳!Y195)&amp;IF(足元帳!Z195="","",足元帳!Z195)</f>
        <v/>
      </c>
      <c r="O221" s="565"/>
      <c r="P221" s="565"/>
      <c r="Q221" s="565"/>
      <c r="R221" s="565"/>
      <c r="S221" s="566"/>
      <c r="T221" s="661" t="str">
        <f ca="1">IFERROR(INDEX(管理シート!$CB$3:$CK$24,MATCH(W221,管理シート!$CB$3:$CB$24,0),MATCH(K221,管理シート!$CB$3:$CM$3,0)),"")</f>
        <v/>
      </c>
      <c r="U221" s="661"/>
      <c r="V221" s="661"/>
      <c r="W221" s="587" t="str">
        <f ca="1">IF(ISERROR(MATCH("●",足元帳!AA195:AJ195,0)),"",INDIRECT("足元帳!R1C"&amp;MATCH("●",足元帳!AA195:AJ195,0)+26,FALSE))</f>
        <v/>
      </c>
      <c r="X221" s="565"/>
      <c r="Y221" s="566"/>
      <c r="Z221" s="587" t="str">
        <f>IF(足元帳!AL195="","","○")</f>
        <v/>
      </c>
      <c r="AA221" s="566"/>
      <c r="AB221" s="635" t="str">
        <f>IF(足元帳!AM195="","","現金カード払い"&amp;足元帳!AM195&amp;"  ")&amp;IF(足元帳!AP195="","",足元帳!AP195&amp;"　")&amp;IF(足元帳!AQ195="","",足元帳!AQ195&amp;"　")&amp;IF(足元帳!AR195="","",足元帳!AR195&amp;"　")&amp;IF(足元帳!AS195="","",足元帳!AS195&amp;"　")&amp;IF(足元帳!AT195="","",足元帳!AT195&amp;"　")&amp;IF(足元帳!AN195="","","LOVE×2")&amp;IF(足元帳!AJ195="","","MM"&amp;足元帳!AJ195)&amp;IF(足元帳!AW195="","",W221&amp;"利用"&amp;足元帳!AW195)&amp;IF(足元帳!AX195="",""," 優待券配布"&amp;足元帳!AX195)&amp;IF(足元帳!AU195="","","メルマガ")</f>
        <v/>
      </c>
      <c r="AC221" s="636"/>
      <c r="AD221" s="636"/>
      <c r="AE221" s="636"/>
      <c r="AF221" s="636"/>
      <c r="AG221" s="636"/>
      <c r="AH221" s="636"/>
      <c r="AI221" s="636"/>
      <c r="AJ221" s="636"/>
      <c r="AK221" s="636"/>
      <c r="AL221" s="636"/>
      <c r="AM221" s="636"/>
      <c r="AN221" s="636"/>
      <c r="AO221" s="636"/>
      <c r="AP221" s="636"/>
      <c r="AQ221" s="662"/>
      <c r="AR221" s="113" t="str">
        <f>IF(足元帳!A195="","",足元帳!A195)</f>
        <v/>
      </c>
      <c r="AS221" s="123">
        <f>COUNTIF(AR$4:AR221,AR221)</f>
        <v>218</v>
      </c>
    </row>
    <row r="222" spans="1:45" ht="23.45" customHeight="1">
      <c r="A222" s="655">
        <f t="shared" si="4"/>
        <v>195</v>
      </c>
      <c r="B222" s="604"/>
      <c r="C222" s="73" t="str">
        <f>IF(足元帳!AY196=1,"N",IF(足元帳!AY196=2,"R",""))</f>
        <v/>
      </c>
      <c r="D222" s="74" t="str">
        <f>IF(足元帳!AZ196&gt;0,VLOOKUP(足元帳!AZ196,管理シート!$R$4:$V$12,5,FALSE),"")</f>
        <v/>
      </c>
      <c r="E222" s="587" t="str">
        <f>IF(足元帳!J196="","",足元帳!J196)</f>
        <v/>
      </c>
      <c r="F222" s="566"/>
      <c r="G222" s="587" t="str">
        <f>IF(足元帳!K196="","",足元帳!K196)</f>
        <v/>
      </c>
      <c r="H222" s="565"/>
      <c r="I222" s="565"/>
      <c r="J222" s="566"/>
      <c r="K222" s="587" t="str">
        <f>IF(足元帳!BB196&gt;0,VLOOKUP(足元帳!BB196,管理シート!$R$4:$W$12,4,FALSE),"")</f>
        <v/>
      </c>
      <c r="L222" s="565"/>
      <c r="M222" s="566"/>
      <c r="N222" s="587" t="str">
        <f>IF(足元帳!U196="","",足元帳!U196)&amp;IF(足元帳!V196="","",足元帳!V196)&amp;IF(足元帳!W196="","",足元帳!W196)&amp;IF(足元帳!X196="","",足元帳!X196)&amp;IF(足元帳!Y196="","",足元帳!Y196)&amp;IF(足元帳!Z196="","",足元帳!Z196)</f>
        <v/>
      </c>
      <c r="O222" s="565"/>
      <c r="P222" s="565"/>
      <c r="Q222" s="565"/>
      <c r="R222" s="565"/>
      <c r="S222" s="566"/>
      <c r="T222" s="661" t="str">
        <f ca="1">IFERROR(INDEX(管理シート!$CB$3:$CK$24,MATCH(W222,管理シート!$CB$3:$CB$24,0),MATCH(K222,管理シート!$CB$3:$CM$3,0)),"")</f>
        <v/>
      </c>
      <c r="U222" s="661"/>
      <c r="V222" s="661"/>
      <c r="W222" s="587" t="str">
        <f ca="1">IF(ISERROR(MATCH("●",足元帳!AA196:AJ196,0)),"",INDIRECT("足元帳!R1C"&amp;MATCH("●",足元帳!AA196:AJ196,0)+26,FALSE))</f>
        <v/>
      </c>
      <c r="X222" s="565"/>
      <c r="Y222" s="566"/>
      <c r="Z222" s="587" t="str">
        <f>IF(足元帳!AL196="","","○")</f>
        <v/>
      </c>
      <c r="AA222" s="566"/>
      <c r="AB222" s="635" t="str">
        <f>IF(足元帳!AM196="","","現金カード払い"&amp;足元帳!AM196&amp;"  ")&amp;IF(足元帳!AP196="","",足元帳!AP196&amp;"　")&amp;IF(足元帳!AQ196="","",足元帳!AQ196&amp;"　")&amp;IF(足元帳!AR196="","",足元帳!AR196&amp;"　")&amp;IF(足元帳!AS196="","",足元帳!AS196&amp;"　")&amp;IF(足元帳!AT196="","",足元帳!AT196&amp;"　")&amp;IF(足元帳!AN196="","","LOVE×2")&amp;IF(足元帳!AJ196="","","MM"&amp;足元帳!AJ196)&amp;IF(足元帳!AW196="","",W222&amp;"利用"&amp;足元帳!AW196)&amp;IF(足元帳!AX196="",""," 優待券配布"&amp;足元帳!AX196)&amp;IF(足元帳!AU196="","","メルマガ")</f>
        <v/>
      </c>
      <c r="AC222" s="636"/>
      <c r="AD222" s="636"/>
      <c r="AE222" s="636"/>
      <c r="AF222" s="636"/>
      <c r="AG222" s="636"/>
      <c r="AH222" s="636"/>
      <c r="AI222" s="636"/>
      <c r="AJ222" s="636"/>
      <c r="AK222" s="636"/>
      <c r="AL222" s="636"/>
      <c r="AM222" s="636"/>
      <c r="AN222" s="636"/>
      <c r="AO222" s="636"/>
      <c r="AP222" s="636"/>
      <c r="AQ222" s="662"/>
      <c r="AR222" s="113" t="str">
        <f>IF(足元帳!A196="","",足元帳!A196)</f>
        <v/>
      </c>
      <c r="AS222" s="123">
        <f>COUNTIF(AR$4:AR222,AR222)</f>
        <v>219</v>
      </c>
    </row>
    <row r="223" spans="1:45" ht="23.45" customHeight="1">
      <c r="A223" s="655">
        <f t="shared" si="4"/>
        <v>196</v>
      </c>
      <c r="B223" s="604"/>
      <c r="C223" s="73" t="str">
        <f>IF(足元帳!AY197=1,"N",IF(足元帳!AY197=2,"R",""))</f>
        <v/>
      </c>
      <c r="D223" s="74" t="str">
        <f>IF(足元帳!AZ197&gt;0,VLOOKUP(足元帳!AZ197,管理シート!$R$4:$V$12,5,FALSE),"")</f>
        <v/>
      </c>
      <c r="E223" s="587" t="str">
        <f>IF(足元帳!J197="","",足元帳!J197)</f>
        <v/>
      </c>
      <c r="F223" s="566"/>
      <c r="G223" s="587" t="str">
        <f>IF(足元帳!K197="","",足元帳!K197)</f>
        <v/>
      </c>
      <c r="H223" s="565"/>
      <c r="I223" s="565"/>
      <c r="J223" s="566"/>
      <c r="K223" s="587" t="str">
        <f>IF(足元帳!BB197&gt;0,VLOOKUP(足元帳!BB197,管理シート!$R$4:$W$12,4,FALSE),"")</f>
        <v/>
      </c>
      <c r="L223" s="565"/>
      <c r="M223" s="566"/>
      <c r="N223" s="587" t="str">
        <f>IF(足元帳!U197="","",足元帳!U197)&amp;IF(足元帳!V197="","",足元帳!V197)&amp;IF(足元帳!W197="","",足元帳!W197)&amp;IF(足元帳!X197="","",足元帳!X197)&amp;IF(足元帳!Y197="","",足元帳!Y197)&amp;IF(足元帳!Z197="","",足元帳!Z197)</f>
        <v/>
      </c>
      <c r="O223" s="565"/>
      <c r="P223" s="565"/>
      <c r="Q223" s="565"/>
      <c r="R223" s="565"/>
      <c r="S223" s="566"/>
      <c r="T223" s="661" t="str">
        <f ca="1">IFERROR(INDEX(管理シート!$CB$3:$CK$24,MATCH(W223,管理シート!$CB$3:$CB$24,0),MATCH(K223,管理シート!$CB$3:$CM$3,0)),"")</f>
        <v/>
      </c>
      <c r="U223" s="661"/>
      <c r="V223" s="661"/>
      <c r="W223" s="587" t="str">
        <f ca="1">IF(ISERROR(MATCH("●",足元帳!AA197:AJ197,0)),"",INDIRECT("足元帳!R1C"&amp;MATCH("●",足元帳!AA197:AJ197,0)+26,FALSE))</f>
        <v/>
      </c>
      <c r="X223" s="565"/>
      <c r="Y223" s="566"/>
      <c r="Z223" s="587" t="str">
        <f>IF(足元帳!AL197="","","○")</f>
        <v/>
      </c>
      <c r="AA223" s="566"/>
      <c r="AB223" s="635" t="str">
        <f>IF(足元帳!AM197="","","現金カード払い"&amp;足元帳!AM197&amp;"  ")&amp;IF(足元帳!AP197="","",足元帳!AP197&amp;"　")&amp;IF(足元帳!AQ197="","",足元帳!AQ197&amp;"　")&amp;IF(足元帳!AR197="","",足元帳!AR197&amp;"　")&amp;IF(足元帳!AS197="","",足元帳!AS197&amp;"　")&amp;IF(足元帳!AT197="","",足元帳!AT197&amp;"　")&amp;IF(足元帳!AN197="","","LOVE×2")&amp;IF(足元帳!AJ197="","","MM"&amp;足元帳!AJ197)&amp;IF(足元帳!AW197="","",W223&amp;"利用"&amp;足元帳!AW197)&amp;IF(足元帳!AX197="",""," 優待券配布"&amp;足元帳!AX197)&amp;IF(足元帳!AU197="","","メルマガ")</f>
        <v/>
      </c>
      <c r="AC223" s="636"/>
      <c r="AD223" s="636"/>
      <c r="AE223" s="636"/>
      <c r="AF223" s="636"/>
      <c r="AG223" s="636"/>
      <c r="AH223" s="636"/>
      <c r="AI223" s="636"/>
      <c r="AJ223" s="636"/>
      <c r="AK223" s="636"/>
      <c r="AL223" s="636"/>
      <c r="AM223" s="636"/>
      <c r="AN223" s="636"/>
      <c r="AO223" s="636"/>
      <c r="AP223" s="636"/>
      <c r="AQ223" s="662"/>
      <c r="AR223" s="113" t="str">
        <f>IF(足元帳!A197="","",足元帳!A197)</f>
        <v/>
      </c>
      <c r="AS223" s="123">
        <f>COUNTIF(AR$4:AR223,AR223)</f>
        <v>220</v>
      </c>
    </row>
    <row r="224" spans="1:45" ht="23.45" customHeight="1">
      <c r="A224" s="655">
        <f t="shared" si="4"/>
        <v>197</v>
      </c>
      <c r="B224" s="604"/>
      <c r="C224" s="73" t="str">
        <f>IF(足元帳!AY198=1,"N",IF(足元帳!AY198=2,"R",""))</f>
        <v/>
      </c>
      <c r="D224" s="74" t="str">
        <f>IF(足元帳!AZ198&gt;0,VLOOKUP(足元帳!AZ198,管理シート!$R$4:$V$12,5,FALSE),"")</f>
        <v/>
      </c>
      <c r="E224" s="587" t="str">
        <f>IF(足元帳!J198="","",足元帳!J198)</f>
        <v/>
      </c>
      <c r="F224" s="566"/>
      <c r="G224" s="587" t="str">
        <f>IF(足元帳!K198="","",足元帳!K198)</f>
        <v/>
      </c>
      <c r="H224" s="565"/>
      <c r="I224" s="565"/>
      <c r="J224" s="566"/>
      <c r="K224" s="587" t="str">
        <f>IF(足元帳!BB198&gt;0,VLOOKUP(足元帳!BB198,管理シート!$R$4:$W$12,4,FALSE),"")</f>
        <v/>
      </c>
      <c r="L224" s="565"/>
      <c r="M224" s="566"/>
      <c r="N224" s="587" t="str">
        <f>IF(足元帳!U198="","",足元帳!U198)&amp;IF(足元帳!V198="","",足元帳!V198)&amp;IF(足元帳!W198="","",足元帳!W198)&amp;IF(足元帳!X198="","",足元帳!X198)&amp;IF(足元帳!Y198="","",足元帳!Y198)&amp;IF(足元帳!Z198="","",足元帳!Z198)</f>
        <v/>
      </c>
      <c r="O224" s="565"/>
      <c r="P224" s="565"/>
      <c r="Q224" s="565"/>
      <c r="R224" s="565"/>
      <c r="S224" s="566"/>
      <c r="T224" s="661" t="str">
        <f ca="1">IFERROR(INDEX(管理シート!$CB$3:$CK$24,MATCH(W224,管理シート!$CB$3:$CB$24,0),MATCH(K224,管理シート!$CB$3:$CM$3,0)),"")</f>
        <v/>
      </c>
      <c r="U224" s="661"/>
      <c r="V224" s="661"/>
      <c r="W224" s="587" t="str">
        <f ca="1">IF(ISERROR(MATCH("●",足元帳!AA198:AJ198,0)),"",INDIRECT("足元帳!R1C"&amp;MATCH("●",足元帳!AA198:AJ198,0)+26,FALSE))</f>
        <v/>
      </c>
      <c r="X224" s="565"/>
      <c r="Y224" s="566"/>
      <c r="Z224" s="587" t="str">
        <f>IF(足元帳!AL198="","","○")</f>
        <v/>
      </c>
      <c r="AA224" s="566"/>
      <c r="AB224" s="635" t="str">
        <f>IF(足元帳!AM198="","","現金カード払い"&amp;足元帳!AM198&amp;"  ")&amp;IF(足元帳!AP198="","",足元帳!AP198&amp;"　")&amp;IF(足元帳!AQ198="","",足元帳!AQ198&amp;"　")&amp;IF(足元帳!AR198="","",足元帳!AR198&amp;"　")&amp;IF(足元帳!AS198="","",足元帳!AS198&amp;"　")&amp;IF(足元帳!AT198="","",足元帳!AT198&amp;"　")&amp;IF(足元帳!AN198="","","LOVE×2")&amp;IF(足元帳!AJ198="","","MM"&amp;足元帳!AJ198)&amp;IF(足元帳!AW198="","",W224&amp;"利用"&amp;足元帳!AW198)&amp;IF(足元帳!AX198="",""," 優待券配布"&amp;足元帳!AX198)&amp;IF(足元帳!AU198="","","メルマガ")</f>
        <v/>
      </c>
      <c r="AC224" s="636"/>
      <c r="AD224" s="636"/>
      <c r="AE224" s="636"/>
      <c r="AF224" s="636"/>
      <c r="AG224" s="636"/>
      <c r="AH224" s="636"/>
      <c r="AI224" s="636"/>
      <c r="AJ224" s="636"/>
      <c r="AK224" s="636"/>
      <c r="AL224" s="636"/>
      <c r="AM224" s="636"/>
      <c r="AN224" s="636"/>
      <c r="AO224" s="636"/>
      <c r="AP224" s="636"/>
      <c r="AQ224" s="662"/>
      <c r="AR224" s="113" t="str">
        <f>IF(足元帳!A198="","",足元帳!A198)</f>
        <v/>
      </c>
      <c r="AS224" s="123">
        <f>COUNTIF(AR$4:AR224,AR224)</f>
        <v>221</v>
      </c>
    </row>
    <row r="225" spans="1:45" ht="23.45" customHeight="1">
      <c r="A225" s="655">
        <f t="shared" si="4"/>
        <v>198</v>
      </c>
      <c r="B225" s="604"/>
      <c r="C225" s="73" t="str">
        <f>IF(足元帳!AY199=1,"N",IF(足元帳!AY199=2,"R",""))</f>
        <v/>
      </c>
      <c r="D225" s="74" t="str">
        <f>IF(足元帳!AZ199&gt;0,VLOOKUP(足元帳!AZ199,管理シート!$R$4:$V$12,5,FALSE),"")</f>
        <v/>
      </c>
      <c r="E225" s="587" t="str">
        <f>IF(足元帳!J199="","",足元帳!J199)</f>
        <v/>
      </c>
      <c r="F225" s="566"/>
      <c r="G225" s="587" t="str">
        <f>IF(足元帳!K199="","",足元帳!K199)</f>
        <v/>
      </c>
      <c r="H225" s="565"/>
      <c r="I225" s="565"/>
      <c r="J225" s="566"/>
      <c r="K225" s="587" t="str">
        <f>IF(足元帳!BB199&gt;0,VLOOKUP(足元帳!BB199,管理シート!$R$4:$W$12,4,FALSE),"")</f>
        <v/>
      </c>
      <c r="L225" s="565"/>
      <c r="M225" s="566"/>
      <c r="N225" s="587" t="str">
        <f>IF(足元帳!U199="","",足元帳!U199)&amp;IF(足元帳!V199="","",足元帳!V199)&amp;IF(足元帳!W199="","",足元帳!W199)&amp;IF(足元帳!X199="","",足元帳!X199)&amp;IF(足元帳!Y199="","",足元帳!Y199)&amp;IF(足元帳!Z199="","",足元帳!Z199)</f>
        <v/>
      </c>
      <c r="O225" s="565"/>
      <c r="P225" s="565"/>
      <c r="Q225" s="565"/>
      <c r="R225" s="565"/>
      <c r="S225" s="566"/>
      <c r="T225" s="661" t="str">
        <f ca="1">IFERROR(INDEX(管理シート!$CB$3:$CK$24,MATCH(W225,管理シート!$CB$3:$CB$24,0),MATCH(K225,管理シート!$CB$3:$CM$3,0)),"")</f>
        <v/>
      </c>
      <c r="U225" s="661"/>
      <c r="V225" s="661"/>
      <c r="W225" s="587" t="str">
        <f ca="1">IF(ISERROR(MATCH("●",足元帳!AA199:AJ199,0)),"",INDIRECT("足元帳!R1C"&amp;MATCH("●",足元帳!AA199:AJ199,0)+26,FALSE))</f>
        <v/>
      </c>
      <c r="X225" s="565"/>
      <c r="Y225" s="566"/>
      <c r="Z225" s="587" t="str">
        <f>IF(足元帳!AL199="","","○")</f>
        <v/>
      </c>
      <c r="AA225" s="566"/>
      <c r="AB225" s="635" t="str">
        <f>IF(足元帳!AM199="","","現金カード払い"&amp;足元帳!AM199&amp;"  ")&amp;IF(足元帳!AP199="","",足元帳!AP199&amp;"　")&amp;IF(足元帳!AQ199="","",足元帳!AQ199&amp;"　")&amp;IF(足元帳!AR199="","",足元帳!AR199&amp;"　")&amp;IF(足元帳!AS199="","",足元帳!AS199&amp;"　")&amp;IF(足元帳!AT199="","",足元帳!AT199&amp;"　")&amp;IF(足元帳!AN199="","","LOVE×2")&amp;IF(足元帳!AJ199="","","MM"&amp;足元帳!AJ199)&amp;IF(足元帳!AW199="","",W225&amp;"利用"&amp;足元帳!AW199)&amp;IF(足元帳!AX199="",""," 優待券配布"&amp;足元帳!AX199)&amp;IF(足元帳!AU199="","","メルマガ")</f>
        <v/>
      </c>
      <c r="AC225" s="636"/>
      <c r="AD225" s="636"/>
      <c r="AE225" s="636"/>
      <c r="AF225" s="636"/>
      <c r="AG225" s="636"/>
      <c r="AH225" s="636"/>
      <c r="AI225" s="636"/>
      <c r="AJ225" s="636"/>
      <c r="AK225" s="636"/>
      <c r="AL225" s="636"/>
      <c r="AM225" s="636"/>
      <c r="AN225" s="636"/>
      <c r="AO225" s="636"/>
      <c r="AP225" s="636"/>
      <c r="AQ225" s="662"/>
      <c r="AR225" s="113" t="str">
        <f>IF(足元帳!A199="","",足元帳!A199)</f>
        <v/>
      </c>
      <c r="AS225" s="123">
        <f>COUNTIF(AR$4:AR225,AR225)</f>
        <v>222</v>
      </c>
    </row>
    <row r="226" spans="1:45" ht="23.45" customHeight="1">
      <c r="A226" s="655">
        <f t="shared" si="4"/>
        <v>199</v>
      </c>
      <c r="B226" s="604"/>
      <c r="C226" s="73" t="str">
        <f>IF(足元帳!AY200=1,"N",IF(足元帳!AY200=2,"R",""))</f>
        <v/>
      </c>
      <c r="D226" s="74" t="str">
        <f>IF(足元帳!AZ200&gt;0,VLOOKUP(足元帳!AZ200,管理シート!$R$4:$V$12,5,FALSE),"")</f>
        <v/>
      </c>
      <c r="E226" s="587" t="str">
        <f>IF(足元帳!J200="","",足元帳!J200)</f>
        <v/>
      </c>
      <c r="F226" s="566"/>
      <c r="G226" s="587" t="str">
        <f>IF(足元帳!K200="","",足元帳!K200)</f>
        <v/>
      </c>
      <c r="H226" s="565"/>
      <c r="I226" s="565"/>
      <c r="J226" s="566"/>
      <c r="K226" s="587" t="str">
        <f>IF(足元帳!BB200&gt;0,VLOOKUP(足元帳!BB200,管理シート!$R$4:$W$12,4,FALSE),"")</f>
        <v/>
      </c>
      <c r="L226" s="565"/>
      <c r="M226" s="566"/>
      <c r="N226" s="587" t="str">
        <f>IF(足元帳!U200="","",足元帳!U200)&amp;IF(足元帳!V200="","",足元帳!V200)&amp;IF(足元帳!W200="","",足元帳!W200)&amp;IF(足元帳!X200="","",足元帳!X200)&amp;IF(足元帳!Y200="","",足元帳!Y200)&amp;IF(足元帳!Z200="","",足元帳!Z200)</f>
        <v/>
      </c>
      <c r="O226" s="565"/>
      <c r="P226" s="565"/>
      <c r="Q226" s="565"/>
      <c r="R226" s="565"/>
      <c r="S226" s="566"/>
      <c r="T226" s="661" t="str">
        <f ca="1">IFERROR(INDEX(管理シート!$CB$3:$CK$24,MATCH(W226,管理シート!$CB$3:$CB$24,0),MATCH(K226,管理シート!$CB$3:$CM$3,0)),"")</f>
        <v/>
      </c>
      <c r="U226" s="661"/>
      <c r="V226" s="661"/>
      <c r="W226" s="587" t="str">
        <f ca="1">IF(ISERROR(MATCH("●",足元帳!AA200:AJ200,0)),"",INDIRECT("足元帳!R1C"&amp;MATCH("●",足元帳!AA200:AJ200,0)+26,FALSE))</f>
        <v/>
      </c>
      <c r="X226" s="565"/>
      <c r="Y226" s="566"/>
      <c r="Z226" s="587" t="str">
        <f>IF(足元帳!AL200="","","○")</f>
        <v/>
      </c>
      <c r="AA226" s="566"/>
      <c r="AB226" s="635" t="str">
        <f>IF(足元帳!AM200="","","現金カード払い"&amp;足元帳!AM200&amp;"  ")&amp;IF(足元帳!AP200="","",足元帳!AP200&amp;"　")&amp;IF(足元帳!AQ200="","",足元帳!AQ200&amp;"　")&amp;IF(足元帳!AR200="","",足元帳!AR200&amp;"　")&amp;IF(足元帳!AS200="","",足元帳!AS200&amp;"　")&amp;IF(足元帳!AT200="","",足元帳!AT200&amp;"　")&amp;IF(足元帳!AN200="","","LOVE×2")&amp;IF(足元帳!AJ200="","","MM"&amp;足元帳!AJ200)&amp;IF(足元帳!AW200="","",W226&amp;"利用"&amp;足元帳!AW200)&amp;IF(足元帳!AX200="",""," 優待券配布"&amp;足元帳!AX200)&amp;IF(足元帳!AU200="","","メルマガ")</f>
        <v/>
      </c>
      <c r="AC226" s="636"/>
      <c r="AD226" s="636"/>
      <c r="AE226" s="636"/>
      <c r="AF226" s="636"/>
      <c r="AG226" s="636"/>
      <c r="AH226" s="636"/>
      <c r="AI226" s="636"/>
      <c r="AJ226" s="636"/>
      <c r="AK226" s="636"/>
      <c r="AL226" s="636"/>
      <c r="AM226" s="636"/>
      <c r="AN226" s="636"/>
      <c r="AO226" s="636"/>
      <c r="AP226" s="636"/>
      <c r="AQ226" s="662"/>
      <c r="AR226" s="113" t="str">
        <f>IF(足元帳!A200="","",足元帳!A200)</f>
        <v/>
      </c>
      <c r="AS226" s="123">
        <f>COUNTIF(AR$4:AR226,AR226)</f>
        <v>223</v>
      </c>
    </row>
    <row r="227" spans="1:45" ht="23.45" customHeight="1" thickBot="1">
      <c r="A227" s="663">
        <f t="shared" si="4"/>
        <v>200</v>
      </c>
      <c r="B227" s="608"/>
      <c r="C227" s="76" t="str">
        <f>IF(足元帳!AY201=1,"N",IF(足元帳!AY201=2,"R",""))</f>
        <v/>
      </c>
      <c r="D227" s="77" t="str">
        <f>IF(足元帳!AZ201&gt;0,VLOOKUP(足元帳!AZ201,管理シート!$R$4:$V$12,5,FALSE),"")</f>
        <v/>
      </c>
      <c r="E227" s="597" t="str">
        <f>IF(足元帳!J201="","",足元帳!J201)</f>
        <v/>
      </c>
      <c r="F227" s="596"/>
      <c r="G227" s="597" t="str">
        <f>IF(足元帳!K201="","",足元帳!K201)</f>
        <v/>
      </c>
      <c r="H227" s="589"/>
      <c r="I227" s="589"/>
      <c r="J227" s="596"/>
      <c r="K227" s="597" t="str">
        <f>IF(足元帳!BB201&gt;0,VLOOKUP(足元帳!BB201,管理シート!$R$4:$W$12,4,FALSE),"")</f>
        <v/>
      </c>
      <c r="L227" s="589"/>
      <c r="M227" s="596"/>
      <c r="N227" s="597" t="str">
        <f>IF(足元帳!U201="","",足元帳!U201)&amp;IF(足元帳!V201="","",足元帳!V201)&amp;IF(足元帳!W201="","",足元帳!W201)&amp;IF(足元帳!X201="","",足元帳!X201)&amp;IF(足元帳!Y201="","",足元帳!Y201)&amp;IF(足元帳!Z201="","",足元帳!Z201)</f>
        <v/>
      </c>
      <c r="O227" s="589"/>
      <c r="P227" s="589"/>
      <c r="Q227" s="589"/>
      <c r="R227" s="589"/>
      <c r="S227" s="596"/>
      <c r="T227" s="608" t="str">
        <f ca="1">IFERROR(INDEX(管理シート!$CB$3:$CK$24,MATCH(W227,管理シート!$CB$3:$CB$24,0),MATCH(K227,管理シート!$CB$3:$CM$3,0)),"")</f>
        <v/>
      </c>
      <c r="U227" s="608"/>
      <c r="V227" s="608"/>
      <c r="W227" s="597" t="str">
        <f ca="1">IF(ISERROR(MATCH("●",足元帳!AA201:AJ201,0)),"",INDIRECT("足元帳!R1C"&amp;MATCH("●",足元帳!AA201:AJ201,0)+26,FALSE))</f>
        <v/>
      </c>
      <c r="X227" s="589"/>
      <c r="Y227" s="596"/>
      <c r="Z227" s="597" t="str">
        <f>IF(足元帳!AL201="","","○")</f>
        <v/>
      </c>
      <c r="AA227" s="596"/>
      <c r="AB227" s="597" t="str">
        <f>IF(足元帳!AM201="","","現金カード払い"&amp;足元帳!AM201&amp;"  ")&amp;IF(足元帳!AP201="","",足元帳!AP201&amp;"　")&amp;IF(足元帳!AQ201="","",足元帳!AQ201&amp;"　")&amp;IF(足元帳!AR201="","",足元帳!AR201&amp;"　")&amp;IF(足元帳!AS201="","",足元帳!AS201&amp;"　")&amp;IF(足元帳!AT201="","",足元帳!AT201&amp;"　")&amp;IF(足元帳!AN201="","","LOVE×2")&amp;IF(足元帳!AJ201="","","MM"&amp;足元帳!AJ201)&amp;IF(足元帳!AW201="","",W227&amp;"利用"&amp;足元帳!AW201)&amp;IF(足元帳!AX201="",""," 優待券配布"&amp;足元帳!AX201)&amp;IF(足元帳!AU201="","","メルマガ")</f>
        <v/>
      </c>
      <c r="AC227" s="589"/>
      <c r="AD227" s="589"/>
      <c r="AE227" s="589"/>
      <c r="AF227" s="589"/>
      <c r="AG227" s="589"/>
      <c r="AH227" s="589"/>
      <c r="AI227" s="589"/>
      <c r="AJ227" s="589"/>
      <c r="AK227" s="589"/>
      <c r="AL227" s="589"/>
      <c r="AM227" s="589"/>
      <c r="AN227" s="589"/>
      <c r="AO227" s="589"/>
      <c r="AP227" s="589"/>
      <c r="AQ227" s="590"/>
      <c r="AR227" s="113" t="str">
        <f>IF(足元帳!A201="","",足元帳!A201)</f>
        <v/>
      </c>
      <c r="AS227" s="123">
        <f>COUNTIF(AR$4:AR227,AR227)</f>
        <v>224</v>
      </c>
    </row>
    <row r="228" spans="1:45" ht="23.45" customHeight="1">
      <c r="A228" s="659" t="s">
        <v>159</v>
      </c>
      <c r="B228" s="660"/>
      <c r="C228" s="120" t="s">
        <v>183</v>
      </c>
      <c r="D228" s="122" t="s">
        <v>184</v>
      </c>
      <c r="E228" s="636">
        <f>IF((COUNTIF(C188:C227,"N")+COUNTIF(C188:C227,"R"))=0,COUNTIF(C188:C227,"N"),COUNTIF(C188:C227,"N")+E182)</f>
        <v>0</v>
      </c>
      <c r="F228" s="636"/>
      <c r="G228" s="122" t="s">
        <v>185</v>
      </c>
      <c r="H228" s="130" t="s">
        <v>186</v>
      </c>
      <c r="I228" s="122" t="s">
        <v>187</v>
      </c>
      <c r="J228" s="122" t="s">
        <v>184</v>
      </c>
      <c r="K228" s="636">
        <f>IF((COUNTIF(C188:C227,"R")+COUNTIF(C188:C227,"N"))=0,COUNTIF(C188:C227,"R"),COUNTIF(C188:C227,"R")+K182)</f>
        <v>0</v>
      </c>
      <c r="L228" s="636"/>
      <c r="M228" s="122" t="s">
        <v>185</v>
      </c>
      <c r="N228" s="130" t="s">
        <v>188</v>
      </c>
      <c r="O228" s="636">
        <f>IF(E228+K228=0,0,E228+K228)</f>
        <v>0</v>
      </c>
      <c r="P228" s="636"/>
      <c r="Q228" s="122"/>
      <c r="R228" s="122" t="s">
        <v>14</v>
      </c>
      <c r="S228" s="122" t="s">
        <v>189</v>
      </c>
      <c r="T228" s="636">
        <f>COUNTIF(D4:D43,"姫")+COUNTIF(D50:D89,"姫")+COUNTIF(D96:D135,"姫")+COUNTIF(D142:D181,"姫")+COUNTIF(D188:D227,"姫")</f>
        <v>0</v>
      </c>
      <c r="U228" s="636"/>
      <c r="V228" s="122" t="s">
        <v>190</v>
      </c>
      <c r="W228" s="290" t="s">
        <v>384</v>
      </c>
      <c r="X228" s="122" t="s">
        <v>5</v>
      </c>
      <c r="Y228" s="122" t="s">
        <v>385</v>
      </c>
      <c r="Z228" s="636">
        <f>COUNTIF(D4:D43,"本")+COUNTIF(D50:D89,"本")+COUNTIF(D96:D135,"本")+COUNTIF(D142:D181,"本")+COUNTIF(D188:D227,"本")</f>
        <v>0</v>
      </c>
      <c r="AA228" s="636"/>
      <c r="AB228" s="122" t="s">
        <v>190</v>
      </c>
      <c r="AC228" s="130" t="s">
        <v>186</v>
      </c>
      <c r="AD228" s="122" t="s">
        <v>191</v>
      </c>
      <c r="AE228" s="122" t="s">
        <v>189</v>
      </c>
      <c r="AF228" s="636">
        <f>COUNTIF(D4:D43,"ネ")+COUNTIF(D50:D89,"ネ")+COUNTIF(D96:D135,"ネ")+COUNTIF(D142:D181,"ネ")+COUNTIF(D188:D227,"ネ")</f>
        <v>0</v>
      </c>
      <c r="AG228" s="636"/>
      <c r="AH228" s="122" t="s">
        <v>190</v>
      </c>
      <c r="AI228" s="122" t="s">
        <v>186</v>
      </c>
      <c r="AJ228" s="122" t="s">
        <v>0</v>
      </c>
      <c r="AK228" s="122" t="s">
        <v>189</v>
      </c>
      <c r="AL228" s="636">
        <f>COUNTIF(D4:D43,"写")+COUNTIF(D50:D89,"写")+COUNTIF(D96:D135,"写")+COUNTIF(D142:D181,"写")+COUNTIF(D188:D227,"写")</f>
        <v>0</v>
      </c>
      <c r="AM228" s="636"/>
      <c r="AN228" s="122" t="s">
        <v>190</v>
      </c>
      <c r="AO228" s="130" t="s">
        <v>166</v>
      </c>
      <c r="AP228" s="636">
        <f>T228+Z228+AF228+AL228</f>
        <v>0</v>
      </c>
      <c r="AQ228" s="662"/>
    </row>
    <row r="229" spans="1:45" ht="23.45" customHeight="1">
      <c r="A229" s="665" t="s">
        <v>160</v>
      </c>
      <c r="B229" s="666"/>
      <c r="C229" s="666"/>
      <c r="D229" s="666"/>
      <c r="E229" s="666"/>
      <c r="F229" s="666"/>
      <c r="G229" s="666" t="s">
        <v>192</v>
      </c>
      <c r="H229" s="666"/>
      <c r="I229" s="666" t="s">
        <v>162</v>
      </c>
      <c r="J229" s="666"/>
      <c r="K229" s="666"/>
      <c r="L229" s="666"/>
      <c r="M229" s="666"/>
      <c r="N229" s="666"/>
      <c r="O229" s="666" t="s">
        <v>192</v>
      </c>
      <c r="P229" s="666"/>
      <c r="Q229" s="666" t="s">
        <v>163</v>
      </c>
      <c r="R229" s="666"/>
      <c r="S229" s="666"/>
      <c r="T229" s="666"/>
      <c r="U229" s="666"/>
      <c r="V229" s="666"/>
      <c r="W229" s="666" t="s">
        <v>384</v>
      </c>
      <c r="X229" s="666"/>
      <c r="Y229" s="666" t="s">
        <v>165</v>
      </c>
      <c r="Z229" s="666"/>
      <c r="AA229" s="666"/>
      <c r="AB229" s="666"/>
      <c r="AC229" s="666"/>
      <c r="AD229" s="666"/>
      <c r="AE229" s="666" t="s">
        <v>166</v>
      </c>
      <c r="AF229" s="666"/>
      <c r="AG229" s="666" t="s">
        <v>167</v>
      </c>
      <c r="AH229" s="666"/>
      <c r="AI229" s="666"/>
      <c r="AJ229" s="666"/>
      <c r="AK229" s="666"/>
      <c r="AL229" s="666"/>
      <c r="AM229" s="666"/>
      <c r="AN229" s="666"/>
      <c r="AO229" s="666"/>
      <c r="AP229" s="666"/>
      <c r="AQ229" s="670"/>
    </row>
    <row r="230" spans="1:45" ht="23.45" customHeight="1" thickBot="1">
      <c r="A230" s="668">
        <f>IF(P274&gt;0,"",精算表!$BD$46)</f>
        <v>0</v>
      </c>
      <c r="B230" s="669"/>
      <c r="C230" s="669"/>
      <c r="D230" s="669"/>
      <c r="E230" s="669"/>
      <c r="F230" s="669"/>
      <c r="G230" s="656" t="s">
        <v>192</v>
      </c>
      <c r="H230" s="656"/>
      <c r="I230" s="669">
        <f>IF(P274&gt;0,"",精算表!$BD$49)</f>
        <v>0</v>
      </c>
      <c r="J230" s="669"/>
      <c r="K230" s="669"/>
      <c r="L230" s="669"/>
      <c r="M230" s="669"/>
      <c r="N230" s="669"/>
      <c r="O230" s="656" t="s">
        <v>192</v>
      </c>
      <c r="P230" s="656"/>
      <c r="Q230" s="669">
        <f>IF(P274&gt;0,"",精算表!$BD$50)</f>
        <v>0</v>
      </c>
      <c r="R230" s="669"/>
      <c r="S230" s="669"/>
      <c r="T230" s="669"/>
      <c r="U230" s="669"/>
      <c r="V230" s="669"/>
      <c r="W230" s="656" t="s">
        <v>384</v>
      </c>
      <c r="X230" s="656"/>
      <c r="Y230" s="669">
        <f>IF(P274&gt;0,"",精算表!$BD$56)</f>
        <v>0</v>
      </c>
      <c r="Z230" s="669"/>
      <c r="AA230" s="669"/>
      <c r="AB230" s="669"/>
      <c r="AC230" s="669"/>
      <c r="AD230" s="669"/>
      <c r="AE230" s="656" t="s">
        <v>166</v>
      </c>
      <c r="AF230" s="656"/>
      <c r="AG230" s="657">
        <f>IF(P274&gt;0,"",A230-I230-Q230+Y230)</f>
        <v>0</v>
      </c>
      <c r="AH230" s="656"/>
      <c r="AI230" s="656"/>
      <c r="AJ230" s="656"/>
      <c r="AK230" s="656"/>
      <c r="AL230" s="656"/>
      <c r="AM230" s="656"/>
      <c r="AN230" s="656"/>
      <c r="AO230" s="656"/>
      <c r="AP230" s="656"/>
      <c r="AQ230" s="658"/>
    </row>
    <row r="231" spans="1:45" ht="35.1" customHeight="1">
      <c r="AD231" s="113" t="s">
        <v>142</v>
      </c>
      <c r="AF231" s="585" t="str">
        <f>TEXT(精算表!W1,"eee")</f>
        <v>31</v>
      </c>
      <c r="AG231" s="585"/>
      <c r="AH231" s="113" t="s">
        <v>143</v>
      </c>
      <c r="AI231" s="585">
        <f>MONTH(精算表!W1)</f>
        <v>10</v>
      </c>
      <c r="AJ231" s="585"/>
      <c r="AK231" s="585"/>
      <c r="AL231" s="578" t="s">
        <v>144</v>
      </c>
      <c r="AM231" s="578"/>
      <c r="AN231" s="585">
        <f>DAY(精算表!W1)</f>
        <v>17</v>
      </c>
      <c r="AO231" s="585"/>
      <c r="AP231" s="578" t="s">
        <v>145</v>
      </c>
      <c r="AQ231" s="578"/>
    </row>
    <row r="232" spans="1:45" ht="35.1" customHeight="1" thickBot="1">
      <c r="A232" s="579">
        <v>6</v>
      </c>
      <c r="B232" s="579"/>
      <c r="C232" s="579"/>
      <c r="D232" s="579"/>
      <c r="E232" s="579"/>
      <c r="F232" s="579"/>
      <c r="G232" s="579"/>
      <c r="H232" s="579"/>
      <c r="I232" s="579"/>
      <c r="J232" s="579"/>
      <c r="K232" s="579"/>
      <c r="L232" s="579"/>
      <c r="M232" s="579"/>
      <c r="N232" s="579"/>
      <c r="O232" s="579"/>
      <c r="P232" s="579"/>
      <c r="Q232" s="579"/>
      <c r="R232" s="579"/>
      <c r="S232" s="579"/>
      <c r="T232" s="579"/>
      <c r="U232" s="579"/>
      <c r="V232" s="579"/>
      <c r="W232" s="579"/>
      <c r="X232" s="579"/>
      <c r="Y232" s="579"/>
      <c r="Z232" s="579"/>
      <c r="AA232" s="579"/>
      <c r="AB232" s="579"/>
      <c r="AC232" s="579"/>
      <c r="AD232" s="579"/>
      <c r="AE232" s="579"/>
      <c r="AF232" s="579"/>
      <c r="AG232" s="579"/>
      <c r="AH232" s="579"/>
      <c r="AI232" s="579"/>
      <c r="AJ232" s="579"/>
      <c r="AK232" s="579"/>
      <c r="AL232" s="579"/>
      <c r="AM232" s="579"/>
      <c r="AN232" s="579"/>
      <c r="AO232" s="579"/>
      <c r="AP232" s="579"/>
      <c r="AQ232" s="579"/>
    </row>
    <row r="233" spans="1:45" ht="23.45" customHeight="1" thickBot="1">
      <c r="A233" s="580" t="s">
        <v>146</v>
      </c>
      <c r="B233" s="581"/>
      <c r="C233" s="582" t="s">
        <v>147</v>
      </c>
      <c r="D233" s="581"/>
      <c r="E233" s="582" t="s">
        <v>6</v>
      </c>
      <c r="F233" s="581"/>
      <c r="G233" s="664" t="s">
        <v>148</v>
      </c>
      <c r="H233" s="664"/>
      <c r="I233" s="664"/>
      <c r="J233" s="664"/>
      <c r="K233" s="664" t="s">
        <v>180</v>
      </c>
      <c r="L233" s="664"/>
      <c r="M233" s="664"/>
      <c r="N233" s="582" t="s">
        <v>181</v>
      </c>
      <c r="O233" s="583"/>
      <c r="P233" s="583"/>
      <c r="Q233" s="583"/>
      <c r="R233" s="583"/>
      <c r="S233" s="581"/>
      <c r="T233" s="582" t="s">
        <v>2</v>
      </c>
      <c r="U233" s="583"/>
      <c r="V233" s="581"/>
      <c r="W233" s="582" t="s">
        <v>383</v>
      </c>
      <c r="X233" s="583"/>
      <c r="Y233" s="581"/>
      <c r="Z233" s="582" t="s">
        <v>182</v>
      </c>
      <c r="AA233" s="581"/>
      <c r="AB233" s="582" t="s">
        <v>151</v>
      </c>
      <c r="AC233" s="583"/>
      <c r="AD233" s="583"/>
      <c r="AE233" s="583"/>
      <c r="AF233" s="583"/>
      <c r="AG233" s="583"/>
      <c r="AH233" s="583"/>
      <c r="AI233" s="583"/>
      <c r="AJ233" s="583"/>
      <c r="AK233" s="583"/>
      <c r="AL233" s="583"/>
      <c r="AM233" s="583"/>
      <c r="AN233" s="583"/>
      <c r="AO233" s="583"/>
      <c r="AP233" s="583"/>
      <c r="AQ233" s="584"/>
    </row>
    <row r="234" spans="1:45" ht="23.45" customHeight="1">
      <c r="A234" s="667">
        <v>201</v>
      </c>
      <c r="B234" s="661"/>
      <c r="C234" s="120" t="str">
        <f>IF(足元帳!AY202=1,"N",IF(足元帳!AY202=2,"R",""))</f>
        <v/>
      </c>
      <c r="D234" s="241" t="str">
        <f>IF(足元帳!AZ202&gt;0,VLOOKUP(足元帳!AZ202,管理シート!$R$4:$V$12,5,FALSE),"")</f>
        <v/>
      </c>
      <c r="E234" s="661" t="str">
        <f>IF(足元帳!J202="","",足元帳!J202)</f>
        <v/>
      </c>
      <c r="F234" s="661"/>
      <c r="G234" s="661" t="str">
        <f>IF(足元帳!K202="","",足元帳!K202)</f>
        <v/>
      </c>
      <c r="H234" s="661"/>
      <c r="I234" s="661"/>
      <c r="J234" s="661"/>
      <c r="K234" s="661" t="str">
        <f>IF(足元帳!BB202&gt;0,VLOOKUP(足元帳!BB202,管理シート!$R$4:$W$12,4,FALSE),"")</f>
        <v/>
      </c>
      <c r="L234" s="661"/>
      <c r="M234" s="661"/>
      <c r="N234" s="661" t="str">
        <f>IF(足元帳!U202="","",足元帳!U202)&amp;IF(足元帳!V202="","",足元帳!V202)&amp;IF(足元帳!W202="","",足元帳!W202)&amp;IF(足元帳!X202="","",足元帳!X202)&amp;IF(足元帳!Y202="","",足元帳!Y202)&amp;IF(足元帳!Z202="","",足元帳!Z202)</f>
        <v/>
      </c>
      <c r="O234" s="661"/>
      <c r="P234" s="661"/>
      <c r="Q234" s="661"/>
      <c r="R234" s="661"/>
      <c r="S234" s="661"/>
      <c r="T234" s="661" t="str">
        <f ca="1">IFERROR(INDEX(管理シート!$CB$3:$CK$24,MATCH(W234,管理シート!$CB$3:$CB$24,0),MATCH(K234,管理シート!$CB$3:$CM$3,0)),"")</f>
        <v/>
      </c>
      <c r="U234" s="661"/>
      <c r="V234" s="661"/>
      <c r="W234" s="635" t="str">
        <f ca="1">IF(ISERROR(MATCH("●",足元帳!AA202:AJ202,0)),"",INDIRECT("足元帳!R1C"&amp;MATCH("●",足元帳!AA202:AJ202,0)+26,FALSE))</f>
        <v/>
      </c>
      <c r="X234" s="636"/>
      <c r="Y234" s="649"/>
      <c r="Z234" s="661" t="str">
        <f>IF(足元帳!AL202="","","○")</f>
        <v/>
      </c>
      <c r="AA234" s="661"/>
      <c r="AB234" s="635" t="str">
        <f>IF(足元帳!AM202="","","現金カード払い"&amp;足元帳!AM202&amp;"  ")&amp;IF(足元帳!AP202="","",足元帳!AP202&amp;"　")&amp;IF(足元帳!AQ202="","",足元帳!AQ202&amp;"　")&amp;IF(足元帳!AR202="","",足元帳!AR202&amp;"　")&amp;IF(足元帳!AS202="","",足元帳!AS202&amp;"　")&amp;IF(足元帳!AT202="","",足元帳!AT202&amp;"　")&amp;IF(足元帳!AN202="","","LOVE×2")&amp;IF(足元帳!AJ202="","","MM"&amp;足元帳!AJ202)&amp;IF(足元帳!AW202="","",W234&amp;"利用"&amp;足元帳!AW202)&amp;IF(足元帳!AX202="",""," 優待券配布"&amp;足元帳!AX202)&amp;IF(足元帳!AU202="","","メルマガ")</f>
        <v/>
      </c>
      <c r="AC234" s="636"/>
      <c r="AD234" s="636"/>
      <c r="AE234" s="636"/>
      <c r="AF234" s="636"/>
      <c r="AG234" s="636"/>
      <c r="AH234" s="636"/>
      <c r="AI234" s="636"/>
      <c r="AJ234" s="636"/>
      <c r="AK234" s="636"/>
      <c r="AL234" s="636"/>
      <c r="AM234" s="636"/>
      <c r="AN234" s="636"/>
      <c r="AO234" s="636"/>
      <c r="AP234" s="636"/>
      <c r="AQ234" s="662"/>
      <c r="AR234" s="113" t="str">
        <f>IF(足元帳!A202="","",足元帳!A202)</f>
        <v/>
      </c>
      <c r="AS234" s="123">
        <f>COUNTIF(AR$4:AR234,AR234)</f>
        <v>231</v>
      </c>
    </row>
    <row r="235" spans="1:45" ht="23.45" customHeight="1">
      <c r="A235" s="586">
        <f>A234+1</f>
        <v>202</v>
      </c>
      <c r="B235" s="566"/>
      <c r="C235" s="73" t="str">
        <f>IF(足元帳!AY203=1,"N",IF(足元帳!AY203=2,"R",""))</f>
        <v/>
      </c>
      <c r="D235" s="74" t="str">
        <f>IF(足元帳!AZ203&gt;0,VLOOKUP(足元帳!AZ203,管理シート!$R$4:$V$12,5,FALSE),"")</f>
        <v/>
      </c>
      <c r="E235" s="587" t="str">
        <f>IF(足元帳!J203="","",足元帳!J203)</f>
        <v/>
      </c>
      <c r="F235" s="566"/>
      <c r="G235" s="587" t="str">
        <f>IF(足元帳!K203="","",足元帳!K203)</f>
        <v/>
      </c>
      <c r="H235" s="565"/>
      <c r="I235" s="565"/>
      <c r="J235" s="566"/>
      <c r="K235" s="587" t="str">
        <f>IF(足元帳!BB203&gt;0,VLOOKUP(足元帳!BB203,管理シート!$R$4:$W$12,4,FALSE),"")</f>
        <v/>
      </c>
      <c r="L235" s="565"/>
      <c r="M235" s="566"/>
      <c r="N235" s="587" t="str">
        <f>IF(足元帳!U203="","",足元帳!U203)&amp;IF(足元帳!V203="","",足元帳!V203)&amp;IF(足元帳!W203="","",足元帳!W203)&amp;IF(足元帳!X203="","",足元帳!X203)&amp;IF(足元帳!Y203="","",足元帳!Y203)&amp;IF(足元帳!Z203="","",足元帳!Z203)</f>
        <v/>
      </c>
      <c r="O235" s="565"/>
      <c r="P235" s="565"/>
      <c r="Q235" s="565"/>
      <c r="R235" s="565"/>
      <c r="S235" s="566"/>
      <c r="T235" s="661" t="str">
        <f ca="1">IFERROR(INDEX(管理シート!$CB$3:$CK$24,MATCH(W235,管理シート!$CB$3:$CB$24,0),MATCH(K235,管理シート!$CB$3:$CM$3,0)),"")</f>
        <v/>
      </c>
      <c r="U235" s="661"/>
      <c r="V235" s="661"/>
      <c r="W235" s="587" t="str">
        <f ca="1">IF(ISERROR(MATCH("●",足元帳!AA203:AJ203,0)),"",INDIRECT("足元帳!R1C"&amp;MATCH("●",足元帳!AA203:AJ203,0)+26,FALSE))</f>
        <v/>
      </c>
      <c r="X235" s="565"/>
      <c r="Y235" s="566"/>
      <c r="Z235" s="587" t="str">
        <f>IF(足元帳!AL203="","","○")</f>
        <v/>
      </c>
      <c r="AA235" s="566"/>
      <c r="AB235" s="604" t="str">
        <f>IF(足元帳!AM203="","","現金カード払い"&amp;足元帳!AM203&amp;"  ")&amp;IF(足元帳!AP203="","",足元帳!AP203&amp;"　")&amp;IF(足元帳!AQ203="","",足元帳!AQ203&amp;"　")&amp;IF(足元帳!AR203="","",足元帳!AR203&amp;"　")&amp;IF(足元帳!AS203="","",足元帳!AS203&amp;"　")&amp;IF(足元帳!AT203="","",足元帳!AT203&amp;"　")&amp;IF(足元帳!AN203="","","LOVE×2")&amp;IF(足元帳!AJ203="","","MM"&amp;足元帳!AJ203)&amp;IF(足元帳!AW203="","",W235&amp;"利用"&amp;足元帳!AW203)&amp;IF(足元帳!AX203="",""," 優待券配布"&amp;足元帳!AX203)&amp;IF(足元帳!AU203="","","メルマガ")</f>
        <v/>
      </c>
      <c r="AC235" s="604"/>
      <c r="AD235" s="604"/>
      <c r="AE235" s="604"/>
      <c r="AF235" s="604"/>
      <c r="AG235" s="604"/>
      <c r="AH235" s="604"/>
      <c r="AI235" s="604"/>
      <c r="AJ235" s="604"/>
      <c r="AK235" s="604"/>
      <c r="AL235" s="604"/>
      <c r="AM235" s="604"/>
      <c r="AN235" s="604"/>
      <c r="AO235" s="604"/>
      <c r="AP235" s="604"/>
      <c r="AQ235" s="604"/>
      <c r="AR235" s="113" t="str">
        <f>IF(足元帳!A203="","",足元帳!A203)</f>
        <v/>
      </c>
      <c r="AS235" s="123">
        <f>COUNTIF(AR$4:AR235,AR235)</f>
        <v>232</v>
      </c>
    </row>
    <row r="236" spans="1:45" ht="23.45" customHeight="1">
      <c r="A236" s="586">
        <f t="shared" ref="A236:A273" si="5">A235+1</f>
        <v>203</v>
      </c>
      <c r="B236" s="566"/>
      <c r="C236" s="73" t="str">
        <f>IF(足元帳!AY204=1,"N",IF(足元帳!AY204=2,"R",""))</f>
        <v/>
      </c>
      <c r="D236" s="74" t="str">
        <f>IF(足元帳!AZ204&gt;0,VLOOKUP(足元帳!AZ204,管理シート!$R$4:$V$12,5,FALSE),"")</f>
        <v/>
      </c>
      <c r="E236" s="587" t="str">
        <f>IF(足元帳!J204="","",足元帳!J204)</f>
        <v/>
      </c>
      <c r="F236" s="566"/>
      <c r="G236" s="587" t="str">
        <f>IF(足元帳!K204="","",足元帳!K204)</f>
        <v/>
      </c>
      <c r="H236" s="565"/>
      <c r="I236" s="565"/>
      <c r="J236" s="566"/>
      <c r="K236" s="587" t="str">
        <f>IF(足元帳!BB204&gt;0,VLOOKUP(足元帳!BB204,管理シート!$R$4:$W$12,4,FALSE),"")</f>
        <v/>
      </c>
      <c r="L236" s="565"/>
      <c r="M236" s="566"/>
      <c r="N236" s="587" t="str">
        <f>IF(足元帳!U204="","",足元帳!U204)&amp;IF(足元帳!V204="","",足元帳!V204)&amp;IF(足元帳!W204="","",足元帳!W204)&amp;IF(足元帳!X204="","",足元帳!X204)&amp;IF(足元帳!Y204="","",足元帳!Y204)&amp;IF(足元帳!Z204="","",足元帳!Z204)</f>
        <v/>
      </c>
      <c r="O236" s="565"/>
      <c r="P236" s="565"/>
      <c r="Q236" s="565"/>
      <c r="R236" s="565"/>
      <c r="S236" s="566"/>
      <c r="T236" s="661" t="str">
        <f ca="1">IFERROR(INDEX(管理シート!$CB$3:$CK$24,MATCH(W236,管理シート!$CB$3:$CB$24,0),MATCH(K236,管理シート!$CB$3:$CM$3,0)),"")</f>
        <v/>
      </c>
      <c r="U236" s="661"/>
      <c r="V236" s="661"/>
      <c r="W236" s="587" t="str">
        <f ca="1">IF(ISERROR(MATCH("●",足元帳!AA204:AJ204,0)),"",INDIRECT("足元帳!R1C"&amp;MATCH("●",足元帳!AA204:AJ204,0)+26,FALSE))</f>
        <v/>
      </c>
      <c r="X236" s="565"/>
      <c r="Y236" s="566"/>
      <c r="Z236" s="587" t="str">
        <f>IF(足元帳!AL204="","","○")</f>
        <v/>
      </c>
      <c r="AA236" s="566"/>
      <c r="AB236" s="604" t="str">
        <f>IF(足元帳!AM204="","","現金カード払い"&amp;足元帳!AM204&amp;"  ")&amp;IF(足元帳!AP204="","",足元帳!AP204&amp;"　")&amp;IF(足元帳!AQ204="","",足元帳!AQ204&amp;"　")&amp;IF(足元帳!AR204="","",足元帳!AR204&amp;"　")&amp;IF(足元帳!AS204="","",足元帳!AS204&amp;"　")&amp;IF(足元帳!AT204="","",足元帳!AT204&amp;"　")&amp;IF(足元帳!AN204="","","LOVE×2")&amp;IF(足元帳!AJ204="","","MM"&amp;足元帳!AJ204)&amp;IF(足元帳!AW204="","",W236&amp;"利用"&amp;足元帳!AW204)&amp;IF(足元帳!AX204="",""," 優待券配布"&amp;足元帳!AX204)&amp;IF(足元帳!AU204="","","メルマガ")</f>
        <v/>
      </c>
      <c r="AC236" s="604"/>
      <c r="AD236" s="604"/>
      <c r="AE236" s="604"/>
      <c r="AF236" s="604"/>
      <c r="AG236" s="604"/>
      <c r="AH236" s="604"/>
      <c r="AI236" s="604"/>
      <c r="AJ236" s="604"/>
      <c r="AK236" s="604"/>
      <c r="AL236" s="604"/>
      <c r="AM236" s="604"/>
      <c r="AN236" s="604"/>
      <c r="AO236" s="604"/>
      <c r="AP236" s="604"/>
      <c r="AQ236" s="604"/>
      <c r="AR236" s="113" t="str">
        <f>IF(足元帳!A204="","",足元帳!A204)</f>
        <v/>
      </c>
      <c r="AS236" s="123">
        <f>COUNTIF(AR$4:AR236,AR236)</f>
        <v>233</v>
      </c>
    </row>
    <row r="237" spans="1:45" ht="23.45" customHeight="1">
      <c r="A237" s="586">
        <f t="shared" si="5"/>
        <v>204</v>
      </c>
      <c r="B237" s="566"/>
      <c r="C237" s="73" t="str">
        <f>IF(足元帳!AY205=1,"N",IF(足元帳!AY205=2,"R",""))</f>
        <v/>
      </c>
      <c r="D237" s="74" t="str">
        <f>IF(足元帳!AZ205&gt;0,VLOOKUP(足元帳!AZ205,管理シート!$R$4:$V$12,5,FALSE),"")</f>
        <v/>
      </c>
      <c r="E237" s="587" t="str">
        <f>IF(足元帳!J205="","",足元帳!J205)</f>
        <v/>
      </c>
      <c r="F237" s="566"/>
      <c r="G237" s="587" t="str">
        <f>IF(足元帳!K205="","",足元帳!K205)</f>
        <v/>
      </c>
      <c r="H237" s="565"/>
      <c r="I237" s="565"/>
      <c r="J237" s="566"/>
      <c r="K237" s="587" t="str">
        <f>IF(足元帳!BB205&gt;0,VLOOKUP(足元帳!BB205,管理シート!$R$4:$W$12,4,FALSE),"")</f>
        <v/>
      </c>
      <c r="L237" s="565"/>
      <c r="M237" s="566"/>
      <c r="N237" s="587" t="str">
        <f>IF(足元帳!U205="","",足元帳!U205)&amp;IF(足元帳!V205="","",足元帳!V205)&amp;IF(足元帳!W205="","",足元帳!W205)&amp;IF(足元帳!X205="","",足元帳!X205)&amp;IF(足元帳!Y205="","",足元帳!Y205)&amp;IF(足元帳!Z205="","",足元帳!Z205)</f>
        <v/>
      </c>
      <c r="O237" s="565"/>
      <c r="P237" s="565"/>
      <c r="Q237" s="565"/>
      <c r="R237" s="565"/>
      <c r="S237" s="566"/>
      <c r="T237" s="661" t="str">
        <f ca="1">IFERROR(INDEX(管理シート!$CB$3:$CK$24,MATCH(W237,管理シート!$CB$3:$CB$24,0),MATCH(K237,管理シート!$CB$3:$CM$3,0)),"")</f>
        <v/>
      </c>
      <c r="U237" s="661"/>
      <c r="V237" s="661"/>
      <c r="W237" s="587" t="str">
        <f ca="1">IF(ISERROR(MATCH("●",足元帳!AA205:AJ205,0)),"",INDIRECT("足元帳!R1C"&amp;MATCH("●",足元帳!AA205:AJ205,0)+26,FALSE))</f>
        <v/>
      </c>
      <c r="X237" s="565"/>
      <c r="Y237" s="566"/>
      <c r="Z237" s="587" t="str">
        <f>IF(足元帳!AL205="","","○")</f>
        <v/>
      </c>
      <c r="AA237" s="566"/>
      <c r="AB237" s="604" t="str">
        <f>IF(足元帳!AM205="","","現金カード払い"&amp;足元帳!AM205&amp;"  ")&amp;IF(足元帳!AP205="","",足元帳!AP205&amp;"　")&amp;IF(足元帳!AQ205="","",足元帳!AQ205&amp;"　")&amp;IF(足元帳!AR205="","",足元帳!AR205&amp;"　")&amp;IF(足元帳!AS205="","",足元帳!AS205&amp;"　")&amp;IF(足元帳!AT205="","",足元帳!AT205&amp;"　")&amp;IF(足元帳!AN205="","","LOVE×2")&amp;IF(足元帳!AJ205="","","MM"&amp;足元帳!AJ205)&amp;IF(足元帳!AW205="","",W237&amp;"利用"&amp;足元帳!AW205)&amp;IF(足元帳!AX205="",""," 優待券配布"&amp;足元帳!AX205)&amp;IF(足元帳!AU205="","","メルマガ")</f>
        <v/>
      </c>
      <c r="AC237" s="604"/>
      <c r="AD237" s="604"/>
      <c r="AE237" s="604"/>
      <c r="AF237" s="604"/>
      <c r="AG237" s="604"/>
      <c r="AH237" s="604"/>
      <c r="AI237" s="604"/>
      <c r="AJ237" s="604"/>
      <c r="AK237" s="604"/>
      <c r="AL237" s="604"/>
      <c r="AM237" s="604"/>
      <c r="AN237" s="604"/>
      <c r="AO237" s="604"/>
      <c r="AP237" s="604"/>
      <c r="AQ237" s="604"/>
      <c r="AR237" s="113" t="str">
        <f>IF(足元帳!A205="","",足元帳!A205)</f>
        <v/>
      </c>
      <c r="AS237" s="123">
        <f>COUNTIF(AR$4:AR237,AR237)</f>
        <v>234</v>
      </c>
    </row>
    <row r="238" spans="1:45" ht="23.45" customHeight="1">
      <c r="A238" s="586">
        <f t="shared" si="5"/>
        <v>205</v>
      </c>
      <c r="B238" s="566"/>
      <c r="C238" s="73" t="str">
        <f>IF(足元帳!AY206=1,"N",IF(足元帳!AY206=2,"R",""))</f>
        <v/>
      </c>
      <c r="D238" s="74" t="str">
        <f>IF(足元帳!AZ206&gt;0,VLOOKUP(足元帳!AZ206,管理シート!$R$4:$V$12,5,FALSE),"")</f>
        <v/>
      </c>
      <c r="E238" s="587" t="str">
        <f>IF(足元帳!J206="","",足元帳!J206)</f>
        <v/>
      </c>
      <c r="F238" s="566"/>
      <c r="G238" s="587" t="str">
        <f>IF(足元帳!K206="","",足元帳!K206)</f>
        <v/>
      </c>
      <c r="H238" s="565"/>
      <c r="I238" s="565"/>
      <c r="J238" s="566"/>
      <c r="K238" s="587" t="str">
        <f>IF(足元帳!BB206&gt;0,VLOOKUP(足元帳!BB206,管理シート!$R$4:$W$12,4,FALSE),"")</f>
        <v/>
      </c>
      <c r="L238" s="565"/>
      <c r="M238" s="566"/>
      <c r="N238" s="587" t="str">
        <f>IF(足元帳!U206="","",足元帳!U206)&amp;IF(足元帳!V206="","",足元帳!V206)&amp;IF(足元帳!W206="","",足元帳!W206)&amp;IF(足元帳!X206="","",足元帳!X206)&amp;IF(足元帳!Y206="","",足元帳!Y206)&amp;IF(足元帳!Z206="","",足元帳!Z206)</f>
        <v/>
      </c>
      <c r="O238" s="565"/>
      <c r="P238" s="565"/>
      <c r="Q238" s="565"/>
      <c r="R238" s="565"/>
      <c r="S238" s="566"/>
      <c r="T238" s="661" t="str">
        <f ca="1">IFERROR(INDEX(管理シート!$CB$3:$CK$24,MATCH(W238,管理シート!$CB$3:$CB$24,0),MATCH(K238,管理シート!$CB$3:$CM$3,0)),"")</f>
        <v/>
      </c>
      <c r="U238" s="661"/>
      <c r="V238" s="661"/>
      <c r="W238" s="587" t="str">
        <f ca="1">IF(ISERROR(MATCH("●",足元帳!AA206:AJ206,0)),"",INDIRECT("足元帳!R1C"&amp;MATCH("●",足元帳!AA206:AJ206,0)+26,FALSE))</f>
        <v/>
      </c>
      <c r="X238" s="565"/>
      <c r="Y238" s="566"/>
      <c r="Z238" s="587" t="str">
        <f>IF(足元帳!AL206="","","○")</f>
        <v/>
      </c>
      <c r="AA238" s="566"/>
      <c r="AB238" s="604" t="str">
        <f>IF(足元帳!AM206="","","現金カード払い"&amp;足元帳!AM206&amp;"  ")&amp;IF(足元帳!AP206="","",足元帳!AP206&amp;"　")&amp;IF(足元帳!AQ206="","",足元帳!AQ206&amp;"　")&amp;IF(足元帳!AR206="","",足元帳!AR206&amp;"　")&amp;IF(足元帳!AS206="","",足元帳!AS206&amp;"　")&amp;IF(足元帳!AT206="","",足元帳!AT206&amp;"　")&amp;IF(足元帳!AN206="","","LOVE×2")&amp;IF(足元帳!AJ206="","","MM"&amp;足元帳!AJ206)&amp;IF(足元帳!AW206="","",W238&amp;"利用"&amp;足元帳!AW206)&amp;IF(足元帳!AX206="",""," 優待券配布"&amp;足元帳!AX206)&amp;IF(足元帳!AU206="","","メルマガ")</f>
        <v/>
      </c>
      <c r="AC238" s="604"/>
      <c r="AD238" s="604"/>
      <c r="AE238" s="604"/>
      <c r="AF238" s="604"/>
      <c r="AG238" s="604"/>
      <c r="AH238" s="604"/>
      <c r="AI238" s="604"/>
      <c r="AJ238" s="604"/>
      <c r="AK238" s="604"/>
      <c r="AL238" s="604"/>
      <c r="AM238" s="604"/>
      <c r="AN238" s="604"/>
      <c r="AO238" s="604"/>
      <c r="AP238" s="604"/>
      <c r="AQ238" s="604"/>
      <c r="AR238" s="113" t="str">
        <f>IF(足元帳!A206="","",足元帳!A206)</f>
        <v/>
      </c>
      <c r="AS238" s="123">
        <f>COUNTIF(AR$4:AR238,AR238)</f>
        <v>235</v>
      </c>
    </row>
    <row r="239" spans="1:45" ht="23.45" customHeight="1">
      <c r="A239" s="586">
        <f t="shared" si="5"/>
        <v>206</v>
      </c>
      <c r="B239" s="566"/>
      <c r="C239" s="73" t="str">
        <f>IF(足元帳!AY207=1,"N",IF(足元帳!AY207=2,"R",""))</f>
        <v/>
      </c>
      <c r="D239" s="74" t="str">
        <f>IF(足元帳!AZ207&gt;0,VLOOKUP(足元帳!AZ207,管理シート!$R$4:$V$12,5,FALSE),"")</f>
        <v/>
      </c>
      <c r="E239" s="587" t="str">
        <f>IF(足元帳!J207="","",足元帳!J207)</f>
        <v/>
      </c>
      <c r="F239" s="566"/>
      <c r="G239" s="587" t="str">
        <f>IF(足元帳!K207="","",足元帳!K207)</f>
        <v/>
      </c>
      <c r="H239" s="565"/>
      <c r="I239" s="565"/>
      <c r="J239" s="566"/>
      <c r="K239" s="587" t="str">
        <f>IF(足元帳!BB207&gt;0,VLOOKUP(足元帳!BB207,管理シート!$R$4:$W$12,4,FALSE),"")</f>
        <v/>
      </c>
      <c r="L239" s="565"/>
      <c r="M239" s="566"/>
      <c r="N239" s="587" t="str">
        <f>IF(足元帳!U207="","",足元帳!U207)&amp;IF(足元帳!V207="","",足元帳!V207)&amp;IF(足元帳!W207="","",足元帳!W207)&amp;IF(足元帳!X207="","",足元帳!X207)&amp;IF(足元帳!Y207="","",足元帳!Y207)&amp;IF(足元帳!Z207="","",足元帳!Z207)</f>
        <v/>
      </c>
      <c r="O239" s="565"/>
      <c r="P239" s="565"/>
      <c r="Q239" s="565"/>
      <c r="R239" s="565"/>
      <c r="S239" s="566"/>
      <c r="T239" s="661" t="str">
        <f ca="1">IFERROR(INDEX(管理シート!$CB$3:$CK$24,MATCH(W239,管理シート!$CB$3:$CB$24,0),MATCH(K239,管理シート!$CB$3:$CM$3,0)),"")</f>
        <v/>
      </c>
      <c r="U239" s="661"/>
      <c r="V239" s="661"/>
      <c r="W239" s="587" t="str">
        <f ca="1">IF(ISERROR(MATCH("●",足元帳!AA207:AJ207,0)),"",INDIRECT("足元帳!R1C"&amp;MATCH("●",足元帳!AA207:AJ207,0)+26,FALSE))</f>
        <v/>
      </c>
      <c r="X239" s="565"/>
      <c r="Y239" s="566"/>
      <c r="Z239" s="587" t="str">
        <f>IF(足元帳!AL207="","","○")</f>
        <v/>
      </c>
      <c r="AA239" s="566"/>
      <c r="AB239" s="604" t="str">
        <f>IF(足元帳!AM207="","","現金カード払い"&amp;足元帳!AM207&amp;"  ")&amp;IF(足元帳!AP207="","",足元帳!AP207&amp;"　")&amp;IF(足元帳!AQ207="","",足元帳!AQ207&amp;"　")&amp;IF(足元帳!AR207="","",足元帳!AR207&amp;"　")&amp;IF(足元帳!AS207="","",足元帳!AS207&amp;"　")&amp;IF(足元帳!AT207="","",足元帳!AT207&amp;"　")&amp;IF(足元帳!AN207="","","LOVE×2")&amp;IF(足元帳!AJ207="","","MM"&amp;足元帳!AJ207)&amp;IF(足元帳!AW207="","",W239&amp;"利用"&amp;足元帳!AW207)&amp;IF(足元帳!AX207="",""," 優待券配布"&amp;足元帳!AX207)&amp;IF(足元帳!AU207="","","メルマガ")</f>
        <v/>
      </c>
      <c r="AC239" s="604"/>
      <c r="AD239" s="604"/>
      <c r="AE239" s="604"/>
      <c r="AF239" s="604"/>
      <c r="AG239" s="604"/>
      <c r="AH239" s="604"/>
      <c r="AI239" s="604"/>
      <c r="AJ239" s="604"/>
      <c r="AK239" s="604"/>
      <c r="AL239" s="604"/>
      <c r="AM239" s="604"/>
      <c r="AN239" s="604"/>
      <c r="AO239" s="604"/>
      <c r="AP239" s="604"/>
      <c r="AQ239" s="604"/>
      <c r="AR239" s="113" t="str">
        <f>IF(足元帳!A207="","",足元帳!A207)</f>
        <v/>
      </c>
      <c r="AS239" s="123">
        <f>COUNTIF(AR$4:AR239,AR239)</f>
        <v>236</v>
      </c>
    </row>
    <row r="240" spans="1:45" ht="23.45" customHeight="1">
      <c r="A240" s="586">
        <f t="shared" si="5"/>
        <v>207</v>
      </c>
      <c r="B240" s="566"/>
      <c r="C240" s="73" t="str">
        <f>IF(足元帳!AY208=1,"N",IF(足元帳!AY208=2,"R",""))</f>
        <v/>
      </c>
      <c r="D240" s="74" t="str">
        <f>IF(足元帳!AZ208&gt;0,VLOOKUP(足元帳!AZ208,管理シート!$R$4:$V$12,5,FALSE),"")</f>
        <v/>
      </c>
      <c r="E240" s="587" t="str">
        <f>IF(足元帳!J208="","",足元帳!J208)</f>
        <v/>
      </c>
      <c r="F240" s="566"/>
      <c r="G240" s="587" t="str">
        <f>IF(足元帳!K208="","",足元帳!K208)</f>
        <v/>
      </c>
      <c r="H240" s="565"/>
      <c r="I240" s="565"/>
      <c r="J240" s="566"/>
      <c r="K240" s="587" t="str">
        <f>IF(足元帳!BB208&gt;0,VLOOKUP(足元帳!BB208,管理シート!$R$4:$W$12,4,FALSE),"")</f>
        <v/>
      </c>
      <c r="L240" s="565"/>
      <c r="M240" s="566"/>
      <c r="N240" s="587" t="str">
        <f>IF(足元帳!U208="","",足元帳!U208)&amp;IF(足元帳!V208="","",足元帳!V208)&amp;IF(足元帳!W208="","",足元帳!W208)&amp;IF(足元帳!X208="","",足元帳!X208)&amp;IF(足元帳!Y208="","",足元帳!Y208)&amp;IF(足元帳!Z208="","",足元帳!Z208)</f>
        <v/>
      </c>
      <c r="O240" s="565"/>
      <c r="P240" s="565"/>
      <c r="Q240" s="565"/>
      <c r="R240" s="565"/>
      <c r="S240" s="566"/>
      <c r="T240" s="661" t="str">
        <f ca="1">IFERROR(INDEX(管理シート!$CB$3:$CK$24,MATCH(W240,管理シート!$CB$3:$CB$24,0),MATCH(K240,管理シート!$CB$3:$CM$3,0)),"")</f>
        <v/>
      </c>
      <c r="U240" s="661"/>
      <c r="V240" s="661"/>
      <c r="W240" s="587" t="str">
        <f ca="1">IF(ISERROR(MATCH("●",足元帳!AA208:AJ208,0)),"",INDIRECT("足元帳!R1C"&amp;MATCH("●",足元帳!AA208:AJ208,0)+26,FALSE))</f>
        <v/>
      </c>
      <c r="X240" s="565"/>
      <c r="Y240" s="566"/>
      <c r="Z240" s="587" t="str">
        <f>IF(足元帳!AL208="","","○")</f>
        <v/>
      </c>
      <c r="AA240" s="566"/>
      <c r="AB240" s="604" t="str">
        <f>IF(足元帳!AM208="","","現金カード払い"&amp;足元帳!AM208&amp;"  ")&amp;IF(足元帳!AP208="","",足元帳!AP208&amp;"　")&amp;IF(足元帳!AQ208="","",足元帳!AQ208&amp;"　")&amp;IF(足元帳!AR208="","",足元帳!AR208&amp;"　")&amp;IF(足元帳!AS208="","",足元帳!AS208&amp;"　")&amp;IF(足元帳!AT208="","",足元帳!AT208&amp;"　")&amp;IF(足元帳!AN208="","","LOVE×2")&amp;IF(足元帳!AJ208="","","MM"&amp;足元帳!AJ208)&amp;IF(足元帳!AW208="","",W240&amp;"利用"&amp;足元帳!AW208)&amp;IF(足元帳!AX208="",""," 優待券配布"&amp;足元帳!AX208)&amp;IF(足元帳!AU208="","","メルマガ")</f>
        <v/>
      </c>
      <c r="AC240" s="604"/>
      <c r="AD240" s="604"/>
      <c r="AE240" s="604"/>
      <c r="AF240" s="604"/>
      <c r="AG240" s="604"/>
      <c r="AH240" s="604"/>
      <c r="AI240" s="604"/>
      <c r="AJ240" s="604"/>
      <c r="AK240" s="604"/>
      <c r="AL240" s="604"/>
      <c r="AM240" s="604"/>
      <c r="AN240" s="604"/>
      <c r="AO240" s="604"/>
      <c r="AP240" s="604"/>
      <c r="AQ240" s="604"/>
      <c r="AR240" s="113" t="str">
        <f>IF(足元帳!A208="","",足元帳!A208)</f>
        <v/>
      </c>
      <c r="AS240" s="123">
        <f>COUNTIF(AR$4:AR240,AR240)</f>
        <v>237</v>
      </c>
    </row>
    <row r="241" spans="1:45" ht="23.45" customHeight="1">
      <c r="A241" s="586">
        <f t="shared" si="5"/>
        <v>208</v>
      </c>
      <c r="B241" s="566"/>
      <c r="C241" s="73" t="str">
        <f>IF(足元帳!AY209=1,"N",IF(足元帳!AY209=2,"R",""))</f>
        <v/>
      </c>
      <c r="D241" s="74" t="str">
        <f>IF(足元帳!AZ209&gt;0,VLOOKUP(足元帳!AZ209,管理シート!$R$4:$V$12,5,FALSE),"")</f>
        <v/>
      </c>
      <c r="E241" s="587" t="str">
        <f>IF(足元帳!J209="","",足元帳!J209)</f>
        <v/>
      </c>
      <c r="F241" s="566"/>
      <c r="G241" s="587" t="str">
        <f>IF(足元帳!K209="","",足元帳!K209)</f>
        <v/>
      </c>
      <c r="H241" s="565"/>
      <c r="I241" s="565"/>
      <c r="J241" s="566"/>
      <c r="K241" s="587" t="str">
        <f>IF(足元帳!BB209&gt;0,VLOOKUP(足元帳!BB209,管理シート!$R$4:$W$12,4,FALSE),"")</f>
        <v/>
      </c>
      <c r="L241" s="565"/>
      <c r="M241" s="566"/>
      <c r="N241" s="587" t="str">
        <f>IF(足元帳!U209="","",足元帳!U209)&amp;IF(足元帳!V209="","",足元帳!V209)&amp;IF(足元帳!W209="","",足元帳!W209)&amp;IF(足元帳!X209="","",足元帳!X209)&amp;IF(足元帳!Y209="","",足元帳!Y209)&amp;IF(足元帳!Z209="","",足元帳!Z209)</f>
        <v/>
      </c>
      <c r="O241" s="565"/>
      <c r="P241" s="565"/>
      <c r="Q241" s="565"/>
      <c r="R241" s="565"/>
      <c r="S241" s="566"/>
      <c r="T241" s="661" t="str">
        <f ca="1">IFERROR(INDEX(管理シート!$CB$3:$CK$24,MATCH(W241,管理シート!$CB$3:$CB$24,0),MATCH(K241,管理シート!$CB$3:$CM$3,0)),"")</f>
        <v/>
      </c>
      <c r="U241" s="661"/>
      <c r="V241" s="661"/>
      <c r="W241" s="587" t="str">
        <f ca="1">IF(ISERROR(MATCH("●",足元帳!AA209:AJ209,0)),"",INDIRECT("足元帳!R1C"&amp;MATCH("●",足元帳!AA209:AJ209,0)+26,FALSE))</f>
        <v/>
      </c>
      <c r="X241" s="565"/>
      <c r="Y241" s="566"/>
      <c r="Z241" s="587" t="str">
        <f>IF(足元帳!AL209="","","○")</f>
        <v/>
      </c>
      <c r="AA241" s="566"/>
      <c r="AB241" s="604" t="str">
        <f>IF(足元帳!AM209="","","現金カード払い"&amp;足元帳!AM209&amp;"  ")&amp;IF(足元帳!AP209="","",足元帳!AP209&amp;"　")&amp;IF(足元帳!AQ209="","",足元帳!AQ209&amp;"　")&amp;IF(足元帳!AR209="","",足元帳!AR209&amp;"　")&amp;IF(足元帳!AS209="","",足元帳!AS209&amp;"　")&amp;IF(足元帳!AT209="","",足元帳!AT209&amp;"　")&amp;IF(足元帳!AN209="","","LOVE×2")&amp;IF(足元帳!AJ209="","","MM"&amp;足元帳!AJ209)&amp;IF(足元帳!AW209="","",W241&amp;"利用"&amp;足元帳!AW209)&amp;IF(足元帳!AX209="",""," 優待券配布"&amp;足元帳!AX209)&amp;IF(足元帳!AU209="","","メルマガ")</f>
        <v/>
      </c>
      <c r="AC241" s="604"/>
      <c r="AD241" s="604"/>
      <c r="AE241" s="604"/>
      <c r="AF241" s="604"/>
      <c r="AG241" s="604"/>
      <c r="AH241" s="604"/>
      <c r="AI241" s="604"/>
      <c r="AJ241" s="604"/>
      <c r="AK241" s="604"/>
      <c r="AL241" s="604"/>
      <c r="AM241" s="604"/>
      <c r="AN241" s="604"/>
      <c r="AO241" s="604"/>
      <c r="AP241" s="604"/>
      <c r="AQ241" s="604"/>
      <c r="AR241" s="113" t="str">
        <f>IF(足元帳!A209="","",足元帳!A209)</f>
        <v/>
      </c>
      <c r="AS241" s="123">
        <f>COUNTIF(AR$4:AR241,AR241)</f>
        <v>238</v>
      </c>
    </row>
    <row r="242" spans="1:45" ht="23.45" customHeight="1">
      <c r="A242" s="586">
        <f t="shared" si="5"/>
        <v>209</v>
      </c>
      <c r="B242" s="566"/>
      <c r="C242" s="73" t="str">
        <f>IF(足元帳!AY210=1,"N",IF(足元帳!AY210=2,"R",""))</f>
        <v/>
      </c>
      <c r="D242" s="74" t="str">
        <f>IF(足元帳!AZ210&gt;0,VLOOKUP(足元帳!AZ210,管理シート!$R$4:$V$12,5,FALSE),"")</f>
        <v/>
      </c>
      <c r="E242" s="587" t="str">
        <f>IF(足元帳!J210="","",足元帳!J210)</f>
        <v/>
      </c>
      <c r="F242" s="566"/>
      <c r="G242" s="587" t="str">
        <f>IF(足元帳!K210="","",足元帳!K210)</f>
        <v/>
      </c>
      <c r="H242" s="565"/>
      <c r="I242" s="565"/>
      <c r="J242" s="566"/>
      <c r="K242" s="587" t="str">
        <f>IF(足元帳!BB210&gt;0,VLOOKUP(足元帳!BB210,管理シート!$R$4:$W$12,4,FALSE),"")</f>
        <v/>
      </c>
      <c r="L242" s="565"/>
      <c r="M242" s="566"/>
      <c r="N242" s="587" t="str">
        <f>IF(足元帳!U210="","",足元帳!U210)&amp;IF(足元帳!V210="","",足元帳!V210)&amp;IF(足元帳!W210="","",足元帳!W210)&amp;IF(足元帳!X210="","",足元帳!X210)&amp;IF(足元帳!Y210="","",足元帳!Y210)&amp;IF(足元帳!Z210="","",足元帳!Z210)</f>
        <v/>
      </c>
      <c r="O242" s="565"/>
      <c r="P242" s="565"/>
      <c r="Q242" s="565"/>
      <c r="R242" s="565"/>
      <c r="S242" s="566"/>
      <c r="T242" s="661" t="str">
        <f ca="1">IFERROR(INDEX(管理シート!$CB$3:$CK$24,MATCH(W242,管理シート!$CB$3:$CB$24,0),MATCH(K242,管理シート!$CB$3:$CM$3,0)),"")</f>
        <v/>
      </c>
      <c r="U242" s="661"/>
      <c r="V242" s="661"/>
      <c r="W242" s="587" t="str">
        <f ca="1">IF(ISERROR(MATCH("●",足元帳!AA210:AJ210,0)),"",INDIRECT("足元帳!R1C"&amp;MATCH("●",足元帳!AA210:AJ210,0)+26,FALSE))</f>
        <v/>
      </c>
      <c r="X242" s="565"/>
      <c r="Y242" s="566"/>
      <c r="Z242" s="587" t="str">
        <f>IF(足元帳!AL210="","","○")</f>
        <v/>
      </c>
      <c r="AA242" s="566"/>
      <c r="AB242" s="604" t="str">
        <f>IF(足元帳!AM210="","","現金カード払い"&amp;足元帳!AM210&amp;"  ")&amp;IF(足元帳!AP210="","",足元帳!AP210&amp;"　")&amp;IF(足元帳!AQ210="","",足元帳!AQ210&amp;"　")&amp;IF(足元帳!AR210="","",足元帳!AR210&amp;"　")&amp;IF(足元帳!AS210="","",足元帳!AS210&amp;"　")&amp;IF(足元帳!AT210="","",足元帳!AT210&amp;"　")&amp;IF(足元帳!AN210="","","LOVE×2")&amp;IF(足元帳!AJ210="","","MM"&amp;足元帳!AJ210)&amp;IF(足元帳!AW210="","",W242&amp;"利用"&amp;足元帳!AW210)&amp;IF(足元帳!AX210="",""," 優待券配布"&amp;足元帳!AX210)&amp;IF(足元帳!AU210="","","メルマガ")</f>
        <v/>
      </c>
      <c r="AC242" s="604"/>
      <c r="AD242" s="604"/>
      <c r="AE242" s="604"/>
      <c r="AF242" s="604"/>
      <c r="AG242" s="604"/>
      <c r="AH242" s="604"/>
      <c r="AI242" s="604"/>
      <c r="AJ242" s="604"/>
      <c r="AK242" s="604"/>
      <c r="AL242" s="604"/>
      <c r="AM242" s="604"/>
      <c r="AN242" s="604"/>
      <c r="AO242" s="604"/>
      <c r="AP242" s="604"/>
      <c r="AQ242" s="604"/>
      <c r="AR242" s="113" t="str">
        <f>IF(足元帳!A210="","",足元帳!A210)</f>
        <v/>
      </c>
      <c r="AS242" s="123">
        <f>COUNTIF(AR$4:AR242,AR242)</f>
        <v>239</v>
      </c>
    </row>
    <row r="243" spans="1:45" ht="23.45" customHeight="1">
      <c r="A243" s="586">
        <f t="shared" si="5"/>
        <v>210</v>
      </c>
      <c r="B243" s="566"/>
      <c r="C243" s="73" t="str">
        <f>IF(足元帳!AY211=1,"N",IF(足元帳!AY211=2,"R",""))</f>
        <v/>
      </c>
      <c r="D243" s="74" t="str">
        <f>IF(足元帳!AZ211&gt;0,VLOOKUP(足元帳!AZ211,管理シート!$R$4:$V$12,5,FALSE),"")</f>
        <v/>
      </c>
      <c r="E243" s="587" t="str">
        <f>IF(足元帳!J211="","",足元帳!J211)</f>
        <v/>
      </c>
      <c r="F243" s="566"/>
      <c r="G243" s="587" t="str">
        <f>IF(足元帳!K211="","",足元帳!K211)</f>
        <v/>
      </c>
      <c r="H243" s="565"/>
      <c r="I243" s="565"/>
      <c r="J243" s="566"/>
      <c r="K243" s="587" t="str">
        <f>IF(足元帳!BB211&gt;0,VLOOKUP(足元帳!BB211,管理シート!$R$4:$W$12,4,FALSE),"")</f>
        <v/>
      </c>
      <c r="L243" s="565"/>
      <c r="M243" s="566"/>
      <c r="N243" s="587" t="str">
        <f>IF(足元帳!U211="","",足元帳!U211)&amp;IF(足元帳!V211="","",足元帳!V211)&amp;IF(足元帳!W211="","",足元帳!W211)&amp;IF(足元帳!X211="","",足元帳!X211)&amp;IF(足元帳!Y211="","",足元帳!Y211)&amp;IF(足元帳!Z211="","",足元帳!Z211)</f>
        <v/>
      </c>
      <c r="O243" s="565"/>
      <c r="P243" s="565"/>
      <c r="Q243" s="565"/>
      <c r="R243" s="565"/>
      <c r="S243" s="566"/>
      <c r="T243" s="661" t="str">
        <f ca="1">IFERROR(INDEX(管理シート!$CB$3:$CK$24,MATCH(W243,管理シート!$CB$3:$CB$24,0),MATCH(K243,管理シート!$CB$3:$CM$3,0)),"")</f>
        <v/>
      </c>
      <c r="U243" s="661"/>
      <c r="V243" s="661"/>
      <c r="W243" s="587" t="str">
        <f ca="1">IF(ISERROR(MATCH("●",足元帳!AA211:AJ211,0)),"",INDIRECT("足元帳!R1C"&amp;MATCH("●",足元帳!AA211:AJ211,0)+26,FALSE))</f>
        <v/>
      </c>
      <c r="X243" s="565"/>
      <c r="Y243" s="566"/>
      <c r="Z243" s="587" t="str">
        <f>IF(足元帳!AL211="","","○")</f>
        <v/>
      </c>
      <c r="AA243" s="566"/>
      <c r="AB243" s="604" t="str">
        <f>IF(足元帳!AM211="","","現金カード払い"&amp;足元帳!AM211&amp;"  ")&amp;IF(足元帳!AP211="","",足元帳!AP211&amp;"　")&amp;IF(足元帳!AQ211="","",足元帳!AQ211&amp;"　")&amp;IF(足元帳!AR211="","",足元帳!AR211&amp;"　")&amp;IF(足元帳!AS211="","",足元帳!AS211&amp;"　")&amp;IF(足元帳!AT211="","",足元帳!AT211&amp;"　")&amp;IF(足元帳!AN211="","","LOVE×2")&amp;IF(足元帳!AJ211="","","MM"&amp;足元帳!AJ211)&amp;IF(足元帳!AW211="","",W243&amp;"利用"&amp;足元帳!AW211)&amp;IF(足元帳!AX211="",""," 優待券配布"&amp;足元帳!AX211)&amp;IF(足元帳!AU211="","","メルマガ")</f>
        <v/>
      </c>
      <c r="AC243" s="604"/>
      <c r="AD243" s="604"/>
      <c r="AE243" s="604"/>
      <c r="AF243" s="604"/>
      <c r="AG243" s="604"/>
      <c r="AH243" s="604"/>
      <c r="AI243" s="604"/>
      <c r="AJ243" s="604"/>
      <c r="AK243" s="604"/>
      <c r="AL243" s="604"/>
      <c r="AM243" s="604"/>
      <c r="AN243" s="604"/>
      <c r="AO243" s="604"/>
      <c r="AP243" s="604"/>
      <c r="AQ243" s="604"/>
      <c r="AR243" s="113" t="str">
        <f>IF(足元帳!A211="","",足元帳!A211)</f>
        <v/>
      </c>
      <c r="AS243" s="123">
        <f>COUNTIF(AR$4:AR243,AR243)</f>
        <v>240</v>
      </c>
    </row>
    <row r="244" spans="1:45" ht="23.45" customHeight="1">
      <c r="A244" s="586">
        <f t="shared" si="5"/>
        <v>211</v>
      </c>
      <c r="B244" s="566"/>
      <c r="C244" s="73" t="str">
        <f>IF(足元帳!AY212=1,"N",IF(足元帳!AY212=2,"R",""))</f>
        <v/>
      </c>
      <c r="D244" s="74" t="str">
        <f>IF(足元帳!AZ212&gt;0,VLOOKUP(足元帳!AZ212,管理シート!$R$4:$V$12,5,FALSE),"")</f>
        <v/>
      </c>
      <c r="E244" s="587" t="str">
        <f>IF(足元帳!J212="","",足元帳!J212)</f>
        <v/>
      </c>
      <c r="F244" s="566"/>
      <c r="G244" s="587" t="str">
        <f>IF(足元帳!K212="","",足元帳!K212)</f>
        <v/>
      </c>
      <c r="H244" s="565"/>
      <c r="I244" s="565"/>
      <c r="J244" s="566"/>
      <c r="K244" s="587" t="str">
        <f>IF(足元帳!BB212&gt;0,VLOOKUP(足元帳!BB212,管理シート!$R$4:$W$12,4,FALSE),"")</f>
        <v/>
      </c>
      <c r="L244" s="565"/>
      <c r="M244" s="566"/>
      <c r="N244" s="587" t="str">
        <f>IF(足元帳!U212="","",足元帳!U212)&amp;IF(足元帳!V212="","",足元帳!V212)&amp;IF(足元帳!W212="","",足元帳!W212)&amp;IF(足元帳!X212="","",足元帳!X212)&amp;IF(足元帳!Y212="","",足元帳!Y212)&amp;IF(足元帳!Z212="","",足元帳!Z212)</f>
        <v/>
      </c>
      <c r="O244" s="565"/>
      <c r="P244" s="565"/>
      <c r="Q244" s="565"/>
      <c r="R244" s="565"/>
      <c r="S244" s="566"/>
      <c r="T244" s="661" t="str">
        <f ca="1">IFERROR(INDEX(管理シート!$CB$3:$CK$24,MATCH(W244,管理シート!$CB$3:$CB$24,0),MATCH(K244,管理シート!$CB$3:$CM$3,0)),"")</f>
        <v/>
      </c>
      <c r="U244" s="661"/>
      <c r="V244" s="661"/>
      <c r="W244" s="587" t="str">
        <f ca="1">IF(ISERROR(MATCH("●",足元帳!AA212:AJ212,0)),"",INDIRECT("足元帳!R1C"&amp;MATCH("●",足元帳!AA212:AJ212,0)+26,FALSE))</f>
        <v/>
      </c>
      <c r="X244" s="565"/>
      <c r="Y244" s="566"/>
      <c r="Z244" s="587" t="str">
        <f>IF(足元帳!AL212="","","○")</f>
        <v/>
      </c>
      <c r="AA244" s="566"/>
      <c r="AB244" s="604" t="str">
        <f>IF(足元帳!AM212="","","現金カード払い"&amp;足元帳!AM212&amp;"  ")&amp;IF(足元帳!AP212="","",足元帳!AP212&amp;"　")&amp;IF(足元帳!AQ212="","",足元帳!AQ212&amp;"　")&amp;IF(足元帳!AR212="","",足元帳!AR212&amp;"　")&amp;IF(足元帳!AS212="","",足元帳!AS212&amp;"　")&amp;IF(足元帳!AT212="","",足元帳!AT212&amp;"　")&amp;IF(足元帳!AN212="","","LOVE×2")&amp;IF(足元帳!AJ212="","","MM"&amp;足元帳!AJ212)&amp;IF(足元帳!AW212="","",W244&amp;"利用"&amp;足元帳!AW212)&amp;IF(足元帳!AX212="",""," 優待券配布"&amp;足元帳!AX212)&amp;IF(足元帳!AU212="","","メルマガ")</f>
        <v/>
      </c>
      <c r="AC244" s="604"/>
      <c r="AD244" s="604"/>
      <c r="AE244" s="604"/>
      <c r="AF244" s="604"/>
      <c r="AG244" s="604"/>
      <c r="AH244" s="604"/>
      <c r="AI244" s="604"/>
      <c r="AJ244" s="604"/>
      <c r="AK244" s="604"/>
      <c r="AL244" s="604"/>
      <c r="AM244" s="604"/>
      <c r="AN244" s="604"/>
      <c r="AO244" s="604"/>
      <c r="AP244" s="604"/>
      <c r="AQ244" s="604"/>
      <c r="AR244" s="113" t="str">
        <f>IF(足元帳!A212="","",足元帳!A212)</f>
        <v/>
      </c>
      <c r="AS244" s="123">
        <f>COUNTIF(AR$4:AR244,AR244)</f>
        <v>241</v>
      </c>
    </row>
    <row r="245" spans="1:45" ht="23.45" customHeight="1">
      <c r="A245" s="586">
        <f t="shared" si="5"/>
        <v>212</v>
      </c>
      <c r="B245" s="566"/>
      <c r="C245" s="73" t="str">
        <f>IF(足元帳!AY213=1,"N",IF(足元帳!AY213=2,"R",""))</f>
        <v/>
      </c>
      <c r="D245" s="74" t="str">
        <f>IF(足元帳!AZ213&gt;0,VLOOKUP(足元帳!AZ213,管理シート!$R$4:$V$12,5,FALSE),"")</f>
        <v/>
      </c>
      <c r="E245" s="587" t="str">
        <f>IF(足元帳!J213="","",足元帳!J213)</f>
        <v/>
      </c>
      <c r="F245" s="566"/>
      <c r="G245" s="587" t="str">
        <f>IF(足元帳!K213="","",足元帳!K213)</f>
        <v/>
      </c>
      <c r="H245" s="565"/>
      <c r="I245" s="565"/>
      <c r="J245" s="566"/>
      <c r="K245" s="587" t="str">
        <f>IF(足元帳!BB213&gt;0,VLOOKUP(足元帳!BB213,管理シート!$R$4:$W$12,4,FALSE),"")</f>
        <v/>
      </c>
      <c r="L245" s="565"/>
      <c r="M245" s="566"/>
      <c r="N245" s="587" t="str">
        <f>IF(足元帳!U213="","",足元帳!U213)&amp;IF(足元帳!V213="","",足元帳!V213)&amp;IF(足元帳!W213="","",足元帳!W213)&amp;IF(足元帳!X213="","",足元帳!X213)&amp;IF(足元帳!Y213="","",足元帳!Y213)&amp;IF(足元帳!Z213="","",足元帳!Z213)</f>
        <v/>
      </c>
      <c r="O245" s="565"/>
      <c r="P245" s="565"/>
      <c r="Q245" s="565"/>
      <c r="R245" s="565"/>
      <c r="S245" s="566"/>
      <c r="T245" s="661" t="str">
        <f ca="1">IFERROR(INDEX(管理シート!$CB$3:$CK$24,MATCH(W245,管理シート!$CB$3:$CB$24,0),MATCH(K245,管理シート!$CB$3:$CM$3,0)),"")</f>
        <v/>
      </c>
      <c r="U245" s="661"/>
      <c r="V245" s="661"/>
      <c r="W245" s="587" t="str">
        <f ca="1">IF(ISERROR(MATCH("●",足元帳!AA213:AJ213,0)),"",INDIRECT("足元帳!R1C"&amp;MATCH("●",足元帳!AA213:AJ213,0)+26,FALSE))</f>
        <v/>
      </c>
      <c r="X245" s="565"/>
      <c r="Y245" s="566"/>
      <c r="Z245" s="587" t="str">
        <f>IF(足元帳!AL213="","","○")</f>
        <v/>
      </c>
      <c r="AA245" s="566"/>
      <c r="AB245" s="604" t="str">
        <f>IF(足元帳!AM213="","","現金カード払い"&amp;足元帳!AM213&amp;"  ")&amp;IF(足元帳!AP213="","",足元帳!AP213&amp;"　")&amp;IF(足元帳!AQ213="","",足元帳!AQ213&amp;"　")&amp;IF(足元帳!AR213="","",足元帳!AR213&amp;"　")&amp;IF(足元帳!AS213="","",足元帳!AS213&amp;"　")&amp;IF(足元帳!AT213="","",足元帳!AT213&amp;"　")&amp;IF(足元帳!AN213="","","LOVE×2")&amp;IF(足元帳!AJ213="","","MM"&amp;足元帳!AJ213)&amp;IF(足元帳!AW213="","",W245&amp;"利用"&amp;足元帳!AW213)&amp;IF(足元帳!AX213="",""," 優待券配布"&amp;足元帳!AX213)&amp;IF(足元帳!AU213="","","メルマガ")</f>
        <v/>
      </c>
      <c r="AC245" s="604"/>
      <c r="AD245" s="604"/>
      <c r="AE245" s="604"/>
      <c r="AF245" s="604"/>
      <c r="AG245" s="604"/>
      <c r="AH245" s="604"/>
      <c r="AI245" s="604"/>
      <c r="AJ245" s="604"/>
      <c r="AK245" s="604"/>
      <c r="AL245" s="604"/>
      <c r="AM245" s="604"/>
      <c r="AN245" s="604"/>
      <c r="AO245" s="604"/>
      <c r="AP245" s="604"/>
      <c r="AQ245" s="604"/>
      <c r="AR245" s="113" t="str">
        <f>IF(足元帳!A213="","",足元帳!A213)</f>
        <v/>
      </c>
      <c r="AS245" s="123">
        <f>COUNTIF(AR$4:AR245,AR245)</f>
        <v>242</v>
      </c>
    </row>
    <row r="246" spans="1:45" ht="23.45" customHeight="1">
      <c r="A246" s="586">
        <f t="shared" si="5"/>
        <v>213</v>
      </c>
      <c r="B246" s="566"/>
      <c r="C246" s="73" t="str">
        <f>IF(足元帳!AY214=1,"N",IF(足元帳!AY214=2,"R",""))</f>
        <v/>
      </c>
      <c r="D246" s="74" t="str">
        <f>IF(足元帳!AZ214&gt;0,VLOOKUP(足元帳!AZ214,管理シート!$R$4:$V$12,5,FALSE),"")</f>
        <v/>
      </c>
      <c r="E246" s="587" t="str">
        <f>IF(足元帳!J214="","",足元帳!J214)</f>
        <v/>
      </c>
      <c r="F246" s="566"/>
      <c r="G246" s="587" t="str">
        <f>IF(足元帳!K214="","",足元帳!K214)</f>
        <v/>
      </c>
      <c r="H246" s="565"/>
      <c r="I246" s="565"/>
      <c r="J246" s="566"/>
      <c r="K246" s="587" t="str">
        <f>IF(足元帳!BB214&gt;0,VLOOKUP(足元帳!BB214,管理シート!$R$4:$W$12,4,FALSE),"")</f>
        <v/>
      </c>
      <c r="L246" s="565"/>
      <c r="M246" s="566"/>
      <c r="N246" s="587" t="str">
        <f>IF(足元帳!U214="","",足元帳!U214)&amp;IF(足元帳!V214="","",足元帳!V214)&amp;IF(足元帳!W214="","",足元帳!W214)&amp;IF(足元帳!X214="","",足元帳!X214)&amp;IF(足元帳!Y214="","",足元帳!Y214)&amp;IF(足元帳!Z214="","",足元帳!Z214)</f>
        <v/>
      </c>
      <c r="O246" s="565"/>
      <c r="P246" s="565"/>
      <c r="Q246" s="565"/>
      <c r="R246" s="565"/>
      <c r="S246" s="566"/>
      <c r="T246" s="661" t="str">
        <f ca="1">IFERROR(INDEX(管理シート!$CB$3:$CK$24,MATCH(W246,管理シート!$CB$3:$CB$24,0),MATCH(K246,管理シート!$CB$3:$CM$3,0)),"")</f>
        <v/>
      </c>
      <c r="U246" s="661"/>
      <c r="V246" s="661"/>
      <c r="W246" s="587" t="str">
        <f ca="1">IF(ISERROR(MATCH("●",足元帳!AA214:AJ214,0)),"",INDIRECT("足元帳!R1C"&amp;MATCH("●",足元帳!AA214:AJ214,0)+26,FALSE))</f>
        <v/>
      </c>
      <c r="X246" s="565"/>
      <c r="Y246" s="566"/>
      <c r="Z246" s="587" t="str">
        <f>IF(足元帳!AL214="","","○")</f>
        <v/>
      </c>
      <c r="AA246" s="566"/>
      <c r="AB246" s="604" t="str">
        <f>IF(足元帳!AM214="","","現金カード払い"&amp;足元帳!AM214&amp;"  ")&amp;IF(足元帳!AP214="","",足元帳!AP214&amp;"　")&amp;IF(足元帳!AQ214="","",足元帳!AQ214&amp;"　")&amp;IF(足元帳!AR214="","",足元帳!AR214&amp;"　")&amp;IF(足元帳!AS214="","",足元帳!AS214&amp;"　")&amp;IF(足元帳!AT214="","",足元帳!AT214&amp;"　")&amp;IF(足元帳!AN214="","","LOVE×2")&amp;IF(足元帳!AJ214="","","MM"&amp;足元帳!AJ214)&amp;IF(足元帳!AW214="","",W246&amp;"利用"&amp;足元帳!AW214)&amp;IF(足元帳!AX214="",""," 優待券配布"&amp;足元帳!AX214)&amp;IF(足元帳!AU214="","","メルマガ")</f>
        <v/>
      </c>
      <c r="AC246" s="604"/>
      <c r="AD246" s="604"/>
      <c r="AE246" s="604"/>
      <c r="AF246" s="604"/>
      <c r="AG246" s="604"/>
      <c r="AH246" s="604"/>
      <c r="AI246" s="604"/>
      <c r="AJ246" s="604"/>
      <c r="AK246" s="604"/>
      <c r="AL246" s="604"/>
      <c r="AM246" s="604"/>
      <c r="AN246" s="604"/>
      <c r="AO246" s="604"/>
      <c r="AP246" s="604"/>
      <c r="AQ246" s="604"/>
      <c r="AR246" s="113" t="str">
        <f>IF(足元帳!A214="","",足元帳!A214)</f>
        <v/>
      </c>
      <c r="AS246" s="123">
        <f>COUNTIF(AR$4:AR246,AR246)</f>
        <v>243</v>
      </c>
    </row>
    <row r="247" spans="1:45" ht="23.45" customHeight="1">
      <c r="A247" s="586">
        <f t="shared" si="5"/>
        <v>214</v>
      </c>
      <c r="B247" s="566"/>
      <c r="C247" s="73" t="str">
        <f>IF(足元帳!AY215=1,"N",IF(足元帳!AY215=2,"R",""))</f>
        <v/>
      </c>
      <c r="D247" s="74" t="str">
        <f>IF(足元帳!AZ215&gt;0,VLOOKUP(足元帳!AZ215,管理シート!$R$4:$V$12,5,FALSE),"")</f>
        <v/>
      </c>
      <c r="E247" s="587" t="str">
        <f>IF(足元帳!J215="","",足元帳!J215)</f>
        <v/>
      </c>
      <c r="F247" s="566"/>
      <c r="G247" s="587" t="str">
        <f>IF(足元帳!K215="","",足元帳!K215)</f>
        <v/>
      </c>
      <c r="H247" s="565"/>
      <c r="I247" s="565"/>
      <c r="J247" s="566"/>
      <c r="K247" s="587" t="str">
        <f>IF(足元帳!BB215&gt;0,VLOOKUP(足元帳!BB215,管理シート!$R$4:$W$12,4,FALSE),"")</f>
        <v/>
      </c>
      <c r="L247" s="565"/>
      <c r="M247" s="566"/>
      <c r="N247" s="587" t="str">
        <f>IF(足元帳!U215="","",足元帳!U215)&amp;IF(足元帳!V215="","",足元帳!V215)&amp;IF(足元帳!W215="","",足元帳!W215)&amp;IF(足元帳!X215="","",足元帳!X215)&amp;IF(足元帳!Y215="","",足元帳!Y215)&amp;IF(足元帳!Z215="","",足元帳!Z215)</f>
        <v/>
      </c>
      <c r="O247" s="565"/>
      <c r="P247" s="565"/>
      <c r="Q247" s="565"/>
      <c r="R247" s="565"/>
      <c r="S247" s="566"/>
      <c r="T247" s="661" t="str">
        <f ca="1">IFERROR(INDEX(管理シート!$CB$3:$CK$24,MATCH(W247,管理シート!$CB$3:$CB$24,0),MATCH(K247,管理シート!$CB$3:$CM$3,0)),"")</f>
        <v/>
      </c>
      <c r="U247" s="661"/>
      <c r="V247" s="661"/>
      <c r="W247" s="587" t="str">
        <f ca="1">IF(ISERROR(MATCH("●",足元帳!AA215:AJ215,0)),"",INDIRECT("足元帳!R1C"&amp;MATCH("●",足元帳!AA215:AJ215,0)+26,FALSE))</f>
        <v/>
      </c>
      <c r="X247" s="565"/>
      <c r="Y247" s="566"/>
      <c r="Z247" s="587" t="str">
        <f>IF(足元帳!AL215="","","○")</f>
        <v/>
      </c>
      <c r="AA247" s="566"/>
      <c r="AB247" s="604" t="str">
        <f>IF(足元帳!AM215="","","現金カード払い"&amp;足元帳!AM215&amp;"  ")&amp;IF(足元帳!AP215="","",足元帳!AP215&amp;"　")&amp;IF(足元帳!AQ215="","",足元帳!AQ215&amp;"　")&amp;IF(足元帳!AR215="","",足元帳!AR215&amp;"　")&amp;IF(足元帳!AS215="","",足元帳!AS215&amp;"　")&amp;IF(足元帳!AT215="","",足元帳!AT215&amp;"　")&amp;IF(足元帳!AN215="","","LOVE×2")&amp;IF(足元帳!AJ215="","","MM"&amp;足元帳!AJ215)&amp;IF(足元帳!AW215="","",W247&amp;"利用"&amp;足元帳!AW215)&amp;IF(足元帳!AX215="",""," 優待券配布"&amp;足元帳!AX215)&amp;IF(足元帳!AU215="","","メルマガ")</f>
        <v/>
      </c>
      <c r="AC247" s="604"/>
      <c r="AD247" s="604"/>
      <c r="AE247" s="604"/>
      <c r="AF247" s="604"/>
      <c r="AG247" s="604"/>
      <c r="AH247" s="604"/>
      <c r="AI247" s="604"/>
      <c r="AJ247" s="604"/>
      <c r="AK247" s="604"/>
      <c r="AL247" s="604"/>
      <c r="AM247" s="604"/>
      <c r="AN247" s="604"/>
      <c r="AO247" s="604"/>
      <c r="AP247" s="604"/>
      <c r="AQ247" s="604"/>
      <c r="AR247" s="113" t="str">
        <f>IF(足元帳!A215="","",足元帳!A215)</f>
        <v/>
      </c>
      <c r="AS247" s="123">
        <f>COUNTIF(AR$4:AR247,AR247)</f>
        <v>244</v>
      </c>
    </row>
    <row r="248" spans="1:45" ht="23.45" customHeight="1">
      <c r="A248" s="586">
        <f t="shared" si="5"/>
        <v>215</v>
      </c>
      <c r="B248" s="566"/>
      <c r="C248" s="73" t="str">
        <f>IF(足元帳!AY216=1,"N",IF(足元帳!AY216=2,"R",""))</f>
        <v/>
      </c>
      <c r="D248" s="74" t="str">
        <f>IF(足元帳!AZ216&gt;0,VLOOKUP(足元帳!AZ216,管理シート!$R$4:$V$12,5,FALSE),"")</f>
        <v/>
      </c>
      <c r="E248" s="587" t="str">
        <f>IF(足元帳!J216="","",足元帳!J216)</f>
        <v/>
      </c>
      <c r="F248" s="566"/>
      <c r="G248" s="587" t="str">
        <f>IF(足元帳!K216="","",足元帳!K216)</f>
        <v/>
      </c>
      <c r="H248" s="565"/>
      <c r="I248" s="565"/>
      <c r="J248" s="566"/>
      <c r="K248" s="587" t="str">
        <f>IF(足元帳!BB216&gt;0,VLOOKUP(足元帳!BB216,管理シート!$R$4:$W$12,4,FALSE),"")</f>
        <v/>
      </c>
      <c r="L248" s="565"/>
      <c r="M248" s="566"/>
      <c r="N248" s="587" t="str">
        <f>IF(足元帳!U216="","",足元帳!U216)&amp;IF(足元帳!V216="","",足元帳!V216)&amp;IF(足元帳!W216="","",足元帳!W216)&amp;IF(足元帳!X216="","",足元帳!X216)&amp;IF(足元帳!Y216="","",足元帳!Y216)&amp;IF(足元帳!Z216="","",足元帳!Z216)</f>
        <v/>
      </c>
      <c r="O248" s="565"/>
      <c r="P248" s="565"/>
      <c r="Q248" s="565"/>
      <c r="R248" s="565"/>
      <c r="S248" s="566"/>
      <c r="T248" s="661" t="str">
        <f ca="1">IFERROR(INDEX(管理シート!$CB$3:$CK$24,MATCH(W248,管理シート!$CB$3:$CB$24,0),MATCH(K248,管理シート!$CB$3:$CM$3,0)),"")</f>
        <v/>
      </c>
      <c r="U248" s="661"/>
      <c r="V248" s="661"/>
      <c r="W248" s="587" t="str">
        <f ca="1">IF(ISERROR(MATCH("●",足元帳!AA216:AJ216,0)),"",INDIRECT("足元帳!R1C"&amp;MATCH("●",足元帳!AA216:AJ216,0)+26,FALSE))</f>
        <v/>
      </c>
      <c r="X248" s="565"/>
      <c r="Y248" s="566"/>
      <c r="Z248" s="587" t="str">
        <f>IF(足元帳!AL216="","","○")</f>
        <v/>
      </c>
      <c r="AA248" s="566"/>
      <c r="AB248" s="604" t="str">
        <f>IF(足元帳!AM216="","","現金カード払い"&amp;足元帳!AM216&amp;"  ")&amp;IF(足元帳!AP216="","",足元帳!AP216&amp;"　")&amp;IF(足元帳!AQ216="","",足元帳!AQ216&amp;"　")&amp;IF(足元帳!AR216="","",足元帳!AR216&amp;"　")&amp;IF(足元帳!AS216="","",足元帳!AS216&amp;"　")&amp;IF(足元帳!AT216="","",足元帳!AT216&amp;"　")&amp;IF(足元帳!AN216="","","LOVE×2")&amp;IF(足元帳!AJ216="","","MM"&amp;足元帳!AJ216)&amp;IF(足元帳!AW216="","",W248&amp;"利用"&amp;足元帳!AW216)&amp;IF(足元帳!AX216="",""," 優待券配布"&amp;足元帳!AX216)&amp;IF(足元帳!AU216="","","メルマガ")</f>
        <v/>
      </c>
      <c r="AC248" s="604"/>
      <c r="AD248" s="604"/>
      <c r="AE248" s="604"/>
      <c r="AF248" s="604"/>
      <c r="AG248" s="604"/>
      <c r="AH248" s="604"/>
      <c r="AI248" s="604"/>
      <c r="AJ248" s="604"/>
      <c r="AK248" s="604"/>
      <c r="AL248" s="604"/>
      <c r="AM248" s="604"/>
      <c r="AN248" s="604"/>
      <c r="AO248" s="604"/>
      <c r="AP248" s="604"/>
      <c r="AQ248" s="604"/>
      <c r="AR248" s="113" t="str">
        <f>IF(足元帳!A216="","",足元帳!A216)</f>
        <v/>
      </c>
      <c r="AS248" s="123">
        <f>COUNTIF(AR$4:AR248,AR248)</f>
        <v>245</v>
      </c>
    </row>
    <row r="249" spans="1:45" ht="23.45" customHeight="1">
      <c r="A249" s="586">
        <f t="shared" si="5"/>
        <v>216</v>
      </c>
      <c r="B249" s="566"/>
      <c r="C249" s="73" t="str">
        <f>IF(足元帳!AY217=1,"N",IF(足元帳!AY217=2,"R",""))</f>
        <v/>
      </c>
      <c r="D249" s="74" t="str">
        <f>IF(足元帳!AZ217&gt;0,VLOOKUP(足元帳!AZ217,管理シート!$R$4:$V$12,5,FALSE),"")</f>
        <v/>
      </c>
      <c r="E249" s="587" t="str">
        <f>IF(足元帳!J217="","",足元帳!J217)</f>
        <v/>
      </c>
      <c r="F249" s="566"/>
      <c r="G249" s="587" t="str">
        <f>IF(足元帳!K217="","",足元帳!K217)</f>
        <v/>
      </c>
      <c r="H249" s="565"/>
      <c r="I249" s="565"/>
      <c r="J249" s="566"/>
      <c r="K249" s="587" t="str">
        <f>IF(足元帳!BB217&gt;0,VLOOKUP(足元帳!BB217,管理シート!$R$4:$W$12,4,FALSE),"")</f>
        <v/>
      </c>
      <c r="L249" s="565"/>
      <c r="M249" s="566"/>
      <c r="N249" s="587" t="str">
        <f>IF(足元帳!U217="","",足元帳!U217)&amp;IF(足元帳!V217="","",足元帳!V217)&amp;IF(足元帳!W217="","",足元帳!W217)&amp;IF(足元帳!X217="","",足元帳!X217)&amp;IF(足元帳!Y217="","",足元帳!Y217)&amp;IF(足元帳!Z217="","",足元帳!Z217)</f>
        <v/>
      </c>
      <c r="O249" s="565"/>
      <c r="P249" s="565"/>
      <c r="Q249" s="565"/>
      <c r="R249" s="565"/>
      <c r="S249" s="566"/>
      <c r="T249" s="661" t="str">
        <f ca="1">IFERROR(INDEX(管理シート!$CB$3:$CK$24,MATCH(W249,管理シート!$CB$3:$CB$24,0),MATCH(K249,管理シート!$CB$3:$CM$3,0)),"")</f>
        <v/>
      </c>
      <c r="U249" s="661"/>
      <c r="V249" s="661"/>
      <c r="W249" s="587" t="str">
        <f ca="1">IF(ISERROR(MATCH("●",足元帳!AA217:AJ217,0)),"",INDIRECT("足元帳!R1C"&amp;MATCH("●",足元帳!AA217:AJ217,0)+26,FALSE))</f>
        <v/>
      </c>
      <c r="X249" s="565"/>
      <c r="Y249" s="566"/>
      <c r="Z249" s="587" t="str">
        <f>IF(足元帳!AL217="","","○")</f>
        <v/>
      </c>
      <c r="AA249" s="566"/>
      <c r="AB249" s="604" t="str">
        <f>IF(足元帳!AM217="","","現金カード払い"&amp;足元帳!AM217&amp;"  ")&amp;IF(足元帳!AP217="","",足元帳!AP217&amp;"　")&amp;IF(足元帳!AQ217="","",足元帳!AQ217&amp;"　")&amp;IF(足元帳!AR217="","",足元帳!AR217&amp;"　")&amp;IF(足元帳!AS217="","",足元帳!AS217&amp;"　")&amp;IF(足元帳!AT217="","",足元帳!AT217&amp;"　")&amp;IF(足元帳!AN217="","","LOVE×2")&amp;IF(足元帳!AJ217="","","MM"&amp;足元帳!AJ217)&amp;IF(足元帳!AW217="","",W249&amp;"利用"&amp;足元帳!AW217)&amp;IF(足元帳!AX217="",""," 優待券配布"&amp;足元帳!AX217)&amp;IF(足元帳!AU217="","","メルマガ")</f>
        <v/>
      </c>
      <c r="AC249" s="604"/>
      <c r="AD249" s="604"/>
      <c r="AE249" s="604"/>
      <c r="AF249" s="604"/>
      <c r="AG249" s="604"/>
      <c r="AH249" s="604"/>
      <c r="AI249" s="604"/>
      <c r="AJ249" s="604"/>
      <c r="AK249" s="604"/>
      <c r="AL249" s="604"/>
      <c r="AM249" s="604"/>
      <c r="AN249" s="604"/>
      <c r="AO249" s="604"/>
      <c r="AP249" s="604"/>
      <c r="AQ249" s="604"/>
      <c r="AR249" s="113" t="str">
        <f>IF(足元帳!A217="","",足元帳!A217)</f>
        <v/>
      </c>
      <c r="AS249" s="123">
        <f>COUNTIF(AR$4:AR249,AR249)</f>
        <v>246</v>
      </c>
    </row>
    <row r="250" spans="1:45" ht="23.45" customHeight="1">
      <c r="A250" s="586">
        <f t="shared" si="5"/>
        <v>217</v>
      </c>
      <c r="B250" s="566"/>
      <c r="C250" s="73" t="str">
        <f>IF(足元帳!AY218=1,"N",IF(足元帳!AY218=2,"R",""))</f>
        <v/>
      </c>
      <c r="D250" s="74" t="str">
        <f>IF(足元帳!AZ218&gt;0,VLOOKUP(足元帳!AZ218,管理シート!$R$4:$V$12,5,FALSE),"")</f>
        <v/>
      </c>
      <c r="E250" s="587" t="str">
        <f>IF(足元帳!J218="","",足元帳!J218)</f>
        <v/>
      </c>
      <c r="F250" s="566"/>
      <c r="G250" s="587" t="str">
        <f>IF(足元帳!K218="","",足元帳!K218)</f>
        <v/>
      </c>
      <c r="H250" s="565"/>
      <c r="I250" s="565"/>
      <c r="J250" s="566"/>
      <c r="K250" s="587" t="str">
        <f>IF(足元帳!BB218&gt;0,VLOOKUP(足元帳!BB218,管理シート!$R$4:$W$12,4,FALSE),"")</f>
        <v/>
      </c>
      <c r="L250" s="565"/>
      <c r="M250" s="566"/>
      <c r="N250" s="587" t="str">
        <f>IF(足元帳!U218="","",足元帳!U218)&amp;IF(足元帳!V218="","",足元帳!V218)&amp;IF(足元帳!W218="","",足元帳!W218)&amp;IF(足元帳!X218="","",足元帳!X218)&amp;IF(足元帳!Y218="","",足元帳!Y218)&amp;IF(足元帳!Z218="","",足元帳!Z218)</f>
        <v/>
      </c>
      <c r="O250" s="565"/>
      <c r="P250" s="565"/>
      <c r="Q250" s="565"/>
      <c r="R250" s="565"/>
      <c r="S250" s="566"/>
      <c r="T250" s="661" t="str">
        <f ca="1">IFERROR(INDEX(管理シート!$CB$3:$CK$24,MATCH(W250,管理シート!$CB$3:$CB$24,0),MATCH(K250,管理シート!$CB$3:$CM$3,0)),"")</f>
        <v/>
      </c>
      <c r="U250" s="661"/>
      <c r="V250" s="661"/>
      <c r="W250" s="587" t="str">
        <f ca="1">IF(ISERROR(MATCH("●",足元帳!AA218:AJ218,0)),"",INDIRECT("足元帳!R1C"&amp;MATCH("●",足元帳!AA218:AJ218,0)+26,FALSE))</f>
        <v/>
      </c>
      <c r="X250" s="565"/>
      <c r="Y250" s="566"/>
      <c r="Z250" s="587" t="str">
        <f>IF(足元帳!AL218="","","○")</f>
        <v/>
      </c>
      <c r="AA250" s="566"/>
      <c r="AB250" s="604" t="str">
        <f>IF(足元帳!AM218="","","現金カード払い"&amp;足元帳!AM218&amp;"  ")&amp;IF(足元帳!AP218="","",足元帳!AP218&amp;"　")&amp;IF(足元帳!AQ218="","",足元帳!AQ218&amp;"　")&amp;IF(足元帳!AR218="","",足元帳!AR218&amp;"　")&amp;IF(足元帳!AS218="","",足元帳!AS218&amp;"　")&amp;IF(足元帳!AT218="","",足元帳!AT218&amp;"　")&amp;IF(足元帳!AN218="","","LOVE×2")&amp;IF(足元帳!AJ218="","","MM"&amp;足元帳!AJ218)&amp;IF(足元帳!AW218="","",W250&amp;"利用"&amp;足元帳!AW218)&amp;IF(足元帳!AX218="",""," 優待券配布"&amp;足元帳!AX218)&amp;IF(足元帳!AU218="","","メルマガ")</f>
        <v/>
      </c>
      <c r="AC250" s="604"/>
      <c r="AD250" s="604"/>
      <c r="AE250" s="604"/>
      <c r="AF250" s="604"/>
      <c r="AG250" s="604"/>
      <c r="AH250" s="604"/>
      <c r="AI250" s="604"/>
      <c r="AJ250" s="604"/>
      <c r="AK250" s="604"/>
      <c r="AL250" s="604"/>
      <c r="AM250" s="604"/>
      <c r="AN250" s="604"/>
      <c r="AO250" s="604"/>
      <c r="AP250" s="604"/>
      <c r="AQ250" s="604"/>
      <c r="AR250" s="113" t="str">
        <f>IF(足元帳!A218="","",足元帳!A218)</f>
        <v/>
      </c>
      <c r="AS250" s="123">
        <f>COUNTIF(AR$4:AR250,AR250)</f>
        <v>247</v>
      </c>
    </row>
    <row r="251" spans="1:45" ht="23.45" customHeight="1">
      <c r="A251" s="586">
        <f t="shared" si="5"/>
        <v>218</v>
      </c>
      <c r="B251" s="566"/>
      <c r="C251" s="73" t="str">
        <f>IF(足元帳!AY219=1,"N",IF(足元帳!AY219=2,"R",""))</f>
        <v/>
      </c>
      <c r="D251" s="74" t="str">
        <f>IF(足元帳!AZ219&gt;0,VLOOKUP(足元帳!AZ219,管理シート!$R$4:$V$12,5,FALSE),"")</f>
        <v/>
      </c>
      <c r="E251" s="587" t="str">
        <f>IF(足元帳!J219="","",足元帳!J219)</f>
        <v/>
      </c>
      <c r="F251" s="566"/>
      <c r="G251" s="587" t="str">
        <f>IF(足元帳!K219="","",足元帳!K219)</f>
        <v/>
      </c>
      <c r="H251" s="565"/>
      <c r="I251" s="565"/>
      <c r="J251" s="566"/>
      <c r="K251" s="587" t="str">
        <f>IF(足元帳!BB219&gt;0,VLOOKUP(足元帳!BB219,管理シート!$R$4:$W$12,4,FALSE),"")</f>
        <v/>
      </c>
      <c r="L251" s="565"/>
      <c r="M251" s="566"/>
      <c r="N251" s="587" t="str">
        <f>IF(足元帳!U219="","",足元帳!U219)&amp;IF(足元帳!V219="","",足元帳!V219)&amp;IF(足元帳!W219="","",足元帳!W219)&amp;IF(足元帳!X219="","",足元帳!X219)&amp;IF(足元帳!Y219="","",足元帳!Y219)&amp;IF(足元帳!Z219="","",足元帳!Z219)</f>
        <v/>
      </c>
      <c r="O251" s="565"/>
      <c r="P251" s="565"/>
      <c r="Q251" s="565"/>
      <c r="R251" s="565"/>
      <c r="S251" s="566"/>
      <c r="T251" s="661" t="str">
        <f ca="1">IFERROR(INDEX(管理シート!$CB$3:$CK$24,MATCH(W251,管理シート!$CB$3:$CB$24,0),MATCH(K251,管理シート!$CB$3:$CM$3,0)),"")</f>
        <v/>
      </c>
      <c r="U251" s="661"/>
      <c r="V251" s="661"/>
      <c r="W251" s="587" t="str">
        <f ca="1">IF(ISERROR(MATCH("●",足元帳!AA219:AJ219,0)),"",INDIRECT("足元帳!R1C"&amp;MATCH("●",足元帳!AA219:AJ219,0)+26,FALSE))</f>
        <v/>
      </c>
      <c r="X251" s="565"/>
      <c r="Y251" s="566"/>
      <c r="Z251" s="587" t="str">
        <f>IF(足元帳!AL219="","","○")</f>
        <v/>
      </c>
      <c r="AA251" s="566"/>
      <c r="AB251" s="604" t="str">
        <f>IF(足元帳!AM219="","","現金カード払い"&amp;足元帳!AM219&amp;"  ")&amp;IF(足元帳!AP219="","",足元帳!AP219&amp;"　")&amp;IF(足元帳!AQ219="","",足元帳!AQ219&amp;"　")&amp;IF(足元帳!AR219="","",足元帳!AR219&amp;"　")&amp;IF(足元帳!AS219="","",足元帳!AS219&amp;"　")&amp;IF(足元帳!AT219="","",足元帳!AT219&amp;"　")&amp;IF(足元帳!AN219="","","LOVE×2")&amp;IF(足元帳!AJ219="","","MM"&amp;足元帳!AJ219)&amp;IF(足元帳!AW219="","",W251&amp;"利用"&amp;足元帳!AW219)&amp;IF(足元帳!AX219="",""," 優待券配布"&amp;足元帳!AX219)&amp;IF(足元帳!AU219="","","メルマガ")</f>
        <v/>
      </c>
      <c r="AC251" s="604"/>
      <c r="AD251" s="604"/>
      <c r="AE251" s="604"/>
      <c r="AF251" s="604"/>
      <c r="AG251" s="604"/>
      <c r="AH251" s="604"/>
      <c r="AI251" s="604"/>
      <c r="AJ251" s="604"/>
      <c r="AK251" s="604"/>
      <c r="AL251" s="604"/>
      <c r="AM251" s="604"/>
      <c r="AN251" s="604"/>
      <c r="AO251" s="604"/>
      <c r="AP251" s="604"/>
      <c r="AQ251" s="604"/>
      <c r="AR251" s="113" t="str">
        <f>IF(足元帳!A219="","",足元帳!A219)</f>
        <v/>
      </c>
      <c r="AS251" s="123">
        <f>COUNTIF(AR$4:AR251,AR251)</f>
        <v>248</v>
      </c>
    </row>
    <row r="252" spans="1:45" ht="23.45" customHeight="1">
      <c r="A252" s="586">
        <f t="shared" si="5"/>
        <v>219</v>
      </c>
      <c r="B252" s="566"/>
      <c r="C252" s="73" t="str">
        <f>IF(足元帳!AY220=1,"N",IF(足元帳!AY220=2,"R",""))</f>
        <v/>
      </c>
      <c r="D252" s="74" t="str">
        <f>IF(足元帳!AZ220&gt;0,VLOOKUP(足元帳!AZ220,管理シート!$R$4:$V$12,5,FALSE),"")</f>
        <v/>
      </c>
      <c r="E252" s="587" t="str">
        <f>IF(足元帳!J220="","",足元帳!J220)</f>
        <v/>
      </c>
      <c r="F252" s="566"/>
      <c r="G252" s="587" t="str">
        <f>IF(足元帳!K220="","",足元帳!K220)</f>
        <v/>
      </c>
      <c r="H252" s="565"/>
      <c r="I252" s="565"/>
      <c r="J252" s="566"/>
      <c r="K252" s="587" t="str">
        <f>IF(足元帳!BB220&gt;0,VLOOKUP(足元帳!BB220,管理シート!$R$4:$W$12,4,FALSE),"")</f>
        <v/>
      </c>
      <c r="L252" s="565"/>
      <c r="M252" s="566"/>
      <c r="N252" s="587" t="str">
        <f>IF(足元帳!U220="","",足元帳!U220)&amp;IF(足元帳!V220="","",足元帳!V220)&amp;IF(足元帳!W220="","",足元帳!W220)&amp;IF(足元帳!X220="","",足元帳!X220)&amp;IF(足元帳!Y220="","",足元帳!Y220)&amp;IF(足元帳!Z220="","",足元帳!Z220)</f>
        <v/>
      </c>
      <c r="O252" s="565"/>
      <c r="P252" s="565"/>
      <c r="Q252" s="565"/>
      <c r="R252" s="565"/>
      <c r="S252" s="566"/>
      <c r="T252" s="661" t="str">
        <f ca="1">IFERROR(INDEX(管理シート!$CB$3:$CK$24,MATCH(W252,管理シート!$CB$3:$CB$24,0),MATCH(K252,管理シート!$CB$3:$CM$3,0)),"")</f>
        <v/>
      </c>
      <c r="U252" s="661"/>
      <c r="V252" s="661"/>
      <c r="W252" s="587" t="str">
        <f ca="1">IF(ISERROR(MATCH("●",足元帳!AA220:AJ220,0)),"",INDIRECT("足元帳!R1C"&amp;MATCH("●",足元帳!AA220:AJ220,0)+26,FALSE))</f>
        <v/>
      </c>
      <c r="X252" s="565"/>
      <c r="Y252" s="566"/>
      <c r="Z252" s="587" t="str">
        <f>IF(足元帳!AL220="","","○")</f>
        <v/>
      </c>
      <c r="AA252" s="566"/>
      <c r="AB252" s="604" t="str">
        <f>IF(足元帳!AM220="","","現金カード払い"&amp;足元帳!AM220&amp;"  ")&amp;IF(足元帳!AP220="","",足元帳!AP220&amp;"　")&amp;IF(足元帳!AQ220="","",足元帳!AQ220&amp;"　")&amp;IF(足元帳!AR220="","",足元帳!AR220&amp;"　")&amp;IF(足元帳!AS220="","",足元帳!AS220&amp;"　")&amp;IF(足元帳!AT220="","",足元帳!AT220&amp;"　")&amp;IF(足元帳!AN220="","","LOVE×2")&amp;IF(足元帳!AJ220="","","MM"&amp;足元帳!AJ220)&amp;IF(足元帳!AW220="","",W252&amp;"利用"&amp;足元帳!AW220)&amp;IF(足元帳!AX220="",""," 優待券配布"&amp;足元帳!AX220)&amp;IF(足元帳!AU220="","","メルマガ")</f>
        <v/>
      </c>
      <c r="AC252" s="604"/>
      <c r="AD252" s="604"/>
      <c r="AE252" s="604"/>
      <c r="AF252" s="604"/>
      <c r="AG252" s="604"/>
      <c r="AH252" s="604"/>
      <c r="AI252" s="604"/>
      <c r="AJ252" s="604"/>
      <c r="AK252" s="604"/>
      <c r="AL252" s="604"/>
      <c r="AM252" s="604"/>
      <c r="AN252" s="604"/>
      <c r="AO252" s="604"/>
      <c r="AP252" s="604"/>
      <c r="AQ252" s="604"/>
      <c r="AR252" s="113" t="str">
        <f>IF(足元帳!A220="","",足元帳!A220)</f>
        <v/>
      </c>
      <c r="AS252" s="123">
        <f>COUNTIF(AR$4:AR252,AR252)</f>
        <v>249</v>
      </c>
    </row>
    <row r="253" spans="1:45" ht="23.45" customHeight="1">
      <c r="A253" s="586">
        <f t="shared" si="5"/>
        <v>220</v>
      </c>
      <c r="B253" s="566"/>
      <c r="C253" s="73" t="str">
        <f>IF(足元帳!AY221=1,"N",IF(足元帳!AY221=2,"R",""))</f>
        <v/>
      </c>
      <c r="D253" s="74" t="str">
        <f>IF(足元帳!AZ221&gt;0,VLOOKUP(足元帳!AZ221,管理シート!$R$4:$V$12,5,FALSE),"")</f>
        <v/>
      </c>
      <c r="E253" s="587" t="str">
        <f>IF(足元帳!J221="","",足元帳!J221)</f>
        <v/>
      </c>
      <c r="F253" s="566"/>
      <c r="G253" s="587" t="str">
        <f>IF(足元帳!K221="","",足元帳!K221)</f>
        <v/>
      </c>
      <c r="H253" s="565"/>
      <c r="I253" s="565"/>
      <c r="J253" s="566"/>
      <c r="K253" s="587" t="str">
        <f>IF(足元帳!BB221&gt;0,VLOOKUP(足元帳!BB221,管理シート!$R$4:$W$12,4,FALSE),"")</f>
        <v/>
      </c>
      <c r="L253" s="565"/>
      <c r="M253" s="566"/>
      <c r="N253" s="587" t="str">
        <f>IF(足元帳!U221="","",足元帳!U221)&amp;IF(足元帳!V221="","",足元帳!V221)&amp;IF(足元帳!W221="","",足元帳!W221)&amp;IF(足元帳!X221="","",足元帳!X221)&amp;IF(足元帳!Y221="","",足元帳!Y221)&amp;IF(足元帳!Z221="","",足元帳!Z221)</f>
        <v/>
      </c>
      <c r="O253" s="565"/>
      <c r="P253" s="565"/>
      <c r="Q253" s="565"/>
      <c r="R253" s="565"/>
      <c r="S253" s="566"/>
      <c r="T253" s="661" t="str">
        <f ca="1">IFERROR(INDEX(管理シート!$CB$3:$CK$24,MATCH(W253,管理シート!$CB$3:$CB$24,0),MATCH(K253,管理シート!$CB$3:$CM$3,0)),"")</f>
        <v/>
      </c>
      <c r="U253" s="661"/>
      <c r="V253" s="661"/>
      <c r="W253" s="587" t="str">
        <f ca="1">IF(ISERROR(MATCH("●",足元帳!AA221:AJ221,0)),"",INDIRECT("足元帳!R1C"&amp;MATCH("●",足元帳!AA221:AJ221,0)+26,FALSE))</f>
        <v/>
      </c>
      <c r="X253" s="565"/>
      <c r="Y253" s="566"/>
      <c r="Z253" s="587" t="str">
        <f>IF(足元帳!AL221="","","○")</f>
        <v/>
      </c>
      <c r="AA253" s="566"/>
      <c r="AB253" s="604" t="str">
        <f>IF(足元帳!AM221="","","現金カード払い"&amp;足元帳!AM221&amp;"  ")&amp;IF(足元帳!AP221="","",足元帳!AP221&amp;"　")&amp;IF(足元帳!AQ221="","",足元帳!AQ221&amp;"　")&amp;IF(足元帳!AR221="","",足元帳!AR221&amp;"　")&amp;IF(足元帳!AS221="","",足元帳!AS221&amp;"　")&amp;IF(足元帳!AT221="","",足元帳!AT221&amp;"　")&amp;IF(足元帳!AN221="","","LOVE×2")&amp;IF(足元帳!AJ221="","","MM"&amp;足元帳!AJ221)&amp;IF(足元帳!AW221="","",W253&amp;"利用"&amp;足元帳!AW221)&amp;IF(足元帳!AX221="",""," 優待券配布"&amp;足元帳!AX221)&amp;IF(足元帳!AU221="","","メルマガ")</f>
        <v/>
      </c>
      <c r="AC253" s="604"/>
      <c r="AD253" s="604"/>
      <c r="AE253" s="604"/>
      <c r="AF253" s="604"/>
      <c r="AG253" s="604"/>
      <c r="AH253" s="604"/>
      <c r="AI253" s="604"/>
      <c r="AJ253" s="604"/>
      <c r="AK253" s="604"/>
      <c r="AL253" s="604"/>
      <c r="AM253" s="604"/>
      <c r="AN253" s="604"/>
      <c r="AO253" s="604"/>
      <c r="AP253" s="604"/>
      <c r="AQ253" s="604"/>
      <c r="AR253" s="113" t="str">
        <f>IF(足元帳!A221="","",足元帳!A221)</f>
        <v/>
      </c>
      <c r="AS253" s="123">
        <f>COUNTIF(AR$4:AR253,AR253)</f>
        <v>250</v>
      </c>
    </row>
    <row r="254" spans="1:45" ht="23.45" customHeight="1">
      <c r="A254" s="586">
        <f t="shared" si="5"/>
        <v>221</v>
      </c>
      <c r="B254" s="566"/>
      <c r="C254" s="73" t="str">
        <f>IF(足元帳!AY222=1,"N",IF(足元帳!AY222=2,"R",""))</f>
        <v/>
      </c>
      <c r="D254" s="74" t="str">
        <f>IF(足元帳!AZ222&gt;0,VLOOKUP(足元帳!AZ222,管理シート!$R$4:$V$12,5,FALSE),"")</f>
        <v/>
      </c>
      <c r="E254" s="587" t="str">
        <f>IF(足元帳!J222="","",足元帳!J222)</f>
        <v/>
      </c>
      <c r="F254" s="566"/>
      <c r="G254" s="587" t="str">
        <f>IF(足元帳!K222="","",足元帳!K222)</f>
        <v/>
      </c>
      <c r="H254" s="565"/>
      <c r="I254" s="565"/>
      <c r="J254" s="566"/>
      <c r="K254" s="587" t="str">
        <f>IF(足元帳!BB222&gt;0,VLOOKUP(足元帳!BB222,管理シート!$R$4:$W$12,4,FALSE),"")</f>
        <v/>
      </c>
      <c r="L254" s="565"/>
      <c r="M254" s="566"/>
      <c r="N254" s="587" t="str">
        <f>IF(足元帳!U222="","",足元帳!U222)&amp;IF(足元帳!V222="","",足元帳!V222)&amp;IF(足元帳!W222="","",足元帳!W222)&amp;IF(足元帳!X222="","",足元帳!X222)&amp;IF(足元帳!Y222="","",足元帳!Y222)&amp;IF(足元帳!Z222="","",足元帳!Z222)</f>
        <v/>
      </c>
      <c r="O254" s="565"/>
      <c r="P254" s="565"/>
      <c r="Q254" s="565"/>
      <c r="R254" s="565"/>
      <c r="S254" s="566"/>
      <c r="T254" s="661" t="str">
        <f ca="1">IFERROR(INDEX(管理シート!$CB$3:$CK$24,MATCH(W254,管理シート!$CB$3:$CB$24,0),MATCH(K254,管理シート!$CB$3:$CM$3,0)),"")</f>
        <v/>
      </c>
      <c r="U254" s="661"/>
      <c r="V254" s="661"/>
      <c r="W254" s="587" t="str">
        <f ca="1">IF(ISERROR(MATCH("●",足元帳!AA222:AJ222,0)),"",INDIRECT("足元帳!R1C"&amp;MATCH("●",足元帳!AA222:AJ222,0)+26,FALSE))</f>
        <v/>
      </c>
      <c r="X254" s="565"/>
      <c r="Y254" s="566"/>
      <c r="Z254" s="587" t="str">
        <f>IF(足元帳!AL222="","","○")</f>
        <v/>
      </c>
      <c r="AA254" s="566"/>
      <c r="AB254" s="604" t="str">
        <f>IF(足元帳!AM222="","","現金カード払い"&amp;足元帳!AM222&amp;"  ")&amp;IF(足元帳!AP222="","",足元帳!AP222&amp;"　")&amp;IF(足元帳!AQ222="","",足元帳!AQ222&amp;"　")&amp;IF(足元帳!AR222="","",足元帳!AR222&amp;"　")&amp;IF(足元帳!AS222="","",足元帳!AS222&amp;"　")&amp;IF(足元帳!AT222="","",足元帳!AT222&amp;"　")&amp;IF(足元帳!AN222="","","LOVE×2")&amp;IF(足元帳!AJ222="","","MM"&amp;足元帳!AJ222)&amp;IF(足元帳!AW222="","",W254&amp;"利用"&amp;足元帳!AW222)&amp;IF(足元帳!AX222="",""," 優待券配布"&amp;足元帳!AX222)&amp;IF(足元帳!AU222="","","メルマガ")</f>
        <v/>
      </c>
      <c r="AC254" s="604"/>
      <c r="AD254" s="604"/>
      <c r="AE254" s="604"/>
      <c r="AF254" s="604"/>
      <c r="AG254" s="604"/>
      <c r="AH254" s="604"/>
      <c r="AI254" s="604"/>
      <c r="AJ254" s="604"/>
      <c r="AK254" s="604"/>
      <c r="AL254" s="604"/>
      <c r="AM254" s="604"/>
      <c r="AN254" s="604"/>
      <c r="AO254" s="604"/>
      <c r="AP254" s="604"/>
      <c r="AQ254" s="604"/>
      <c r="AR254" s="113" t="str">
        <f>IF(足元帳!A222="","",足元帳!A222)</f>
        <v/>
      </c>
      <c r="AS254" s="123">
        <f>COUNTIF(AR$4:AR254,AR254)</f>
        <v>251</v>
      </c>
    </row>
    <row r="255" spans="1:45" ht="23.45" customHeight="1">
      <c r="A255" s="586">
        <f t="shared" si="5"/>
        <v>222</v>
      </c>
      <c r="B255" s="566"/>
      <c r="C255" s="73" t="str">
        <f>IF(足元帳!AY223=1,"N",IF(足元帳!AY223=2,"R",""))</f>
        <v/>
      </c>
      <c r="D255" s="74" t="str">
        <f>IF(足元帳!AZ223&gt;0,VLOOKUP(足元帳!AZ223,管理シート!$R$4:$V$12,5,FALSE),"")</f>
        <v/>
      </c>
      <c r="E255" s="587" t="str">
        <f>IF(足元帳!J223="","",足元帳!J223)</f>
        <v/>
      </c>
      <c r="F255" s="566"/>
      <c r="G255" s="587" t="str">
        <f>IF(足元帳!K223="","",足元帳!K223)</f>
        <v/>
      </c>
      <c r="H255" s="565"/>
      <c r="I255" s="565"/>
      <c r="J255" s="566"/>
      <c r="K255" s="587" t="str">
        <f>IF(足元帳!BB223&gt;0,VLOOKUP(足元帳!BB223,管理シート!$R$4:$W$12,4,FALSE),"")</f>
        <v/>
      </c>
      <c r="L255" s="565"/>
      <c r="M255" s="566"/>
      <c r="N255" s="587" t="str">
        <f>IF(足元帳!U223="","",足元帳!U223)&amp;IF(足元帳!V223="","",足元帳!V223)&amp;IF(足元帳!W223="","",足元帳!W223)&amp;IF(足元帳!X223="","",足元帳!X223)&amp;IF(足元帳!Y223="","",足元帳!Y223)&amp;IF(足元帳!Z223="","",足元帳!Z223)</f>
        <v/>
      </c>
      <c r="O255" s="565"/>
      <c r="P255" s="565"/>
      <c r="Q255" s="565"/>
      <c r="R255" s="565"/>
      <c r="S255" s="566"/>
      <c r="T255" s="661" t="str">
        <f ca="1">IFERROR(INDEX(管理シート!$CB$3:$CK$24,MATCH(W255,管理シート!$CB$3:$CB$24,0),MATCH(K255,管理シート!$CB$3:$CM$3,0)),"")</f>
        <v/>
      </c>
      <c r="U255" s="661"/>
      <c r="V255" s="661"/>
      <c r="W255" s="587" t="str">
        <f ca="1">IF(ISERROR(MATCH("●",足元帳!AA223:AJ223,0)),"",INDIRECT("足元帳!R1C"&amp;MATCH("●",足元帳!AA223:AJ223,0)+26,FALSE))</f>
        <v/>
      </c>
      <c r="X255" s="565"/>
      <c r="Y255" s="566"/>
      <c r="Z255" s="587" t="str">
        <f>IF(足元帳!AL223="","","○")</f>
        <v/>
      </c>
      <c r="AA255" s="566"/>
      <c r="AB255" s="604" t="str">
        <f>IF(足元帳!AM223="","","現金カード払い"&amp;足元帳!AM223&amp;"  ")&amp;IF(足元帳!AP223="","",足元帳!AP223&amp;"　")&amp;IF(足元帳!AQ223="","",足元帳!AQ223&amp;"　")&amp;IF(足元帳!AR223="","",足元帳!AR223&amp;"　")&amp;IF(足元帳!AS223="","",足元帳!AS223&amp;"　")&amp;IF(足元帳!AT223="","",足元帳!AT223&amp;"　")&amp;IF(足元帳!AN223="","","LOVE×2")&amp;IF(足元帳!AJ223="","","MM"&amp;足元帳!AJ223)&amp;IF(足元帳!AW223="","",W255&amp;"利用"&amp;足元帳!AW223)&amp;IF(足元帳!AX223="",""," 優待券配布"&amp;足元帳!AX223)&amp;IF(足元帳!AU223="","","メルマガ")</f>
        <v/>
      </c>
      <c r="AC255" s="604"/>
      <c r="AD255" s="604"/>
      <c r="AE255" s="604"/>
      <c r="AF255" s="604"/>
      <c r="AG255" s="604"/>
      <c r="AH255" s="604"/>
      <c r="AI255" s="604"/>
      <c r="AJ255" s="604"/>
      <c r="AK255" s="604"/>
      <c r="AL255" s="604"/>
      <c r="AM255" s="604"/>
      <c r="AN255" s="604"/>
      <c r="AO255" s="604"/>
      <c r="AP255" s="604"/>
      <c r="AQ255" s="604"/>
      <c r="AR255" s="113" t="str">
        <f>IF(足元帳!A223="","",足元帳!A223)</f>
        <v/>
      </c>
      <c r="AS255" s="123">
        <f>COUNTIF(AR$4:AR255,AR255)</f>
        <v>252</v>
      </c>
    </row>
    <row r="256" spans="1:45" ht="23.45" customHeight="1">
      <c r="A256" s="586">
        <f t="shared" si="5"/>
        <v>223</v>
      </c>
      <c r="B256" s="566"/>
      <c r="C256" s="73" t="str">
        <f>IF(足元帳!AY224=1,"N",IF(足元帳!AY224=2,"R",""))</f>
        <v/>
      </c>
      <c r="D256" s="74" t="str">
        <f>IF(足元帳!AZ224&gt;0,VLOOKUP(足元帳!AZ224,管理シート!$R$4:$V$12,5,FALSE),"")</f>
        <v/>
      </c>
      <c r="E256" s="587" t="str">
        <f>IF(足元帳!J224="","",足元帳!J224)</f>
        <v/>
      </c>
      <c r="F256" s="566"/>
      <c r="G256" s="587" t="str">
        <f>IF(足元帳!K224="","",足元帳!K224)</f>
        <v/>
      </c>
      <c r="H256" s="565"/>
      <c r="I256" s="565"/>
      <c r="J256" s="566"/>
      <c r="K256" s="587" t="str">
        <f>IF(足元帳!BB224&gt;0,VLOOKUP(足元帳!BB224,管理シート!$R$4:$W$12,4,FALSE),"")</f>
        <v/>
      </c>
      <c r="L256" s="565"/>
      <c r="M256" s="566"/>
      <c r="N256" s="587" t="str">
        <f>IF(足元帳!U224="","",足元帳!U224)&amp;IF(足元帳!V224="","",足元帳!V224)&amp;IF(足元帳!W224="","",足元帳!W224)&amp;IF(足元帳!X224="","",足元帳!X224)&amp;IF(足元帳!Y224="","",足元帳!Y224)&amp;IF(足元帳!Z224="","",足元帳!Z224)</f>
        <v/>
      </c>
      <c r="O256" s="565"/>
      <c r="P256" s="565"/>
      <c r="Q256" s="565"/>
      <c r="R256" s="565"/>
      <c r="S256" s="566"/>
      <c r="T256" s="661" t="str">
        <f ca="1">IFERROR(INDEX(管理シート!$CB$3:$CK$24,MATCH(W256,管理シート!$CB$3:$CB$24,0),MATCH(K256,管理シート!$CB$3:$CM$3,0)),"")</f>
        <v/>
      </c>
      <c r="U256" s="661"/>
      <c r="V256" s="661"/>
      <c r="W256" s="587" t="str">
        <f ca="1">IF(ISERROR(MATCH("●",足元帳!AA224:AJ224,0)),"",INDIRECT("足元帳!R1C"&amp;MATCH("●",足元帳!AA224:AJ224,0)+26,FALSE))</f>
        <v/>
      </c>
      <c r="X256" s="565"/>
      <c r="Y256" s="566"/>
      <c r="Z256" s="587" t="str">
        <f>IF(足元帳!AL224="","","○")</f>
        <v/>
      </c>
      <c r="AA256" s="566"/>
      <c r="AB256" s="604" t="str">
        <f>IF(足元帳!AM224="","","現金カード払い"&amp;足元帳!AM224&amp;"  ")&amp;IF(足元帳!AP224="","",足元帳!AP224&amp;"　")&amp;IF(足元帳!AQ224="","",足元帳!AQ224&amp;"　")&amp;IF(足元帳!AR224="","",足元帳!AR224&amp;"　")&amp;IF(足元帳!AS224="","",足元帳!AS224&amp;"　")&amp;IF(足元帳!AT224="","",足元帳!AT224&amp;"　")&amp;IF(足元帳!AN224="","","LOVE×2")&amp;IF(足元帳!AJ224="","","MM"&amp;足元帳!AJ224)&amp;IF(足元帳!AW224="","",W256&amp;"利用"&amp;足元帳!AW224)&amp;IF(足元帳!AX224="",""," 優待券配布"&amp;足元帳!AX224)&amp;IF(足元帳!AU224="","","メルマガ")</f>
        <v/>
      </c>
      <c r="AC256" s="604"/>
      <c r="AD256" s="604"/>
      <c r="AE256" s="604"/>
      <c r="AF256" s="604"/>
      <c r="AG256" s="604"/>
      <c r="AH256" s="604"/>
      <c r="AI256" s="604"/>
      <c r="AJ256" s="604"/>
      <c r="AK256" s="604"/>
      <c r="AL256" s="604"/>
      <c r="AM256" s="604"/>
      <c r="AN256" s="604"/>
      <c r="AO256" s="604"/>
      <c r="AP256" s="604"/>
      <c r="AQ256" s="604"/>
      <c r="AR256" s="113" t="str">
        <f>IF(足元帳!A224="","",足元帳!A224)</f>
        <v/>
      </c>
      <c r="AS256" s="123">
        <f>COUNTIF(AR$4:AR256,AR256)</f>
        <v>253</v>
      </c>
    </row>
    <row r="257" spans="1:45" ht="23.45" customHeight="1">
      <c r="A257" s="586">
        <f t="shared" si="5"/>
        <v>224</v>
      </c>
      <c r="B257" s="566"/>
      <c r="C257" s="73" t="str">
        <f>IF(足元帳!AY225=1,"N",IF(足元帳!AY225=2,"R",""))</f>
        <v/>
      </c>
      <c r="D257" s="74" t="str">
        <f>IF(足元帳!AZ225&gt;0,VLOOKUP(足元帳!AZ225,管理シート!$R$4:$V$12,5,FALSE),"")</f>
        <v/>
      </c>
      <c r="E257" s="587" t="str">
        <f>IF(足元帳!J225="","",足元帳!J225)</f>
        <v/>
      </c>
      <c r="F257" s="566"/>
      <c r="G257" s="587" t="str">
        <f>IF(足元帳!K225="","",足元帳!K225)</f>
        <v/>
      </c>
      <c r="H257" s="565"/>
      <c r="I257" s="565"/>
      <c r="J257" s="566"/>
      <c r="K257" s="587" t="str">
        <f>IF(足元帳!BB225&gt;0,VLOOKUP(足元帳!BB225,管理シート!$R$4:$W$12,4,FALSE),"")</f>
        <v/>
      </c>
      <c r="L257" s="565"/>
      <c r="M257" s="566"/>
      <c r="N257" s="587" t="str">
        <f>IF(足元帳!U225="","",足元帳!U225)&amp;IF(足元帳!V225="","",足元帳!V225)&amp;IF(足元帳!W225="","",足元帳!W225)&amp;IF(足元帳!X225="","",足元帳!X225)&amp;IF(足元帳!Y225="","",足元帳!Y225)&amp;IF(足元帳!Z225="","",足元帳!Z225)</f>
        <v/>
      </c>
      <c r="O257" s="565"/>
      <c r="P257" s="565"/>
      <c r="Q257" s="565"/>
      <c r="R257" s="565"/>
      <c r="S257" s="566"/>
      <c r="T257" s="661" t="str">
        <f ca="1">IFERROR(INDEX(管理シート!$CB$3:$CK$24,MATCH(W257,管理シート!$CB$3:$CB$24,0),MATCH(K257,管理シート!$CB$3:$CM$3,0)),"")</f>
        <v/>
      </c>
      <c r="U257" s="661"/>
      <c r="V257" s="661"/>
      <c r="W257" s="587" t="str">
        <f ca="1">IF(ISERROR(MATCH("●",足元帳!AA225:AJ225,0)),"",INDIRECT("足元帳!R1C"&amp;MATCH("●",足元帳!AA225:AJ225,0)+26,FALSE))</f>
        <v/>
      </c>
      <c r="X257" s="565"/>
      <c r="Y257" s="566"/>
      <c r="Z257" s="587" t="str">
        <f>IF(足元帳!AL225="","","○")</f>
        <v/>
      </c>
      <c r="AA257" s="566"/>
      <c r="AB257" s="604" t="str">
        <f>IF(足元帳!AM225="","","現金カード払い"&amp;足元帳!AM225&amp;"  ")&amp;IF(足元帳!AP225="","",足元帳!AP225&amp;"　")&amp;IF(足元帳!AQ225="","",足元帳!AQ225&amp;"　")&amp;IF(足元帳!AR225="","",足元帳!AR225&amp;"　")&amp;IF(足元帳!AS225="","",足元帳!AS225&amp;"　")&amp;IF(足元帳!AT225="","",足元帳!AT225&amp;"　")&amp;IF(足元帳!AN225="","","LOVE×2")&amp;IF(足元帳!AJ225="","","MM"&amp;足元帳!AJ225)&amp;IF(足元帳!AW225="","",W257&amp;"利用"&amp;足元帳!AW225)&amp;IF(足元帳!AX225="",""," 優待券配布"&amp;足元帳!AX225)&amp;IF(足元帳!AU225="","","メルマガ")</f>
        <v/>
      </c>
      <c r="AC257" s="604"/>
      <c r="AD257" s="604"/>
      <c r="AE257" s="604"/>
      <c r="AF257" s="604"/>
      <c r="AG257" s="604"/>
      <c r="AH257" s="604"/>
      <c r="AI257" s="604"/>
      <c r="AJ257" s="604"/>
      <c r="AK257" s="604"/>
      <c r="AL257" s="604"/>
      <c r="AM257" s="604"/>
      <c r="AN257" s="604"/>
      <c r="AO257" s="604"/>
      <c r="AP257" s="604"/>
      <c r="AQ257" s="604"/>
      <c r="AR257" s="113" t="str">
        <f>IF(足元帳!A225="","",足元帳!A225)</f>
        <v/>
      </c>
      <c r="AS257" s="123">
        <f>COUNTIF(AR$4:AR257,AR257)</f>
        <v>254</v>
      </c>
    </row>
    <row r="258" spans="1:45" ht="23.45" customHeight="1">
      <c r="A258" s="586">
        <f t="shared" si="5"/>
        <v>225</v>
      </c>
      <c r="B258" s="566"/>
      <c r="C258" s="73" t="str">
        <f>IF(足元帳!AY226=1,"N",IF(足元帳!AY226=2,"R",""))</f>
        <v/>
      </c>
      <c r="D258" s="74" t="str">
        <f>IF(足元帳!AZ226&gt;0,VLOOKUP(足元帳!AZ226,管理シート!$R$4:$V$12,5,FALSE),"")</f>
        <v/>
      </c>
      <c r="E258" s="587" t="str">
        <f>IF(足元帳!J226="","",足元帳!J226)</f>
        <v/>
      </c>
      <c r="F258" s="566"/>
      <c r="G258" s="587" t="str">
        <f>IF(足元帳!K226="","",足元帳!K226)</f>
        <v/>
      </c>
      <c r="H258" s="565"/>
      <c r="I258" s="565"/>
      <c r="J258" s="566"/>
      <c r="K258" s="587" t="str">
        <f>IF(足元帳!BB226&gt;0,VLOOKUP(足元帳!BB226,管理シート!$R$4:$W$12,4,FALSE),"")</f>
        <v/>
      </c>
      <c r="L258" s="565"/>
      <c r="M258" s="566"/>
      <c r="N258" s="587" t="str">
        <f>IF(足元帳!U226="","",足元帳!U226)&amp;IF(足元帳!V226="","",足元帳!V226)&amp;IF(足元帳!W226="","",足元帳!W226)&amp;IF(足元帳!X226="","",足元帳!X226)&amp;IF(足元帳!Y226="","",足元帳!Y226)&amp;IF(足元帳!Z226="","",足元帳!Z226)</f>
        <v/>
      </c>
      <c r="O258" s="565"/>
      <c r="P258" s="565"/>
      <c r="Q258" s="565"/>
      <c r="R258" s="565"/>
      <c r="S258" s="566"/>
      <c r="T258" s="661" t="str">
        <f ca="1">IFERROR(INDEX(管理シート!$CB$3:$CK$24,MATCH(W258,管理シート!$CB$3:$CB$24,0),MATCH(K258,管理シート!$CB$3:$CM$3,0)),"")</f>
        <v/>
      </c>
      <c r="U258" s="661"/>
      <c r="V258" s="661"/>
      <c r="W258" s="587" t="str">
        <f ca="1">IF(ISERROR(MATCH("●",足元帳!AA226:AJ226,0)),"",INDIRECT("足元帳!R1C"&amp;MATCH("●",足元帳!AA226:AJ226,0)+26,FALSE))</f>
        <v/>
      </c>
      <c r="X258" s="565"/>
      <c r="Y258" s="566"/>
      <c r="Z258" s="587" t="str">
        <f>IF(足元帳!AL226="","","○")</f>
        <v/>
      </c>
      <c r="AA258" s="566"/>
      <c r="AB258" s="604" t="str">
        <f>IF(足元帳!AM226="","","現金カード払い"&amp;足元帳!AM226&amp;"  ")&amp;IF(足元帳!AP226="","",足元帳!AP226&amp;"　")&amp;IF(足元帳!AQ226="","",足元帳!AQ226&amp;"　")&amp;IF(足元帳!AR226="","",足元帳!AR226&amp;"　")&amp;IF(足元帳!AS226="","",足元帳!AS226&amp;"　")&amp;IF(足元帳!AT226="","",足元帳!AT226&amp;"　")&amp;IF(足元帳!AN226="","","LOVE×2")&amp;IF(足元帳!AJ226="","","MM"&amp;足元帳!AJ226)&amp;IF(足元帳!AW226="","",W258&amp;"利用"&amp;足元帳!AW226)&amp;IF(足元帳!AX226="",""," 優待券配布"&amp;足元帳!AX226)&amp;IF(足元帳!AU226="","","メルマガ")</f>
        <v/>
      </c>
      <c r="AC258" s="604"/>
      <c r="AD258" s="604"/>
      <c r="AE258" s="604"/>
      <c r="AF258" s="604"/>
      <c r="AG258" s="604"/>
      <c r="AH258" s="604"/>
      <c r="AI258" s="604"/>
      <c r="AJ258" s="604"/>
      <c r="AK258" s="604"/>
      <c r="AL258" s="604"/>
      <c r="AM258" s="604"/>
      <c r="AN258" s="604"/>
      <c r="AO258" s="604"/>
      <c r="AP258" s="604"/>
      <c r="AQ258" s="604"/>
      <c r="AR258" s="113" t="str">
        <f>IF(足元帳!A226="","",足元帳!A226)</f>
        <v/>
      </c>
      <c r="AS258" s="123">
        <f>COUNTIF(AR$4:AR258,AR258)</f>
        <v>255</v>
      </c>
    </row>
    <row r="259" spans="1:45" ht="23.45" customHeight="1">
      <c r="A259" s="586">
        <f t="shared" si="5"/>
        <v>226</v>
      </c>
      <c r="B259" s="566"/>
      <c r="C259" s="73" t="str">
        <f>IF(足元帳!AY227=1,"N",IF(足元帳!AY227=2,"R",""))</f>
        <v/>
      </c>
      <c r="D259" s="74" t="str">
        <f>IF(足元帳!AZ227&gt;0,VLOOKUP(足元帳!AZ227,管理シート!$R$4:$V$12,5,FALSE),"")</f>
        <v/>
      </c>
      <c r="E259" s="587" t="str">
        <f>IF(足元帳!J227="","",足元帳!J227)</f>
        <v/>
      </c>
      <c r="F259" s="566"/>
      <c r="G259" s="587" t="str">
        <f>IF(足元帳!K227="","",足元帳!K227)</f>
        <v/>
      </c>
      <c r="H259" s="565"/>
      <c r="I259" s="565"/>
      <c r="J259" s="566"/>
      <c r="K259" s="587" t="str">
        <f>IF(足元帳!BB227&gt;0,VLOOKUP(足元帳!BB227,管理シート!$R$4:$W$12,4,FALSE),"")</f>
        <v/>
      </c>
      <c r="L259" s="565"/>
      <c r="M259" s="566"/>
      <c r="N259" s="587" t="str">
        <f>IF(足元帳!U227="","",足元帳!U227)&amp;IF(足元帳!V227="","",足元帳!V227)&amp;IF(足元帳!W227="","",足元帳!W227)&amp;IF(足元帳!X227="","",足元帳!X227)&amp;IF(足元帳!Y227="","",足元帳!Y227)&amp;IF(足元帳!Z227="","",足元帳!Z227)</f>
        <v/>
      </c>
      <c r="O259" s="565"/>
      <c r="P259" s="565"/>
      <c r="Q259" s="565"/>
      <c r="R259" s="565"/>
      <c r="S259" s="566"/>
      <c r="T259" s="661" t="str">
        <f ca="1">IFERROR(INDEX(管理シート!$CB$3:$CK$24,MATCH(W259,管理シート!$CB$3:$CB$24,0),MATCH(K259,管理シート!$CB$3:$CM$3,0)),"")</f>
        <v/>
      </c>
      <c r="U259" s="661"/>
      <c r="V259" s="661"/>
      <c r="W259" s="587" t="str">
        <f ca="1">IF(ISERROR(MATCH("●",足元帳!AA227:AJ227,0)),"",INDIRECT("足元帳!R1C"&amp;MATCH("●",足元帳!AA227:AJ227,0)+26,FALSE))</f>
        <v/>
      </c>
      <c r="X259" s="565"/>
      <c r="Y259" s="566"/>
      <c r="Z259" s="587" t="str">
        <f>IF(足元帳!AL227="","","○")</f>
        <v/>
      </c>
      <c r="AA259" s="566"/>
      <c r="AB259" s="604" t="str">
        <f>IF(足元帳!AM227="","","現金カード払い"&amp;足元帳!AM227&amp;"  ")&amp;IF(足元帳!AP227="","",足元帳!AP227&amp;"　")&amp;IF(足元帳!AQ227="","",足元帳!AQ227&amp;"　")&amp;IF(足元帳!AR227="","",足元帳!AR227&amp;"　")&amp;IF(足元帳!AS227="","",足元帳!AS227&amp;"　")&amp;IF(足元帳!AT227="","",足元帳!AT227&amp;"　")&amp;IF(足元帳!AN227="","","LOVE×2")&amp;IF(足元帳!AJ227="","","MM"&amp;足元帳!AJ227)&amp;IF(足元帳!AW227="","",W259&amp;"利用"&amp;足元帳!AW227)&amp;IF(足元帳!AX227="",""," 優待券配布"&amp;足元帳!AX227)&amp;IF(足元帳!AU227="","","メルマガ")</f>
        <v/>
      </c>
      <c r="AC259" s="604"/>
      <c r="AD259" s="604"/>
      <c r="AE259" s="604"/>
      <c r="AF259" s="604"/>
      <c r="AG259" s="604"/>
      <c r="AH259" s="604"/>
      <c r="AI259" s="604"/>
      <c r="AJ259" s="604"/>
      <c r="AK259" s="604"/>
      <c r="AL259" s="604"/>
      <c r="AM259" s="604"/>
      <c r="AN259" s="604"/>
      <c r="AO259" s="604"/>
      <c r="AP259" s="604"/>
      <c r="AQ259" s="604"/>
      <c r="AR259" s="113" t="str">
        <f>IF(足元帳!A227="","",足元帳!A227)</f>
        <v/>
      </c>
      <c r="AS259" s="123">
        <f>COUNTIF(AR$4:AR259,AR259)</f>
        <v>256</v>
      </c>
    </row>
    <row r="260" spans="1:45" ht="23.45" customHeight="1">
      <c r="A260" s="586">
        <f t="shared" si="5"/>
        <v>227</v>
      </c>
      <c r="B260" s="566"/>
      <c r="C260" s="73" t="str">
        <f>IF(足元帳!AY228=1,"N",IF(足元帳!AY228=2,"R",""))</f>
        <v/>
      </c>
      <c r="D260" s="74" t="str">
        <f>IF(足元帳!AZ228&gt;0,VLOOKUP(足元帳!AZ228,管理シート!$R$4:$V$12,5,FALSE),"")</f>
        <v/>
      </c>
      <c r="E260" s="587" t="str">
        <f>IF(足元帳!J228="","",足元帳!J228)</f>
        <v/>
      </c>
      <c r="F260" s="566"/>
      <c r="G260" s="587" t="str">
        <f>IF(足元帳!K228="","",足元帳!K228)</f>
        <v/>
      </c>
      <c r="H260" s="565"/>
      <c r="I260" s="565"/>
      <c r="J260" s="566"/>
      <c r="K260" s="587" t="str">
        <f>IF(足元帳!BB228&gt;0,VLOOKUP(足元帳!BB228,管理シート!$R$4:$W$12,4,FALSE),"")</f>
        <v/>
      </c>
      <c r="L260" s="565"/>
      <c r="M260" s="566"/>
      <c r="N260" s="587" t="str">
        <f>IF(足元帳!U228="","",足元帳!U228)&amp;IF(足元帳!V228="","",足元帳!V228)&amp;IF(足元帳!W228="","",足元帳!W228)&amp;IF(足元帳!X228="","",足元帳!X228)&amp;IF(足元帳!Y228="","",足元帳!Y228)&amp;IF(足元帳!Z228="","",足元帳!Z228)</f>
        <v/>
      </c>
      <c r="O260" s="565"/>
      <c r="P260" s="565"/>
      <c r="Q260" s="565"/>
      <c r="R260" s="565"/>
      <c r="S260" s="566"/>
      <c r="T260" s="661" t="str">
        <f ca="1">IFERROR(INDEX(管理シート!$CB$3:$CK$24,MATCH(W260,管理シート!$CB$3:$CB$24,0),MATCH(K260,管理シート!$CB$3:$CM$3,0)),"")</f>
        <v/>
      </c>
      <c r="U260" s="661"/>
      <c r="V260" s="661"/>
      <c r="W260" s="587" t="str">
        <f ca="1">IF(ISERROR(MATCH("●",足元帳!AA228:AJ228,0)),"",INDIRECT("足元帳!R1C"&amp;MATCH("●",足元帳!AA228:AJ228,0)+26,FALSE))</f>
        <v/>
      </c>
      <c r="X260" s="565"/>
      <c r="Y260" s="566"/>
      <c r="Z260" s="587" t="str">
        <f>IF(足元帳!AL228="","","○")</f>
        <v/>
      </c>
      <c r="AA260" s="566"/>
      <c r="AB260" s="604" t="str">
        <f>IF(足元帳!AM228="","","現金カード払い"&amp;足元帳!AM228&amp;"  ")&amp;IF(足元帳!AP228="","",足元帳!AP228&amp;"　")&amp;IF(足元帳!AQ228="","",足元帳!AQ228&amp;"　")&amp;IF(足元帳!AR228="","",足元帳!AR228&amp;"　")&amp;IF(足元帳!AS228="","",足元帳!AS228&amp;"　")&amp;IF(足元帳!AT228="","",足元帳!AT228&amp;"　")&amp;IF(足元帳!AN228="","","LOVE×2")&amp;IF(足元帳!AJ228="","","MM"&amp;足元帳!AJ228)&amp;IF(足元帳!AW228="","",W260&amp;"利用"&amp;足元帳!AW228)&amp;IF(足元帳!AX228="",""," 優待券配布"&amp;足元帳!AX228)&amp;IF(足元帳!AU228="","","メルマガ")</f>
        <v/>
      </c>
      <c r="AC260" s="604"/>
      <c r="AD260" s="604"/>
      <c r="AE260" s="604"/>
      <c r="AF260" s="604"/>
      <c r="AG260" s="604"/>
      <c r="AH260" s="604"/>
      <c r="AI260" s="604"/>
      <c r="AJ260" s="604"/>
      <c r="AK260" s="604"/>
      <c r="AL260" s="604"/>
      <c r="AM260" s="604"/>
      <c r="AN260" s="604"/>
      <c r="AO260" s="604"/>
      <c r="AP260" s="604"/>
      <c r="AQ260" s="604"/>
      <c r="AR260" s="113" t="str">
        <f>IF(足元帳!A228="","",足元帳!A228)</f>
        <v/>
      </c>
      <c r="AS260" s="123">
        <f>COUNTIF(AR$4:AR260,AR260)</f>
        <v>257</v>
      </c>
    </row>
    <row r="261" spans="1:45" ht="23.45" customHeight="1">
      <c r="A261" s="586">
        <f t="shared" si="5"/>
        <v>228</v>
      </c>
      <c r="B261" s="566"/>
      <c r="C261" s="73" t="str">
        <f>IF(足元帳!AY229=1,"N",IF(足元帳!AY229=2,"R",""))</f>
        <v/>
      </c>
      <c r="D261" s="74" t="str">
        <f>IF(足元帳!AZ229&gt;0,VLOOKUP(足元帳!AZ229,管理シート!$R$4:$V$12,5,FALSE),"")</f>
        <v/>
      </c>
      <c r="E261" s="587" t="str">
        <f>IF(足元帳!J229="","",足元帳!J229)</f>
        <v/>
      </c>
      <c r="F261" s="566"/>
      <c r="G261" s="587" t="str">
        <f>IF(足元帳!K229="","",足元帳!K229)</f>
        <v/>
      </c>
      <c r="H261" s="565"/>
      <c r="I261" s="565"/>
      <c r="J261" s="566"/>
      <c r="K261" s="587" t="str">
        <f>IF(足元帳!BB229&gt;0,VLOOKUP(足元帳!BB229,管理シート!$R$4:$W$12,4,FALSE),"")</f>
        <v/>
      </c>
      <c r="L261" s="565"/>
      <c r="M261" s="566"/>
      <c r="N261" s="587" t="str">
        <f>IF(足元帳!U229="","",足元帳!U229)&amp;IF(足元帳!V229="","",足元帳!V229)&amp;IF(足元帳!W229="","",足元帳!W229)&amp;IF(足元帳!X229="","",足元帳!X229)&amp;IF(足元帳!Y229="","",足元帳!Y229)&amp;IF(足元帳!Z229="","",足元帳!Z229)</f>
        <v/>
      </c>
      <c r="O261" s="565"/>
      <c r="P261" s="565"/>
      <c r="Q261" s="565"/>
      <c r="R261" s="565"/>
      <c r="S261" s="566"/>
      <c r="T261" s="661" t="str">
        <f ca="1">IFERROR(INDEX(管理シート!$CB$3:$CK$24,MATCH(W261,管理シート!$CB$3:$CB$24,0),MATCH(K261,管理シート!$CB$3:$CM$3,0)),"")</f>
        <v/>
      </c>
      <c r="U261" s="661"/>
      <c r="V261" s="661"/>
      <c r="W261" s="587" t="str">
        <f ca="1">IF(ISERROR(MATCH("●",足元帳!AA229:AJ229,0)),"",INDIRECT("足元帳!R1C"&amp;MATCH("●",足元帳!AA229:AJ229,0)+26,FALSE))</f>
        <v/>
      </c>
      <c r="X261" s="565"/>
      <c r="Y261" s="566"/>
      <c r="Z261" s="587" t="str">
        <f>IF(足元帳!AL229="","","○")</f>
        <v/>
      </c>
      <c r="AA261" s="566"/>
      <c r="AB261" s="604" t="str">
        <f>IF(足元帳!AM229="","","現金カード払い"&amp;足元帳!AM229&amp;"  ")&amp;IF(足元帳!AP229="","",足元帳!AP229&amp;"　")&amp;IF(足元帳!AQ229="","",足元帳!AQ229&amp;"　")&amp;IF(足元帳!AR229="","",足元帳!AR229&amp;"　")&amp;IF(足元帳!AS229="","",足元帳!AS229&amp;"　")&amp;IF(足元帳!AT229="","",足元帳!AT229&amp;"　")&amp;IF(足元帳!AN229="","","LOVE×2")&amp;IF(足元帳!AJ229="","","MM"&amp;足元帳!AJ229)&amp;IF(足元帳!AW229="","",W261&amp;"利用"&amp;足元帳!AW229)&amp;IF(足元帳!AX229="",""," 優待券配布"&amp;足元帳!AX229)&amp;IF(足元帳!AU229="","","メルマガ")</f>
        <v/>
      </c>
      <c r="AC261" s="604"/>
      <c r="AD261" s="604"/>
      <c r="AE261" s="604"/>
      <c r="AF261" s="604"/>
      <c r="AG261" s="604"/>
      <c r="AH261" s="604"/>
      <c r="AI261" s="604"/>
      <c r="AJ261" s="604"/>
      <c r="AK261" s="604"/>
      <c r="AL261" s="604"/>
      <c r="AM261" s="604"/>
      <c r="AN261" s="604"/>
      <c r="AO261" s="604"/>
      <c r="AP261" s="604"/>
      <c r="AQ261" s="604"/>
      <c r="AR261" s="113" t="str">
        <f>IF(足元帳!A229="","",足元帳!A229)</f>
        <v/>
      </c>
      <c r="AS261" s="123">
        <f>COUNTIF(AR$4:AR261,AR261)</f>
        <v>258</v>
      </c>
    </row>
    <row r="262" spans="1:45" ht="23.45" customHeight="1">
      <c r="A262" s="586">
        <f t="shared" si="5"/>
        <v>229</v>
      </c>
      <c r="B262" s="566"/>
      <c r="C262" s="73" t="str">
        <f>IF(足元帳!AY230=1,"N",IF(足元帳!AY230=2,"R",""))</f>
        <v/>
      </c>
      <c r="D262" s="74" t="str">
        <f>IF(足元帳!AZ230&gt;0,VLOOKUP(足元帳!AZ230,管理シート!$R$4:$V$12,5,FALSE),"")</f>
        <v/>
      </c>
      <c r="E262" s="587" t="str">
        <f>IF(足元帳!J230="","",足元帳!J230)</f>
        <v/>
      </c>
      <c r="F262" s="566"/>
      <c r="G262" s="587" t="str">
        <f>IF(足元帳!K230="","",足元帳!K230)</f>
        <v/>
      </c>
      <c r="H262" s="565"/>
      <c r="I262" s="565"/>
      <c r="J262" s="566"/>
      <c r="K262" s="587" t="str">
        <f>IF(足元帳!BB230&gt;0,VLOOKUP(足元帳!BB230,管理シート!$R$4:$W$12,4,FALSE),"")</f>
        <v/>
      </c>
      <c r="L262" s="565"/>
      <c r="M262" s="566"/>
      <c r="N262" s="587" t="str">
        <f>IF(足元帳!U230="","",足元帳!U230)&amp;IF(足元帳!V230="","",足元帳!V230)&amp;IF(足元帳!W230="","",足元帳!W230)&amp;IF(足元帳!X230="","",足元帳!X230)&amp;IF(足元帳!Y230="","",足元帳!Y230)&amp;IF(足元帳!Z230="","",足元帳!Z230)</f>
        <v/>
      </c>
      <c r="O262" s="565"/>
      <c r="P262" s="565"/>
      <c r="Q262" s="565"/>
      <c r="R262" s="565"/>
      <c r="S262" s="566"/>
      <c r="T262" s="661" t="str">
        <f ca="1">IFERROR(INDEX(管理シート!$CB$3:$CK$24,MATCH(W262,管理シート!$CB$3:$CB$24,0),MATCH(K262,管理シート!$CB$3:$CM$3,0)),"")</f>
        <v/>
      </c>
      <c r="U262" s="661"/>
      <c r="V262" s="661"/>
      <c r="W262" s="587" t="str">
        <f ca="1">IF(ISERROR(MATCH("●",足元帳!AA230:AJ230,0)),"",INDIRECT("足元帳!R1C"&amp;MATCH("●",足元帳!AA230:AJ230,0)+26,FALSE))</f>
        <v/>
      </c>
      <c r="X262" s="565"/>
      <c r="Y262" s="566"/>
      <c r="Z262" s="587" t="str">
        <f>IF(足元帳!AL230="","","○")</f>
        <v/>
      </c>
      <c r="AA262" s="566"/>
      <c r="AB262" s="604" t="str">
        <f>IF(足元帳!AM230="","","現金カード払い"&amp;足元帳!AM230&amp;"  ")&amp;IF(足元帳!AP230="","",足元帳!AP230&amp;"　")&amp;IF(足元帳!AQ230="","",足元帳!AQ230&amp;"　")&amp;IF(足元帳!AR230="","",足元帳!AR230&amp;"　")&amp;IF(足元帳!AS230="","",足元帳!AS230&amp;"　")&amp;IF(足元帳!AT230="","",足元帳!AT230&amp;"　")&amp;IF(足元帳!AN230="","","LOVE×2")&amp;IF(足元帳!AJ230="","","MM"&amp;足元帳!AJ230)&amp;IF(足元帳!AW230="","",W262&amp;"利用"&amp;足元帳!AW230)&amp;IF(足元帳!AX230="",""," 優待券配布"&amp;足元帳!AX230)&amp;IF(足元帳!AU230="","","メルマガ")</f>
        <v/>
      </c>
      <c r="AC262" s="604"/>
      <c r="AD262" s="604"/>
      <c r="AE262" s="604"/>
      <c r="AF262" s="604"/>
      <c r="AG262" s="604"/>
      <c r="AH262" s="604"/>
      <c r="AI262" s="604"/>
      <c r="AJ262" s="604"/>
      <c r="AK262" s="604"/>
      <c r="AL262" s="604"/>
      <c r="AM262" s="604"/>
      <c r="AN262" s="604"/>
      <c r="AO262" s="604"/>
      <c r="AP262" s="604"/>
      <c r="AQ262" s="604"/>
      <c r="AR262" s="113" t="str">
        <f>IF(足元帳!A230="","",足元帳!A230)</f>
        <v/>
      </c>
      <c r="AS262" s="123">
        <f>COUNTIF(AR$4:AR262,AR262)</f>
        <v>259</v>
      </c>
    </row>
    <row r="263" spans="1:45" ht="23.45" customHeight="1">
      <c r="A263" s="586">
        <f t="shared" si="5"/>
        <v>230</v>
      </c>
      <c r="B263" s="566"/>
      <c r="C263" s="73" t="str">
        <f>IF(足元帳!AY231=1,"N",IF(足元帳!AY231=2,"R",""))</f>
        <v/>
      </c>
      <c r="D263" s="74" t="str">
        <f>IF(足元帳!AZ231&gt;0,VLOOKUP(足元帳!AZ231,管理シート!$R$4:$V$12,5,FALSE),"")</f>
        <v/>
      </c>
      <c r="E263" s="587" t="str">
        <f>IF(足元帳!J231="","",足元帳!J231)</f>
        <v/>
      </c>
      <c r="F263" s="566"/>
      <c r="G263" s="587" t="str">
        <f>IF(足元帳!K231="","",足元帳!K231)</f>
        <v/>
      </c>
      <c r="H263" s="565"/>
      <c r="I263" s="565"/>
      <c r="J263" s="566"/>
      <c r="K263" s="587" t="str">
        <f>IF(足元帳!BB231&gt;0,VLOOKUP(足元帳!BB231,管理シート!$R$4:$W$12,4,FALSE),"")</f>
        <v/>
      </c>
      <c r="L263" s="565"/>
      <c r="M263" s="566"/>
      <c r="N263" s="587" t="str">
        <f>IF(足元帳!U231="","",足元帳!U231)&amp;IF(足元帳!V231="","",足元帳!V231)&amp;IF(足元帳!W231="","",足元帳!W231)&amp;IF(足元帳!X231="","",足元帳!X231)&amp;IF(足元帳!Y231="","",足元帳!Y231)&amp;IF(足元帳!Z231="","",足元帳!Z231)</f>
        <v/>
      </c>
      <c r="O263" s="565"/>
      <c r="P263" s="565"/>
      <c r="Q263" s="565"/>
      <c r="R263" s="565"/>
      <c r="S263" s="566"/>
      <c r="T263" s="661" t="str">
        <f ca="1">IFERROR(INDEX(管理シート!$CB$3:$CK$24,MATCH(W263,管理シート!$CB$3:$CB$24,0),MATCH(K263,管理シート!$CB$3:$CM$3,0)),"")</f>
        <v/>
      </c>
      <c r="U263" s="661"/>
      <c r="V263" s="661"/>
      <c r="W263" s="587" t="str">
        <f ca="1">IF(ISERROR(MATCH("●",足元帳!AA231:AJ231,0)),"",INDIRECT("足元帳!R1C"&amp;MATCH("●",足元帳!AA231:AJ231,0)+26,FALSE))</f>
        <v/>
      </c>
      <c r="X263" s="565"/>
      <c r="Y263" s="566"/>
      <c r="Z263" s="587" t="str">
        <f>IF(足元帳!AL231="","","○")</f>
        <v/>
      </c>
      <c r="AA263" s="566"/>
      <c r="AB263" s="604" t="str">
        <f>IF(足元帳!AM231="","","現金カード払い"&amp;足元帳!AM231&amp;"  ")&amp;IF(足元帳!AP231="","",足元帳!AP231&amp;"　")&amp;IF(足元帳!AQ231="","",足元帳!AQ231&amp;"　")&amp;IF(足元帳!AR231="","",足元帳!AR231&amp;"　")&amp;IF(足元帳!AS231="","",足元帳!AS231&amp;"　")&amp;IF(足元帳!AT231="","",足元帳!AT231&amp;"　")&amp;IF(足元帳!AN231="","","LOVE×2")&amp;IF(足元帳!AJ231="","","MM"&amp;足元帳!AJ231)&amp;IF(足元帳!AW231="","",W263&amp;"利用"&amp;足元帳!AW231)&amp;IF(足元帳!AX231="",""," 優待券配布"&amp;足元帳!AX231)&amp;IF(足元帳!AU231="","","メルマガ")</f>
        <v/>
      </c>
      <c r="AC263" s="604"/>
      <c r="AD263" s="604"/>
      <c r="AE263" s="604"/>
      <c r="AF263" s="604"/>
      <c r="AG263" s="604"/>
      <c r="AH263" s="604"/>
      <c r="AI263" s="604"/>
      <c r="AJ263" s="604"/>
      <c r="AK263" s="604"/>
      <c r="AL263" s="604"/>
      <c r="AM263" s="604"/>
      <c r="AN263" s="604"/>
      <c r="AO263" s="604"/>
      <c r="AP263" s="604"/>
      <c r="AQ263" s="604"/>
      <c r="AR263" s="113" t="str">
        <f>IF(足元帳!A231="","",足元帳!A231)</f>
        <v/>
      </c>
      <c r="AS263" s="123">
        <f>COUNTIF(AR$4:AR263,AR263)</f>
        <v>260</v>
      </c>
    </row>
    <row r="264" spans="1:45" ht="23.45" customHeight="1">
      <c r="A264" s="655">
        <f t="shared" si="5"/>
        <v>231</v>
      </c>
      <c r="B264" s="604"/>
      <c r="C264" s="73" t="str">
        <f>IF(足元帳!AY232=1,"N",IF(足元帳!AY232=2,"R",""))</f>
        <v/>
      </c>
      <c r="D264" s="74" t="str">
        <f>IF(足元帳!AZ232&gt;0,VLOOKUP(足元帳!AZ232,管理シート!$R$4:$V$12,5,FALSE),"")</f>
        <v/>
      </c>
      <c r="E264" s="587" t="str">
        <f>IF(足元帳!J232="","",足元帳!J232)</f>
        <v/>
      </c>
      <c r="F264" s="566"/>
      <c r="G264" s="587" t="str">
        <f>IF(足元帳!K232="","",足元帳!K232)</f>
        <v/>
      </c>
      <c r="H264" s="565"/>
      <c r="I264" s="565"/>
      <c r="J264" s="566"/>
      <c r="K264" s="587" t="str">
        <f>IF(足元帳!BB232&gt;0,VLOOKUP(足元帳!BB232,管理シート!$R$4:$W$12,4,FALSE),"")</f>
        <v/>
      </c>
      <c r="L264" s="565"/>
      <c r="M264" s="566"/>
      <c r="N264" s="587" t="str">
        <f>IF(足元帳!U232="","",足元帳!U232)&amp;IF(足元帳!V232="","",足元帳!V232)&amp;IF(足元帳!W232="","",足元帳!W232)&amp;IF(足元帳!X232="","",足元帳!X232)&amp;IF(足元帳!Y232="","",足元帳!Y232)&amp;IF(足元帳!Z232="","",足元帳!Z232)</f>
        <v/>
      </c>
      <c r="O264" s="565"/>
      <c r="P264" s="565"/>
      <c r="Q264" s="565"/>
      <c r="R264" s="565"/>
      <c r="S264" s="566"/>
      <c r="T264" s="661" t="str">
        <f ca="1">IFERROR(INDEX(管理シート!$CB$3:$CK$24,MATCH(W264,管理シート!$CB$3:$CB$24,0),MATCH(K264,管理シート!$CB$3:$CM$3,0)),"")</f>
        <v/>
      </c>
      <c r="U264" s="661"/>
      <c r="V264" s="661"/>
      <c r="W264" s="587" t="str">
        <f ca="1">IF(ISERROR(MATCH("●",足元帳!AA232:AJ232,0)),"",INDIRECT("足元帳!R1C"&amp;MATCH("●",足元帳!AA232:AJ232,0)+26,FALSE))</f>
        <v/>
      </c>
      <c r="X264" s="565"/>
      <c r="Y264" s="566"/>
      <c r="Z264" s="587" t="str">
        <f>IF(足元帳!AL232="","","○")</f>
        <v/>
      </c>
      <c r="AA264" s="566"/>
      <c r="AB264" s="604" t="str">
        <f>IF(足元帳!AM232="","","現金カード払い"&amp;足元帳!AM232&amp;"  ")&amp;IF(足元帳!AP232="","",足元帳!AP232&amp;"　")&amp;IF(足元帳!AQ232="","",足元帳!AQ232&amp;"　")&amp;IF(足元帳!AR232="","",足元帳!AR232&amp;"　")&amp;IF(足元帳!AS232="","",足元帳!AS232&amp;"　")&amp;IF(足元帳!AT232="","",足元帳!AT232&amp;"　")&amp;IF(足元帳!AN232="","","LOVE×2")&amp;IF(足元帳!AJ232="","","MM"&amp;足元帳!AJ232)&amp;IF(足元帳!AW232="","",W264&amp;"利用"&amp;足元帳!AW232)&amp;IF(足元帳!AX232="",""," 優待券配布"&amp;足元帳!AX232)&amp;IF(足元帳!AU232="","","メルマガ")</f>
        <v/>
      </c>
      <c r="AC264" s="604"/>
      <c r="AD264" s="604"/>
      <c r="AE264" s="604"/>
      <c r="AF264" s="604"/>
      <c r="AG264" s="604"/>
      <c r="AH264" s="604"/>
      <c r="AI264" s="604"/>
      <c r="AJ264" s="604"/>
      <c r="AK264" s="604"/>
      <c r="AL264" s="604"/>
      <c r="AM264" s="604"/>
      <c r="AN264" s="604"/>
      <c r="AO264" s="604"/>
      <c r="AP264" s="604"/>
      <c r="AQ264" s="604"/>
      <c r="AR264" s="113" t="str">
        <f>IF(足元帳!A232="","",足元帳!A232)</f>
        <v/>
      </c>
      <c r="AS264" s="123">
        <f>COUNTIF(AR$4:AR264,AR264)</f>
        <v>261</v>
      </c>
    </row>
    <row r="265" spans="1:45" ht="23.45" customHeight="1">
      <c r="A265" s="655">
        <f t="shared" si="5"/>
        <v>232</v>
      </c>
      <c r="B265" s="604"/>
      <c r="C265" s="73" t="str">
        <f>IF(足元帳!AY233=1,"N",IF(足元帳!AY233=2,"R",""))</f>
        <v/>
      </c>
      <c r="D265" s="74" t="str">
        <f>IF(足元帳!AZ233&gt;0,VLOOKUP(足元帳!AZ233,管理シート!$R$4:$V$12,5,FALSE),"")</f>
        <v/>
      </c>
      <c r="E265" s="587" t="str">
        <f>IF(足元帳!J233="","",足元帳!J233)</f>
        <v/>
      </c>
      <c r="F265" s="566"/>
      <c r="G265" s="587" t="str">
        <f>IF(足元帳!K233="","",足元帳!K233)</f>
        <v/>
      </c>
      <c r="H265" s="565"/>
      <c r="I265" s="565"/>
      <c r="J265" s="566"/>
      <c r="K265" s="587" t="str">
        <f>IF(足元帳!BB233&gt;0,VLOOKUP(足元帳!BB233,管理シート!$R$4:$W$12,4,FALSE),"")</f>
        <v/>
      </c>
      <c r="L265" s="565"/>
      <c r="M265" s="566"/>
      <c r="N265" s="587" t="str">
        <f>IF(足元帳!U233="","",足元帳!U233)&amp;IF(足元帳!V233="","",足元帳!V233)&amp;IF(足元帳!W233="","",足元帳!W233)&amp;IF(足元帳!X233="","",足元帳!X233)&amp;IF(足元帳!Y233="","",足元帳!Y233)&amp;IF(足元帳!Z233="","",足元帳!Z233)</f>
        <v/>
      </c>
      <c r="O265" s="565"/>
      <c r="P265" s="565"/>
      <c r="Q265" s="565"/>
      <c r="R265" s="565"/>
      <c r="S265" s="566"/>
      <c r="T265" s="661" t="str">
        <f ca="1">IFERROR(INDEX(管理シート!$CB$3:$CK$24,MATCH(W265,管理シート!$CB$3:$CB$24,0),MATCH(K265,管理シート!$CB$3:$CM$3,0)),"")</f>
        <v/>
      </c>
      <c r="U265" s="661"/>
      <c r="V265" s="661"/>
      <c r="W265" s="587" t="str">
        <f ca="1">IF(ISERROR(MATCH("●",足元帳!AA233:AJ233,0)),"",INDIRECT("足元帳!R1C"&amp;MATCH("●",足元帳!AA233:AJ233,0)+26,FALSE))</f>
        <v/>
      </c>
      <c r="X265" s="565"/>
      <c r="Y265" s="566"/>
      <c r="Z265" s="587" t="str">
        <f>IF(足元帳!AL233="","","○")</f>
        <v/>
      </c>
      <c r="AA265" s="566"/>
      <c r="AB265" s="604" t="str">
        <f>IF(足元帳!AM233="","","現金カード払い"&amp;足元帳!AM233&amp;"  ")&amp;IF(足元帳!AP233="","",足元帳!AP233&amp;"　")&amp;IF(足元帳!AQ233="","",足元帳!AQ233&amp;"　")&amp;IF(足元帳!AR233="","",足元帳!AR233&amp;"　")&amp;IF(足元帳!AS233="","",足元帳!AS233&amp;"　")&amp;IF(足元帳!AT233="","",足元帳!AT233&amp;"　")&amp;IF(足元帳!AN233="","","LOVE×2")&amp;IF(足元帳!AJ233="","","MM"&amp;足元帳!AJ233)&amp;IF(足元帳!AW233="","",W265&amp;"利用"&amp;足元帳!AW233)&amp;IF(足元帳!AX233="",""," 優待券配布"&amp;足元帳!AX233)&amp;IF(足元帳!AU233="","","メルマガ")</f>
        <v/>
      </c>
      <c r="AC265" s="604"/>
      <c r="AD265" s="604"/>
      <c r="AE265" s="604"/>
      <c r="AF265" s="604"/>
      <c r="AG265" s="604"/>
      <c r="AH265" s="604"/>
      <c r="AI265" s="604"/>
      <c r="AJ265" s="604"/>
      <c r="AK265" s="604"/>
      <c r="AL265" s="604"/>
      <c r="AM265" s="604"/>
      <c r="AN265" s="604"/>
      <c r="AO265" s="604"/>
      <c r="AP265" s="604"/>
      <c r="AQ265" s="604"/>
      <c r="AR265" s="113" t="str">
        <f>IF(足元帳!A233="","",足元帳!A233)</f>
        <v/>
      </c>
      <c r="AS265" s="123">
        <f>COUNTIF(AR$4:AR265,AR265)</f>
        <v>262</v>
      </c>
    </row>
    <row r="266" spans="1:45" ht="23.45" customHeight="1">
      <c r="A266" s="655">
        <f t="shared" si="5"/>
        <v>233</v>
      </c>
      <c r="B266" s="604"/>
      <c r="C266" s="73" t="str">
        <f>IF(足元帳!AY234=1,"N",IF(足元帳!AY234=2,"R",""))</f>
        <v/>
      </c>
      <c r="D266" s="74" t="str">
        <f>IF(足元帳!AZ234&gt;0,VLOOKUP(足元帳!AZ234,管理シート!$R$4:$V$12,5,FALSE),"")</f>
        <v/>
      </c>
      <c r="E266" s="587" t="str">
        <f>IF(足元帳!J234="","",足元帳!J234)</f>
        <v/>
      </c>
      <c r="F266" s="566"/>
      <c r="G266" s="587" t="str">
        <f>IF(足元帳!K234="","",足元帳!K234)</f>
        <v/>
      </c>
      <c r="H266" s="565"/>
      <c r="I266" s="565"/>
      <c r="J266" s="566"/>
      <c r="K266" s="587" t="str">
        <f>IF(足元帳!BB234&gt;0,VLOOKUP(足元帳!BB234,管理シート!$R$4:$W$12,4,FALSE),"")</f>
        <v/>
      </c>
      <c r="L266" s="565"/>
      <c r="M266" s="566"/>
      <c r="N266" s="587" t="str">
        <f>IF(足元帳!U234="","",足元帳!U234)&amp;IF(足元帳!V234="","",足元帳!V234)&amp;IF(足元帳!W234="","",足元帳!W234)&amp;IF(足元帳!X234="","",足元帳!X234)&amp;IF(足元帳!Y234="","",足元帳!Y234)&amp;IF(足元帳!Z234="","",足元帳!Z234)</f>
        <v/>
      </c>
      <c r="O266" s="565"/>
      <c r="P266" s="565"/>
      <c r="Q266" s="565"/>
      <c r="R266" s="565"/>
      <c r="S266" s="566"/>
      <c r="T266" s="661" t="str">
        <f ca="1">IFERROR(INDEX(管理シート!$CB$3:$CK$24,MATCH(W266,管理シート!$CB$3:$CB$24,0),MATCH(K266,管理シート!$CB$3:$CM$3,0)),"")</f>
        <v/>
      </c>
      <c r="U266" s="661"/>
      <c r="V266" s="661"/>
      <c r="W266" s="587" t="str">
        <f ca="1">IF(ISERROR(MATCH("●",足元帳!AA234:AJ234,0)),"",INDIRECT("足元帳!R1C"&amp;MATCH("●",足元帳!AA234:AJ234,0)+26,FALSE))</f>
        <v/>
      </c>
      <c r="X266" s="565"/>
      <c r="Y266" s="566"/>
      <c r="Z266" s="587" t="str">
        <f>IF(足元帳!AL234="","","○")</f>
        <v/>
      </c>
      <c r="AA266" s="566"/>
      <c r="AB266" s="604" t="str">
        <f>IF(足元帳!AM234="","","現金カード払い"&amp;足元帳!AM234&amp;"  ")&amp;IF(足元帳!AP234="","",足元帳!AP234&amp;"　")&amp;IF(足元帳!AQ234="","",足元帳!AQ234&amp;"　")&amp;IF(足元帳!AR234="","",足元帳!AR234&amp;"　")&amp;IF(足元帳!AS234="","",足元帳!AS234&amp;"　")&amp;IF(足元帳!AT234="","",足元帳!AT234&amp;"　")&amp;IF(足元帳!AN234="","","LOVE×2")&amp;IF(足元帳!AJ234="","","MM"&amp;足元帳!AJ234)&amp;IF(足元帳!AW234="","",W266&amp;"利用"&amp;足元帳!AW234)&amp;IF(足元帳!AX234="",""," 優待券配布"&amp;足元帳!AX234)&amp;IF(足元帳!AU234="","","メルマガ")</f>
        <v/>
      </c>
      <c r="AC266" s="604"/>
      <c r="AD266" s="604"/>
      <c r="AE266" s="604"/>
      <c r="AF266" s="604"/>
      <c r="AG266" s="604"/>
      <c r="AH266" s="604"/>
      <c r="AI266" s="604"/>
      <c r="AJ266" s="604"/>
      <c r="AK266" s="604"/>
      <c r="AL266" s="604"/>
      <c r="AM266" s="604"/>
      <c r="AN266" s="604"/>
      <c r="AO266" s="604"/>
      <c r="AP266" s="604"/>
      <c r="AQ266" s="604"/>
      <c r="AR266" s="113" t="str">
        <f>IF(足元帳!A234="","",足元帳!A234)</f>
        <v/>
      </c>
      <c r="AS266" s="123">
        <f>COUNTIF(AR$4:AR266,AR266)</f>
        <v>263</v>
      </c>
    </row>
    <row r="267" spans="1:45" ht="23.45" customHeight="1">
      <c r="A267" s="655">
        <f t="shared" si="5"/>
        <v>234</v>
      </c>
      <c r="B267" s="604"/>
      <c r="C267" s="73" t="str">
        <f>IF(足元帳!AY235=1,"N",IF(足元帳!AY235=2,"R",""))</f>
        <v/>
      </c>
      <c r="D267" s="74" t="str">
        <f>IF(足元帳!AZ235&gt;0,VLOOKUP(足元帳!AZ235,管理シート!$R$4:$V$12,5,FALSE),"")</f>
        <v/>
      </c>
      <c r="E267" s="587" t="str">
        <f>IF(足元帳!J235="","",足元帳!J235)</f>
        <v/>
      </c>
      <c r="F267" s="566"/>
      <c r="G267" s="587" t="str">
        <f>IF(足元帳!K235="","",足元帳!K235)</f>
        <v/>
      </c>
      <c r="H267" s="565"/>
      <c r="I267" s="565"/>
      <c r="J267" s="566"/>
      <c r="K267" s="587" t="str">
        <f>IF(足元帳!BB235&gt;0,VLOOKUP(足元帳!BB235,管理シート!$R$4:$W$12,4,FALSE),"")</f>
        <v/>
      </c>
      <c r="L267" s="565"/>
      <c r="M267" s="566"/>
      <c r="N267" s="587" t="str">
        <f>IF(足元帳!U235="","",足元帳!U235)&amp;IF(足元帳!V235="","",足元帳!V235)&amp;IF(足元帳!W235="","",足元帳!W235)&amp;IF(足元帳!X235="","",足元帳!X235)&amp;IF(足元帳!Y235="","",足元帳!Y235)&amp;IF(足元帳!Z235="","",足元帳!Z235)</f>
        <v/>
      </c>
      <c r="O267" s="565"/>
      <c r="P267" s="565"/>
      <c r="Q267" s="565"/>
      <c r="R267" s="565"/>
      <c r="S267" s="566"/>
      <c r="T267" s="661" t="str">
        <f ca="1">IFERROR(INDEX(管理シート!$CB$3:$CK$24,MATCH(W267,管理シート!$CB$3:$CB$24,0),MATCH(K267,管理シート!$CB$3:$CM$3,0)),"")</f>
        <v/>
      </c>
      <c r="U267" s="661"/>
      <c r="V267" s="661"/>
      <c r="W267" s="587" t="str">
        <f ca="1">IF(ISERROR(MATCH("●",足元帳!AA235:AJ235,0)),"",INDIRECT("足元帳!R1C"&amp;MATCH("●",足元帳!AA235:AJ235,0)+26,FALSE))</f>
        <v/>
      </c>
      <c r="X267" s="565"/>
      <c r="Y267" s="566"/>
      <c r="Z267" s="587" t="str">
        <f>IF(足元帳!AL235="","","○")</f>
        <v/>
      </c>
      <c r="AA267" s="566"/>
      <c r="AB267" s="604" t="str">
        <f>IF(足元帳!AM235="","","現金カード払い"&amp;足元帳!AM235&amp;"  ")&amp;IF(足元帳!AP235="","",足元帳!AP235&amp;"　")&amp;IF(足元帳!AQ235="","",足元帳!AQ235&amp;"　")&amp;IF(足元帳!AR235="","",足元帳!AR235&amp;"　")&amp;IF(足元帳!AS235="","",足元帳!AS235&amp;"　")&amp;IF(足元帳!AT235="","",足元帳!AT235&amp;"　")&amp;IF(足元帳!AN235="","","LOVE×2")&amp;IF(足元帳!AJ235="","","MM"&amp;足元帳!AJ235)&amp;IF(足元帳!AW235="","",W267&amp;"利用"&amp;足元帳!AW235)&amp;IF(足元帳!AX235="",""," 優待券配布"&amp;足元帳!AX235)&amp;IF(足元帳!AU235="","","メルマガ")</f>
        <v/>
      </c>
      <c r="AC267" s="604"/>
      <c r="AD267" s="604"/>
      <c r="AE267" s="604"/>
      <c r="AF267" s="604"/>
      <c r="AG267" s="604"/>
      <c r="AH267" s="604"/>
      <c r="AI267" s="604"/>
      <c r="AJ267" s="604"/>
      <c r="AK267" s="604"/>
      <c r="AL267" s="604"/>
      <c r="AM267" s="604"/>
      <c r="AN267" s="604"/>
      <c r="AO267" s="604"/>
      <c r="AP267" s="604"/>
      <c r="AQ267" s="604"/>
      <c r="AR267" s="113" t="str">
        <f>IF(足元帳!A235="","",足元帳!A235)</f>
        <v/>
      </c>
      <c r="AS267" s="123">
        <f>COUNTIF(AR$4:AR267,AR267)</f>
        <v>264</v>
      </c>
    </row>
    <row r="268" spans="1:45" ht="23.45" customHeight="1">
      <c r="A268" s="655">
        <f t="shared" si="5"/>
        <v>235</v>
      </c>
      <c r="B268" s="604"/>
      <c r="C268" s="73" t="str">
        <f>IF(足元帳!AY236=1,"N",IF(足元帳!AY236=2,"R",""))</f>
        <v/>
      </c>
      <c r="D268" s="74" t="str">
        <f>IF(足元帳!AZ236&gt;0,VLOOKUP(足元帳!AZ236,管理シート!$R$4:$V$12,5,FALSE),"")</f>
        <v/>
      </c>
      <c r="E268" s="587" t="str">
        <f>IF(足元帳!J236="","",足元帳!J236)</f>
        <v/>
      </c>
      <c r="F268" s="566"/>
      <c r="G268" s="587" t="str">
        <f>IF(足元帳!K236="","",足元帳!K236)</f>
        <v/>
      </c>
      <c r="H268" s="565"/>
      <c r="I268" s="565"/>
      <c r="J268" s="566"/>
      <c r="K268" s="587" t="str">
        <f>IF(足元帳!BB236&gt;0,VLOOKUP(足元帳!BB236,管理シート!$R$4:$W$12,4,FALSE),"")</f>
        <v/>
      </c>
      <c r="L268" s="565"/>
      <c r="M268" s="566"/>
      <c r="N268" s="587" t="str">
        <f>IF(足元帳!U236="","",足元帳!U236)&amp;IF(足元帳!V236="","",足元帳!V236)&amp;IF(足元帳!W236="","",足元帳!W236)&amp;IF(足元帳!X236="","",足元帳!X236)&amp;IF(足元帳!Y236="","",足元帳!Y236)&amp;IF(足元帳!Z236="","",足元帳!Z236)</f>
        <v/>
      </c>
      <c r="O268" s="565"/>
      <c r="P268" s="565"/>
      <c r="Q268" s="565"/>
      <c r="R268" s="565"/>
      <c r="S268" s="566"/>
      <c r="T268" s="661" t="str">
        <f ca="1">IFERROR(INDEX(管理シート!$CB$3:$CK$24,MATCH(W268,管理シート!$CB$3:$CB$24,0),MATCH(K268,管理シート!$CB$3:$CM$3,0)),"")</f>
        <v/>
      </c>
      <c r="U268" s="661"/>
      <c r="V268" s="661"/>
      <c r="W268" s="587" t="str">
        <f ca="1">IF(ISERROR(MATCH("●",足元帳!AA236:AJ236,0)),"",INDIRECT("足元帳!R1C"&amp;MATCH("●",足元帳!AA236:AJ236,0)+26,FALSE))</f>
        <v/>
      </c>
      <c r="X268" s="565"/>
      <c r="Y268" s="566"/>
      <c r="Z268" s="587" t="str">
        <f>IF(足元帳!AL236="","","○")</f>
        <v/>
      </c>
      <c r="AA268" s="566"/>
      <c r="AB268" s="604" t="str">
        <f>IF(足元帳!AM236="","","現金カード払い"&amp;足元帳!AM236&amp;"  ")&amp;IF(足元帳!AP236="","",足元帳!AP236&amp;"　")&amp;IF(足元帳!AQ236="","",足元帳!AQ236&amp;"　")&amp;IF(足元帳!AR236="","",足元帳!AR236&amp;"　")&amp;IF(足元帳!AS236="","",足元帳!AS236&amp;"　")&amp;IF(足元帳!AT236="","",足元帳!AT236&amp;"　")&amp;IF(足元帳!AN236="","","LOVE×2")&amp;IF(足元帳!AJ236="","","MM"&amp;足元帳!AJ236)&amp;IF(足元帳!AW236="","",W268&amp;"利用"&amp;足元帳!AW236)&amp;IF(足元帳!AX236="",""," 優待券配布"&amp;足元帳!AX236)&amp;IF(足元帳!AU236="","","メルマガ")</f>
        <v/>
      </c>
      <c r="AC268" s="604"/>
      <c r="AD268" s="604"/>
      <c r="AE268" s="604"/>
      <c r="AF268" s="604"/>
      <c r="AG268" s="604"/>
      <c r="AH268" s="604"/>
      <c r="AI268" s="604"/>
      <c r="AJ268" s="604"/>
      <c r="AK268" s="604"/>
      <c r="AL268" s="604"/>
      <c r="AM268" s="604"/>
      <c r="AN268" s="604"/>
      <c r="AO268" s="604"/>
      <c r="AP268" s="604"/>
      <c r="AQ268" s="604"/>
      <c r="AR268" s="113" t="str">
        <f>IF(足元帳!A236="","",足元帳!A236)</f>
        <v/>
      </c>
      <c r="AS268" s="123">
        <f>COUNTIF(AR$4:AR268,AR268)</f>
        <v>265</v>
      </c>
    </row>
    <row r="269" spans="1:45" ht="23.45" customHeight="1">
      <c r="A269" s="655">
        <f t="shared" si="5"/>
        <v>236</v>
      </c>
      <c r="B269" s="604"/>
      <c r="C269" s="73" t="str">
        <f>IF(足元帳!AY237=1,"N",IF(足元帳!AY237=2,"R",""))</f>
        <v/>
      </c>
      <c r="D269" s="74" t="str">
        <f>IF(足元帳!AZ237&gt;0,VLOOKUP(足元帳!AZ237,管理シート!$R$4:$V$12,5,FALSE),"")</f>
        <v/>
      </c>
      <c r="E269" s="587" t="str">
        <f>IF(足元帳!J237="","",足元帳!J237)</f>
        <v/>
      </c>
      <c r="F269" s="566"/>
      <c r="G269" s="587" t="str">
        <f>IF(足元帳!K237="","",足元帳!K237)</f>
        <v/>
      </c>
      <c r="H269" s="565"/>
      <c r="I269" s="565"/>
      <c r="J269" s="566"/>
      <c r="K269" s="587" t="str">
        <f>IF(足元帳!BB237&gt;0,VLOOKUP(足元帳!BB237,管理シート!$R$4:$W$12,4,FALSE),"")</f>
        <v/>
      </c>
      <c r="L269" s="565"/>
      <c r="M269" s="566"/>
      <c r="N269" s="587" t="str">
        <f>IF(足元帳!U237="","",足元帳!U237)&amp;IF(足元帳!V237="","",足元帳!V237)&amp;IF(足元帳!W237="","",足元帳!W237)&amp;IF(足元帳!X237="","",足元帳!X237)&amp;IF(足元帳!Y237="","",足元帳!Y237)&amp;IF(足元帳!Z237="","",足元帳!Z237)</f>
        <v/>
      </c>
      <c r="O269" s="565"/>
      <c r="P269" s="565"/>
      <c r="Q269" s="565"/>
      <c r="R269" s="565"/>
      <c r="S269" s="566"/>
      <c r="T269" s="661" t="str">
        <f ca="1">IFERROR(INDEX(管理シート!$CB$3:$CK$24,MATCH(W269,管理シート!$CB$3:$CB$24,0),MATCH(K269,管理シート!$CB$3:$CM$3,0)),"")</f>
        <v/>
      </c>
      <c r="U269" s="661"/>
      <c r="V269" s="661"/>
      <c r="W269" s="587" t="str">
        <f ca="1">IF(ISERROR(MATCH("●",足元帳!AA237:AJ237,0)),"",INDIRECT("足元帳!R1C"&amp;MATCH("●",足元帳!AA237:AJ237,0)+26,FALSE))</f>
        <v/>
      </c>
      <c r="X269" s="565"/>
      <c r="Y269" s="566"/>
      <c r="Z269" s="587" t="str">
        <f>IF(足元帳!AL237="","","○")</f>
        <v/>
      </c>
      <c r="AA269" s="566"/>
      <c r="AB269" s="604" t="str">
        <f>IF(足元帳!AM237="","","現金カード払い"&amp;足元帳!AM237&amp;"  ")&amp;IF(足元帳!AP237="","",足元帳!AP237&amp;"　")&amp;IF(足元帳!AQ237="","",足元帳!AQ237&amp;"　")&amp;IF(足元帳!AR237="","",足元帳!AR237&amp;"　")&amp;IF(足元帳!AS237="","",足元帳!AS237&amp;"　")&amp;IF(足元帳!AT237="","",足元帳!AT237&amp;"　")&amp;IF(足元帳!AN237="","","LOVE×2")&amp;IF(足元帳!AJ237="","","MM"&amp;足元帳!AJ237)&amp;IF(足元帳!AW237="","",W269&amp;"利用"&amp;足元帳!AW237)&amp;IF(足元帳!AX237="",""," 優待券配布"&amp;足元帳!AX237)&amp;IF(足元帳!AU237="","","メルマガ")</f>
        <v/>
      </c>
      <c r="AC269" s="604"/>
      <c r="AD269" s="604"/>
      <c r="AE269" s="604"/>
      <c r="AF269" s="604"/>
      <c r="AG269" s="604"/>
      <c r="AH269" s="604"/>
      <c r="AI269" s="604"/>
      <c r="AJ269" s="604"/>
      <c r="AK269" s="604"/>
      <c r="AL269" s="604"/>
      <c r="AM269" s="604"/>
      <c r="AN269" s="604"/>
      <c r="AO269" s="604"/>
      <c r="AP269" s="604"/>
      <c r="AQ269" s="604"/>
      <c r="AR269" s="113" t="str">
        <f>IF(足元帳!A237="","",足元帳!A237)</f>
        <v/>
      </c>
      <c r="AS269" s="123">
        <f>COUNTIF(AR$4:AR269,AR269)</f>
        <v>266</v>
      </c>
    </row>
    <row r="270" spans="1:45" ht="23.45" customHeight="1">
      <c r="A270" s="655">
        <f t="shared" si="5"/>
        <v>237</v>
      </c>
      <c r="B270" s="604"/>
      <c r="C270" s="73" t="str">
        <f>IF(足元帳!AY238=1,"N",IF(足元帳!AY238=2,"R",""))</f>
        <v/>
      </c>
      <c r="D270" s="74" t="str">
        <f>IF(足元帳!AZ238&gt;0,VLOOKUP(足元帳!AZ238,管理シート!$R$4:$V$12,5,FALSE),"")</f>
        <v/>
      </c>
      <c r="E270" s="587" t="str">
        <f>IF(足元帳!J238="","",足元帳!J238)</f>
        <v/>
      </c>
      <c r="F270" s="566"/>
      <c r="G270" s="587" t="str">
        <f>IF(足元帳!K238="","",足元帳!K238)</f>
        <v/>
      </c>
      <c r="H270" s="565"/>
      <c r="I270" s="565"/>
      <c r="J270" s="566"/>
      <c r="K270" s="587" t="str">
        <f>IF(足元帳!BB238&gt;0,VLOOKUP(足元帳!BB238,管理シート!$R$4:$W$12,4,FALSE),"")</f>
        <v/>
      </c>
      <c r="L270" s="565"/>
      <c r="M270" s="566"/>
      <c r="N270" s="587" t="str">
        <f>IF(足元帳!U238="","",足元帳!U238)&amp;IF(足元帳!V238="","",足元帳!V238)&amp;IF(足元帳!W238="","",足元帳!W238)&amp;IF(足元帳!X238="","",足元帳!X238)&amp;IF(足元帳!Y238="","",足元帳!Y238)&amp;IF(足元帳!Z238="","",足元帳!Z238)</f>
        <v/>
      </c>
      <c r="O270" s="565"/>
      <c r="P270" s="565"/>
      <c r="Q270" s="565"/>
      <c r="R270" s="565"/>
      <c r="S270" s="566"/>
      <c r="T270" s="661" t="str">
        <f ca="1">IFERROR(INDEX(管理シート!$CB$3:$CK$24,MATCH(W270,管理シート!$CB$3:$CB$24,0),MATCH(K270,管理シート!$CB$3:$CM$3,0)),"")</f>
        <v/>
      </c>
      <c r="U270" s="661"/>
      <c r="V270" s="661"/>
      <c r="W270" s="587" t="str">
        <f ca="1">IF(ISERROR(MATCH("●",足元帳!AA238:AJ238,0)),"",INDIRECT("足元帳!R1C"&amp;MATCH("●",足元帳!AA238:AJ238,0)+26,FALSE))</f>
        <v/>
      </c>
      <c r="X270" s="565"/>
      <c r="Y270" s="566"/>
      <c r="Z270" s="587" t="str">
        <f>IF(足元帳!AL238="","","○")</f>
        <v/>
      </c>
      <c r="AA270" s="566"/>
      <c r="AB270" s="604" t="str">
        <f>IF(足元帳!AM238="","","現金カード払い"&amp;足元帳!AM238&amp;"  ")&amp;IF(足元帳!AP238="","",足元帳!AP238&amp;"　")&amp;IF(足元帳!AQ238="","",足元帳!AQ238&amp;"　")&amp;IF(足元帳!AR238="","",足元帳!AR238&amp;"　")&amp;IF(足元帳!AS238="","",足元帳!AS238&amp;"　")&amp;IF(足元帳!AT238="","",足元帳!AT238&amp;"　")&amp;IF(足元帳!AN238="","","LOVE×2")&amp;IF(足元帳!AJ238="","","MM"&amp;足元帳!AJ238)&amp;IF(足元帳!AW238="","",W270&amp;"利用"&amp;足元帳!AW238)&amp;IF(足元帳!AX238="",""," 優待券配布"&amp;足元帳!AX238)&amp;IF(足元帳!AU238="","","メルマガ")</f>
        <v/>
      </c>
      <c r="AC270" s="604"/>
      <c r="AD270" s="604"/>
      <c r="AE270" s="604"/>
      <c r="AF270" s="604"/>
      <c r="AG270" s="604"/>
      <c r="AH270" s="604"/>
      <c r="AI270" s="604"/>
      <c r="AJ270" s="604"/>
      <c r="AK270" s="604"/>
      <c r="AL270" s="604"/>
      <c r="AM270" s="604"/>
      <c r="AN270" s="604"/>
      <c r="AO270" s="604"/>
      <c r="AP270" s="604"/>
      <c r="AQ270" s="604"/>
      <c r="AR270" s="113" t="str">
        <f>IF(足元帳!A238="","",足元帳!A238)</f>
        <v/>
      </c>
      <c r="AS270" s="123">
        <f>COUNTIF(AR$4:AR270,AR270)</f>
        <v>267</v>
      </c>
    </row>
    <row r="271" spans="1:45" ht="23.45" customHeight="1">
      <c r="A271" s="655">
        <f t="shared" si="5"/>
        <v>238</v>
      </c>
      <c r="B271" s="604"/>
      <c r="C271" s="73" t="str">
        <f>IF(足元帳!AY239=1,"N",IF(足元帳!AY239=2,"R",""))</f>
        <v/>
      </c>
      <c r="D271" s="74" t="str">
        <f>IF(足元帳!AZ239&gt;0,VLOOKUP(足元帳!AZ239,管理シート!$R$4:$V$12,5,FALSE),"")</f>
        <v/>
      </c>
      <c r="E271" s="587" t="str">
        <f>IF(足元帳!J239="","",足元帳!J239)</f>
        <v/>
      </c>
      <c r="F271" s="566"/>
      <c r="G271" s="587" t="str">
        <f>IF(足元帳!K239="","",足元帳!K239)</f>
        <v/>
      </c>
      <c r="H271" s="565"/>
      <c r="I271" s="565"/>
      <c r="J271" s="566"/>
      <c r="K271" s="587" t="str">
        <f>IF(足元帳!BB239&gt;0,VLOOKUP(足元帳!BB239,管理シート!$R$4:$W$12,4,FALSE),"")</f>
        <v/>
      </c>
      <c r="L271" s="565"/>
      <c r="M271" s="566"/>
      <c r="N271" s="587" t="str">
        <f>IF(足元帳!U239="","",足元帳!U239)&amp;IF(足元帳!V239="","",足元帳!V239)&amp;IF(足元帳!W239="","",足元帳!W239)&amp;IF(足元帳!X239="","",足元帳!X239)&amp;IF(足元帳!Y239="","",足元帳!Y239)&amp;IF(足元帳!Z239="","",足元帳!Z239)</f>
        <v/>
      </c>
      <c r="O271" s="565"/>
      <c r="P271" s="565"/>
      <c r="Q271" s="565"/>
      <c r="R271" s="565"/>
      <c r="S271" s="566"/>
      <c r="T271" s="661" t="str">
        <f ca="1">IFERROR(INDEX(管理シート!$CB$3:$CK$24,MATCH(W271,管理シート!$CB$3:$CB$24,0),MATCH(K271,管理シート!$CB$3:$CM$3,0)),"")</f>
        <v/>
      </c>
      <c r="U271" s="661"/>
      <c r="V271" s="661"/>
      <c r="W271" s="587" t="str">
        <f ca="1">IF(ISERROR(MATCH("●",足元帳!AA239:AJ239,0)),"",INDIRECT("足元帳!R1C"&amp;MATCH("●",足元帳!AA239:AJ239,0)+26,FALSE))</f>
        <v/>
      </c>
      <c r="X271" s="565"/>
      <c r="Y271" s="566"/>
      <c r="Z271" s="587" t="str">
        <f>IF(足元帳!AL239="","","○")</f>
        <v/>
      </c>
      <c r="AA271" s="566"/>
      <c r="AB271" s="604" t="str">
        <f>IF(足元帳!AM239="","","現金カード払い"&amp;足元帳!AM239&amp;"  ")&amp;IF(足元帳!AP239="","",足元帳!AP239&amp;"　")&amp;IF(足元帳!AQ239="","",足元帳!AQ239&amp;"　")&amp;IF(足元帳!AR239="","",足元帳!AR239&amp;"　")&amp;IF(足元帳!AS239="","",足元帳!AS239&amp;"　")&amp;IF(足元帳!AT239="","",足元帳!AT239&amp;"　")&amp;IF(足元帳!AN239="","","LOVE×2")&amp;IF(足元帳!AJ239="","","MM"&amp;足元帳!AJ239)&amp;IF(足元帳!AW239="","",W271&amp;"利用"&amp;足元帳!AW239)&amp;IF(足元帳!AX239="",""," 優待券配布"&amp;足元帳!AX239)&amp;IF(足元帳!AU239="","","メルマガ")</f>
        <v/>
      </c>
      <c r="AC271" s="604"/>
      <c r="AD271" s="604"/>
      <c r="AE271" s="604"/>
      <c r="AF271" s="604"/>
      <c r="AG271" s="604"/>
      <c r="AH271" s="604"/>
      <c r="AI271" s="604"/>
      <c r="AJ271" s="604"/>
      <c r="AK271" s="604"/>
      <c r="AL271" s="604"/>
      <c r="AM271" s="604"/>
      <c r="AN271" s="604"/>
      <c r="AO271" s="604"/>
      <c r="AP271" s="604"/>
      <c r="AQ271" s="604"/>
      <c r="AR271" s="113" t="str">
        <f>IF(足元帳!A239="","",足元帳!A239)</f>
        <v/>
      </c>
      <c r="AS271" s="123">
        <f>COUNTIF(AR$4:AR271,AR271)</f>
        <v>268</v>
      </c>
    </row>
    <row r="272" spans="1:45" ht="23.45" customHeight="1">
      <c r="A272" s="655">
        <f t="shared" si="5"/>
        <v>239</v>
      </c>
      <c r="B272" s="604"/>
      <c r="C272" s="73" t="str">
        <f>IF(足元帳!AY240=1,"N",IF(足元帳!AY240=2,"R",""))</f>
        <v/>
      </c>
      <c r="D272" s="74" t="str">
        <f>IF(足元帳!AZ240&gt;0,VLOOKUP(足元帳!AZ240,管理シート!$R$4:$V$12,5,FALSE),"")</f>
        <v/>
      </c>
      <c r="E272" s="587" t="str">
        <f>IF(足元帳!J240="","",足元帳!J240)</f>
        <v/>
      </c>
      <c r="F272" s="566"/>
      <c r="G272" s="587" t="str">
        <f>IF(足元帳!K240="","",足元帳!K240)</f>
        <v/>
      </c>
      <c r="H272" s="565"/>
      <c r="I272" s="565"/>
      <c r="J272" s="566"/>
      <c r="K272" s="587" t="str">
        <f>IF(足元帳!BB240&gt;0,VLOOKUP(足元帳!BB240,管理シート!$R$4:$W$12,4,FALSE),"")</f>
        <v/>
      </c>
      <c r="L272" s="565"/>
      <c r="M272" s="566"/>
      <c r="N272" s="587" t="str">
        <f>IF(足元帳!U240="","",足元帳!U240)&amp;IF(足元帳!V240="","",足元帳!V240)&amp;IF(足元帳!W240="","",足元帳!W240)&amp;IF(足元帳!X240="","",足元帳!X240)&amp;IF(足元帳!Y240="","",足元帳!Y240)&amp;IF(足元帳!Z240="","",足元帳!Z240)</f>
        <v/>
      </c>
      <c r="O272" s="565"/>
      <c r="P272" s="565"/>
      <c r="Q272" s="565"/>
      <c r="R272" s="565"/>
      <c r="S272" s="566"/>
      <c r="T272" s="661" t="str">
        <f ca="1">IFERROR(INDEX(管理シート!$CB$3:$CK$24,MATCH(W272,管理シート!$CB$3:$CB$24,0),MATCH(K272,管理シート!$CB$3:$CM$3,0)),"")</f>
        <v/>
      </c>
      <c r="U272" s="661"/>
      <c r="V272" s="661"/>
      <c r="W272" s="587" t="str">
        <f ca="1">IF(ISERROR(MATCH("●",足元帳!AA240:AJ240,0)),"",INDIRECT("足元帳!R1C"&amp;MATCH("●",足元帳!AA240:AJ240,0)+26,FALSE))</f>
        <v/>
      </c>
      <c r="X272" s="565"/>
      <c r="Y272" s="566"/>
      <c r="Z272" s="587" t="str">
        <f>IF(足元帳!AL240="","","○")</f>
        <v/>
      </c>
      <c r="AA272" s="566"/>
      <c r="AB272" s="604" t="str">
        <f>IF(足元帳!AM240="","","現金カード払い"&amp;足元帳!AM240&amp;"  ")&amp;IF(足元帳!AP240="","",足元帳!AP240&amp;"　")&amp;IF(足元帳!AQ240="","",足元帳!AQ240&amp;"　")&amp;IF(足元帳!AR240="","",足元帳!AR240&amp;"　")&amp;IF(足元帳!AS240="","",足元帳!AS240&amp;"　")&amp;IF(足元帳!AT240="","",足元帳!AT240&amp;"　")&amp;IF(足元帳!AN240="","","LOVE×2")&amp;IF(足元帳!AJ240="","","MM"&amp;足元帳!AJ240)&amp;IF(足元帳!AW240="","",W272&amp;"利用"&amp;足元帳!AW240)&amp;IF(足元帳!AX240="",""," 優待券配布"&amp;足元帳!AX240)&amp;IF(足元帳!AU240="","","メルマガ")</f>
        <v/>
      </c>
      <c r="AC272" s="604"/>
      <c r="AD272" s="604"/>
      <c r="AE272" s="604"/>
      <c r="AF272" s="604"/>
      <c r="AG272" s="604"/>
      <c r="AH272" s="604"/>
      <c r="AI272" s="604"/>
      <c r="AJ272" s="604"/>
      <c r="AK272" s="604"/>
      <c r="AL272" s="604"/>
      <c r="AM272" s="604"/>
      <c r="AN272" s="604"/>
      <c r="AO272" s="604"/>
      <c r="AP272" s="604"/>
      <c r="AQ272" s="604"/>
      <c r="AR272" s="113" t="str">
        <f>IF(足元帳!A240="","",足元帳!A240)</f>
        <v/>
      </c>
      <c r="AS272" s="123">
        <f>COUNTIF(AR$4:AR272,AR272)</f>
        <v>269</v>
      </c>
    </row>
    <row r="273" spans="1:45" ht="23.45" customHeight="1" thickBot="1">
      <c r="A273" s="663">
        <f t="shared" si="5"/>
        <v>240</v>
      </c>
      <c r="B273" s="608"/>
      <c r="C273" s="76" t="str">
        <f>IF(足元帳!AY241=1,"N",IF(足元帳!AY241=2,"R",""))</f>
        <v/>
      </c>
      <c r="D273" s="77" t="str">
        <f>IF(足元帳!AZ241&gt;0,VLOOKUP(足元帳!AZ241,管理シート!$R$4:$V$12,5,FALSE),"")</f>
        <v/>
      </c>
      <c r="E273" s="597" t="str">
        <f>IF(足元帳!J241="","",足元帳!J241)</f>
        <v/>
      </c>
      <c r="F273" s="596"/>
      <c r="G273" s="597" t="str">
        <f>IF(足元帳!K241="","",足元帳!K241)</f>
        <v/>
      </c>
      <c r="H273" s="589"/>
      <c r="I273" s="589"/>
      <c r="J273" s="596"/>
      <c r="K273" s="597" t="str">
        <f>IF(足元帳!BB241&gt;0,VLOOKUP(足元帳!BB241,管理シート!$R$4:$W$12,4,FALSE),"")</f>
        <v/>
      </c>
      <c r="L273" s="589"/>
      <c r="M273" s="596"/>
      <c r="N273" s="597" t="str">
        <f>IF(足元帳!U241="","",足元帳!U241)&amp;IF(足元帳!V241="","",足元帳!V241)&amp;IF(足元帳!W241="","",足元帳!W241)&amp;IF(足元帳!X241="","",足元帳!X241)&amp;IF(足元帳!Y241="","",足元帳!Y241)&amp;IF(足元帳!Z241="","",足元帳!Z241)</f>
        <v/>
      </c>
      <c r="O273" s="589"/>
      <c r="P273" s="589"/>
      <c r="Q273" s="589"/>
      <c r="R273" s="589"/>
      <c r="S273" s="596"/>
      <c r="T273" s="608" t="str">
        <f ca="1">IFERROR(INDEX(管理シート!$CB$3:$CK$24,MATCH(W273,管理シート!$CB$3:$CB$24,0),MATCH(K273,管理シート!$CB$3:$CM$3,0)),"")</f>
        <v/>
      </c>
      <c r="U273" s="608"/>
      <c r="V273" s="608"/>
      <c r="W273" s="597" t="str">
        <f ca="1">IF(ISERROR(MATCH("●",足元帳!AA241:AJ241,0)),"",INDIRECT("足元帳!R1C"&amp;MATCH("●",足元帳!AA241:AJ241,0)+26,FALSE))</f>
        <v/>
      </c>
      <c r="X273" s="589"/>
      <c r="Y273" s="596"/>
      <c r="Z273" s="597" t="str">
        <f>IF(足元帳!AL241="","","○")</f>
        <v/>
      </c>
      <c r="AA273" s="596"/>
      <c r="AB273" s="604" t="str">
        <f>IF(足元帳!AM241="","","現金カード払い"&amp;足元帳!AM241&amp;"  ")&amp;IF(足元帳!AP241="","",足元帳!AP241&amp;"　")&amp;IF(足元帳!AQ241="","",足元帳!AQ241&amp;"　")&amp;IF(足元帳!AR241="","",足元帳!AR241&amp;"　")&amp;IF(足元帳!AS241="","",足元帳!AS241&amp;"　")&amp;IF(足元帳!AT241="","",足元帳!AT241&amp;"　")&amp;IF(足元帳!AN241="","","LOVE×2")&amp;IF(足元帳!AJ241="","","MM"&amp;足元帳!AJ241)&amp;IF(足元帳!AW241="","",W273&amp;"利用"&amp;足元帳!AW241)&amp;IF(足元帳!AX241="",""," 優待券配布"&amp;足元帳!AX241)&amp;IF(足元帳!AU241="","","メルマガ")</f>
        <v/>
      </c>
      <c r="AC273" s="604"/>
      <c r="AD273" s="604"/>
      <c r="AE273" s="604"/>
      <c r="AF273" s="604"/>
      <c r="AG273" s="604"/>
      <c r="AH273" s="604"/>
      <c r="AI273" s="604"/>
      <c r="AJ273" s="604"/>
      <c r="AK273" s="604"/>
      <c r="AL273" s="604"/>
      <c r="AM273" s="604"/>
      <c r="AN273" s="604"/>
      <c r="AO273" s="604"/>
      <c r="AP273" s="604"/>
      <c r="AQ273" s="604"/>
      <c r="AR273" s="113" t="str">
        <f>IF(足元帳!A241="","",足元帳!A241)</f>
        <v/>
      </c>
      <c r="AS273" s="123">
        <f>COUNTIF(AR$4:AR273,AR273)</f>
        <v>270</v>
      </c>
    </row>
    <row r="274" spans="1:45" ht="23.45" customHeight="1">
      <c r="A274" s="659" t="s">
        <v>159</v>
      </c>
      <c r="B274" s="660"/>
      <c r="C274" s="120" t="s">
        <v>183</v>
      </c>
      <c r="D274" s="122" t="s">
        <v>184</v>
      </c>
      <c r="E274" s="636">
        <f>IF((COUNTIF(C234:C273,"N")+COUNTIF(C234:C273,"R"))=0,COUNTIF(C234:C273,"N"),COUNTIF(C234:C273,"N")+E228)</f>
        <v>0</v>
      </c>
      <c r="F274" s="636"/>
      <c r="G274" s="122" t="s">
        <v>185</v>
      </c>
      <c r="H274" s="130" t="s">
        <v>186</v>
      </c>
      <c r="I274" s="122" t="s">
        <v>187</v>
      </c>
      <c r="J274" s="122" t="s">
        <v>184</v>
      </c>
      <c r="K274" s="636">
        <f>IF((COUNTIF(C234:C273,"R")+COUNTIF(C234:C273,"N"))=0,COUNTIF(C234:C273,"R"),COUNTIF(C234:C273,"R")+K228)</f>
        <v>0</v>
      </c>
      <c r="L274" s="636"/>
      <c r="M274" s="122" t="s">
        <v>185</v>
      </c>
      <c r="N274" s="130" t="s">
        <v>188</v>
      </c>
      <c r="O274" s="636">
        <f>IF(E274+K274=0,0,E274+K274)</f>
        <v>0</v>
      </c>
      <c r="P274" s="636"/>
      <c r="Q274" s="122"/>
      <c r="R274" s="122" t="s">
        <v>14</v>
      </c>
      <c r="S274" s="122" t="s">
        <v>189</v>
      </c>
      <c r="T274" s="636">
        <f>COUNTIF(D4:D43,"姫")+COUNTIF(D50:D89,"姫")+COUNTIF(D96:D135,"姫")+COUNTIF(D142:D181,"姫")+COUNTIF(D188:D227,"姫")+COUNTIF(D234:D273,"姫")</f>
        <v>0</v>
      </c>
      <c r="U274" s="636"/>
      <c r="V274" s="122" t="s">
        <v>190</v>
      </c>
      <c r="W274" s="290" t="s">
        <v>384</v>
      </c>
      <c r="X274" s="122" t="s">
        <v>5</v>
      </c>
      <c r="Y274" s="122" t="s">
        <v>385</v>
      </c>
      <c r="Z274" s="636">
        <f>COUNTIF(D4:D43,"本")+COUNTIF(D50:D89,"本")+COUNTIF(D96:D135,"本")+COUNTIF(D142:D181,"本")+COUNTIF(D188:D227,"本")+COUNTIF(D234:D273,"本")</f>
        <v>0</v>
      </c>
      <c r="AA274" s="636"/>
      <c r="AB274" s="122" t="s">
        <v>190</v>
      </c>
      <c r="AC274" s="130" t="s">
        <v>186</v>
      </c>
      <c r="AD274" s="122" t="s">
        <v>191</v>
      </c>
      <c r="AE274" s="122" t="s">
        <v>189</v>
      </c>
      <c r="AF274" s="636">
        <f>COUNTIF(D4:D43,"ネ")+COUNTIF(D50:D89,"ネ")+COUNTIF(D96:D135,"ネ")+COUNTIF(D142:D181,"ネ")+COUNTIF(D188:D227,"ネ")+COUNTIF(D234:D273,"ネ")</f>
        <v>0</v>
      </c>
      <c r="AG274" s="636"/>
      <c r="AH274" s="122" t="s">
        <v>190</v>
      </c>
      <c r="AI274" s="122" t="s">
        <v>186</v>
      </c>
      <c r="AJ274" s="122" t="s">
        <v>0</v>
      </c>
      <c r="AK274" s="122" t="s">
        <v>189</v>
      </c>
      <c r="AL274" s="636">
        <f>COUNTIF(D4:D43,"写")+COUNTIF(D50:D89,"写")+COUNTIF(D96:D135,"写")+COUNTIF(D142:D181,"写")+COUNTIF(D188:D227,"写")+COUNTIF(D234:D273,"写")</f>
        <v>0</v>
      </c>
      <c r="AM274" s="636"/>
      <c r="AN274" s="122" t="s">
        <v>190</v>
      </c>
      <c r="AO274" s="130" t="s">
        <v>166</v>
      </c>
      <c r="AP274" s="636">
        <f>T274+Z274+AF274+AL274</f>
        <v>0</v>
      </c>
      <c r="AQ274" s="662"/>
    </row>
    <row r="275" spans="1:45" ht="23.45" customHeight="1">
      <c r="A275" s="665" t="s">
        <v>160</v>
      </c>
      <c r="B275" s="666"/>
      <c r="C275" s="666"/>
      <c r="D275" s="666"/>
      <c r="E275" s="666"/>
      <c r="F275" s="666"/>
      <c r="G275" s="666" t="s">
        <v>192</v>
      </c>
      <c r="H275" s="666"/>
      <c r="I275" s="666" t="s">
        <v>162</v>
      </c>
      <c r="J275" s="666"/>
      <c r="K275" s="666"/>
      <c r="L275" s="666"/>
      <c r="M275" s="666"/>
      <c r="N275" s="666"/>
      <c r="O275" s="666" t="s">
        <v>192</v>
      </c>
      <c r="P275" s="666"/>
      <c r="Q275" s="666" t="s">
        <v>163</v>
      </c>
      <c r="R275" s="666"/>
      <c r="S275" s="666"/>
      <c r="T275" s="666"/>
      <c r="U275" s="666"/>
      <c r="V275" s="666"/>
      <c r="W275" s="666" t="s">
        <v>384</v>
      </c>
      <c r="X275" s="666"/>
      <c r="Y275" s="666" t="s">
        <v>165</v>
      </c>
      <c r="Z275" s="666"/>
      <c r="AA275" s="666"/>
      <c r="AB275" s="666"/>
      <c r="AC275" s="666"/>
      <c r="AD275" s="666"/>
      <c r="AE275" s="666" t="s">
        <v>166</v>
      </c>
      <c r="AF275" s="666"/>
      <c r="AG275" s="666" t="s">
        <v>167</v>
      </c>
      <c r="AH275" s="666"/>
      <c r="AI275" s="666"/>
      <c r="AJ275" s="666"/>
      <c r="AK275" s="666"/>
      <c r="AL275" s="666"/>
      <c r="AM275" s="666"/>
      <c r="AN275" s="666"/>
      <c r="AO275" s="666"/>
      <c r="AP275" s="666"/>
      <c r="AQ275" s="670"/>
    </row>
    <row r="276" spans="1:45" ht="23.45" customHeight="1" thickBot="1">
      <c r="A276" s="668">
        <f>IF(P320&gt;0,"",精算表!$BD$46)</f>
        <v>0</v>
      </c>
      <c r="B276" s="669"/>
      <c r="C276" s="669"/>
      <c r="D276" s="669"/>
      <c r="E276" s="669"/>
      <c r="F276" s="669"/>
      <c r="G276" s="656" t="s">
        <v>192</v>
      </c>
      <c r="H276" s="656"/>
      <c r="I276" s="669">
        <f>IF(P320&gt;0,"",精算表!$BD$49)</f>
        <v>0</v>
      </c>
      <c r="J276" s="669"/>
      <c r="K276" s="669"/>
      <c r="L276" s="669"/>
      <c r="M276" s="669"/>
      <c r="N276" s="669"/>
      <c r="O276" s="656" t="s">
        <v>192</v>
      </c>
      <c r="P276" s="656"/>
      <c r="Q276" s="669">
        <f>IF(P320&gt;0,"",精算表!$BD$50)</f>
        <v>0</v>
      </c>
      <c r="R276" s="669"/>
      <c r="S276" s="669"/>
      <c r="T276" s="669"/>
      <c r="U276" s="669"/>
      <c r="V276" s="669"/>
      <c r="W276" s="656" t="s">
        <v>384</v>
      </c>
      <c r="X276" s="656"/>
      <c r="Y276" s="669">
        <f>IF(P320&gt;0,"",精算表!$BD$56)</f>
        <v>0</v>
      </c>
      <c r="Z276" s="669"/>
      <c r="AA276" s="669"/>
      <c r="AB276" s="669"/>
      <c r="AC276" s="669"/>
      <c r="AD276" s="669"/>
      <c r="AE276" s="656" t="s">
        <v>166</v>
      </c>
      <c r="AF276" s="656"/>
      <c r="AG276" s="657">
        <f>IF(P320&gt;0,"",A276-I276-Q276+Y276)</f>
        <v>0</v>
      </c>
      <c r="AH276" s="656"/>
      <c r="AI276" s="656"/>
      <c r="AJ276" s="656"/>
      <c r="AK276" s="656"/>
      <c r="AL276" s="656"/>
      <c r="AM276" s="656"/>
      <c r="AN276" s="656"/>
      <c r="AO276" s="656"/>
      <c r="AP276" s="656"/>
      <c r="AQ276" s="658"/>
    </row>
  </sheetData>
  <mergeCells count="2414">
    <mergeCell ref="Q229:V229"/>
    <mergeCell ref="W229:X229"/>
    <mergeCell ref="Y229:AD229"/>
    <mergeCell ref="AE229:AF229"/>
    <mergeCell ref="AG229:AQ229"/>
    <mergeCell ref="AB220:AQ220"/>
    <mergeCell ref="W218:Y218"/>
    <mergeCell ref="Z218:AA218"/>
    <mergeCell ref="AB218:AQ218"/>
    <mergeCell ref="Z223:AA223"/>
    <mergeCell ref="AB223:AQ223"/>
    <mergeCell ref="G227:J227"/>
    <mergeCell ref="K227:M227"/>
    <mergeCell ref="N227:S227"/>
    <mergeCell ref="T227:V227"/>
    <mergeCell ref="W227:Y227"/>
    <mergeCell ref="G218:J218"/>
    <mergeCell ref="K218:M218"/>
    <mergeCell ref="N218:S218"/>
    <mergeCell ref="T218:V218"/>
    <mergeCell ref="G221:J221"/>
    <mergeCell ref="K221:M221"/>
    <mergeCell ref="N221:S221"/>
    <mergeCell ref="T221:V221"/>
    <mergeCell ref="W221:Y221"/>
    <mergeCell ref="Z221:AA221"/>
    <mergeCell ref="AB221:AQ221"/>
    <mergeCell ref="N220:S220"/>
    <mergeCell ref="T220:V220"/>
    <mergeCell ref="Z227:AA227"/>
    <mergeCell ref="AB227:AQ227"/>
    <mergeCell ref="Z266:AA266"/>
    <mergeCell ref="AB266:AQ266"/>
    <mergeCell ref="A266:B266"/>
    <mergeCell ref="G266:J266"/>
    <mergeCell ref="K266:M266"/>
    <mergeCell ref="N266:S266"/>
    <mergeCell ref="T266:V266"/>
    <mergeCell ref="W266:Y266"/>
    <mergeCell ref="G269:J269"/>
    <mergeCell ref="K269:M269"/>
    <mergeCell ref="N269:S269"/>
    <mergeCell ref="T269:V269"/>
    <mergeCell ref="W269:Y269"/>
    <mergeCell ref="Z269:AA269"/>
    <mergeCell ref="AB269:AQ269"/>
    <mergeCell ref="N267:S267"/>
    <mergeCell ref="Z252:AA252"/>
    <mergeCell ref="AB252:AQ252"/>
    <mergeCell ref="K259:M259"/>
    <mergeCell ref="N259:S259"/>
    <mergeCell ref="T259:V259"/>
    <mergeCell ref="W259:Y259"/>
    <mergeCell ref="Z259:AA259"/>
    <mergeCell ref="AB259:AQ259"/>
    <mergeCell ref="A264:B264"/>
    <mergeCell ref="Z268:AA268"/>
    <mergeCell ref="AB268:AQ268"/>
    <mergeCell ref="A269:B269"/>
    <mergeCell ref="T261:V261"/>
    <mergeCell ref="W261:Y261"/>
    <mergeCell ref="Z261:AA261"/>
    <mergeCell ref="AB261:AQ261"/>
    <mergeCell ref="K247:M247"/>
    <mergeCell ref="N247:S247"/>
    <mergeCell ref="T247:V247"/>
    <mergeCell ref="W247:Y247"/>
    <mergeCell ref="Z247:AA247"/>
    <mergeCell ref="AB247:AQ247"/>
    <mergeCell ref="W248:Y248"/>
    <mergeCell ref="Z248:AA248"/>
    <mergeCell ref="AB248:AQ248"/>
    <mergeCell ref="A91:F91"/>
    <mergeCell ref="G91:H91"/>
    <mergeCell ref="I91:N91"/>
    <mergeCell ref="O91:P91"/>
    <mergeCell ref="Q91:V91"/>
    <mergeCell ref="W91:X91"/>
    <mergeCell ref="Y91:AD91"/>
    <mergeCell ref="AE91:AF91"/>
    <mergeCell ref="AG91:AQ91"/>
    <mergeCell ref="K169:M169"/>
    <mergeCell ref="I137:N137"/>
    <mergeCell ref="O137:P137"/>
    <mergeCell ref="Q137:V137"/>
    <mergeCell ref="W137:X137"/>
    <mergeCell ref="Y137:AD137"/>
    <mergeCell ref="AE137:AF137"/>
    <mergeCell ref="K173:M173"/>
    <mergeCell ref="N173:S173"/>
    <mergeCell ref="T173:V173"/>
    <mergeCell ref="W173:Y173"/>
    <mergeCell ref="G229:H229"/>
    <mergeCell ref="I229:N229"/>
    <mergeCell ref="O229:P229"/>
    <mergeCell ref="AB251:AQ251"/>
    <mergeCell ref="G252:J252"/>
    <mergeCell ref="K252:M252"/>
    <mergeCell ref="N252:S252"/>
    <mergeCell ref="T252:V252"/>
    <mergeCell ref="W252:Y252"/>
    <mergeCell ref="K208:M208"/>
    <mergeCell ref="N208:S208"/>
    <mergeCell ref="T208:V208"/>
    <mergeCell ref="W208:Y208"/>
    <mergeCell ref="Z208:AA208"/>
    <mergeCell ref="AB208:AQ208"/>
    <mergeCell ref="G209:J209"/>
    <mergeCell ref="K209:M209"/>
    <mergeCell ref="N209:S209"/>
    <mergeCell ref="E266:F266"/>
    <mergeCell ref="E264:F264"/>
    <mergeCell ref="G257:J257"/>
    <mergeCell ref="K257:M257"/>
    <mergeCell ref="N257:S257"/>
    <mergeCell ref="T257:V257"/>
    <mergeCell ref="W257:Y257"/>
    <mergeCell ref="Z257:AA257"/>
    <mergeCell ref="AB257:AQ257"/>
    <mergeCell ref="K263:M263"/>
    <mergeCell ref="W260:Y260"/>
    <mergeCell ref="Z260:AA260"/>
    <mergeCell ref="AB260:AQ260"/>
    <mergeCell ref="G261:J261"/>
    <mergeCell ref="K261:M261"/>
    <mergeCell ref="N261:S261"/>
    <mergeCell ref="AB245:AQ245"/>
    <mergeCell ref="O182:P182"/>
    <mergeCell ref="T182:U182"/>
    <mergeCell ref="W263:Y263"/>
    <mergeCell ref="Z263:AA263"/>
    <mergeCell ref="AB263:AQ263"/>
    <mergeCell ref="G264:J264"/>
    <mergeCell ref="K264:M264"/>
    <mergeCell ref="N264:S264"/>
    <mergeCell ref="N169:S169"/>
    <mergeCell ref="T169:V169"/>
    <mergeCell ref="W169:Y169"/>
    <mergeCell ref="Z169:AA169"/>
    <mergeCell ref="AB169:AQ169"/>
    <mergeCell ref="N263:S263"/>
    <mergeCell ref="T263:V263"/>
    <mergeCell ref="K251:M251"/>
    <mergeCell ref="N251:S251"/>
    <mergeCell ref="T251:V251"/>
    <mergeCell ref="W251:Y251"/>
    <mergeCell ref="T264:V264"/>
    <mergeCell ref="W264:Y264"/>
    <mergeCell ref="Z264:AA264"/>
    <mergeCell ref="AB264:AQ264"/>
    <mergeCell ref="AB255:AQ255"/>
    <mergeCell ref="G256:J256"/>
    <mergeCell ref="K256:M256"/>
    <mergeCell ref="N256:S256"/>
    <mergeCell ref="T256:V256"/>
    <mergeCell ref="W256:Y256"/>
    <mergeCell ref="Z256:AA256"/>
    <mergeCell ref="AB256:AQ256"/>
    <mergeCell ref="Z251:AA251"/>
    <mergeCell ref="A276:F276"/>
    <mergeCell ref="I276:N276"/>
    <mergeCell ref="O276:P276"/>
    <mergeCell ref="Q276:V276"/>
    <mergeCell ref="W276:X276"/>
    <mergeCell ref="Y276:AD276"/>
    <mergeCell ref="AE276:AF276"/>
    <mergeCell ref="AG276:AQ276"/>
    <mergeCell ref="G276:H276"/>
    <mergeCell ref="A265:B265"/>
    <mergeCell ref="E265:F265"/>
    <mergeCell ref="G265:J265"/>
    <mergeCell ref="K265:M265"/>
    <mergeCell ref="N265:S265"/>
    <mergeCell ref="T265:V265"/>
    <mergeCell ref="W265:Y265"/>
    <mergeCell ref="Z265:AA265"/>
    <mergeCell ref="AB265:AQ265"/>
    <mergeCell ref="A275:F275"/>
    <mergeCell ref="G275:H275"/>
    <mergeCell ref="I275:N275"/>
    <mergeCell ref="O275:P275"/>
    <mergeCell ref="Q275:V275"/>
    <mergeCell ref="W275:X275"/>
    <mergeCell ref="Y275:AD275"/>
    <mergeCell ref="AE275:AF275"/>
    <mergeCell ref="AG275:AQ275"/>
    <mergeCell ref="W270:Y270"/>
    <mergeCell ref="Z270:AA270"/>
    <mergeCell ref="AB270:AQ270"/>
    <mergeCell ref="W272:Y272"/>
    <mergeCell ref="Z272:AA272"/>
    <mergeCell ref="G249:J249"/>
    <mergeCell ref="K249:M249"/>
    <mergeCell ref="N249:S249"/>
    <mergeCell ref="T249:V249"/>
    <mergeCell ref="W249:Y249"/>
    <mergeCell ref="Z249:AA249"/>
    <mergeCell ref="AB249:AQ249"/>
    <mergeCell ref="T239:V239"/>
    <mergeCell ref="W239:Y239"/>
    <mergeCell ref="Z239:AA239"/>
    <mergeCell ref="AB239:AQ239"/>
    <mergeCell ref="G240:J240"/>
    <mergeCell ref="K240:M240"/>
    <mergeCell ref="N240:S240"/>
    <mergeCell ref="T240:V240"/>
    <mergeCell ref="W240:Y240"/>
    <mergeCell ref="Z240:AA240"/>
    <mergeCell ref="AB240:AQ240"/>
    <mergeCell ref="AB243:AQ243"/>
    <mergeCell ref="G244:J244"/>
    <mergeCell ref="K244:M244"/>
    <mergeCell ref="N244:S244"/>
    <mergeCell ref="T244:V244"/>
    <mergeCell ref="W244:Y244"/>
    <mergeCell ref="Z244:AA244"/>
    <mergeCell ref="AB244:AQ244"/>
    <mergeCell ref="G245:J245"/>
    <mergeCell ref="K245:M245"/>
    <mergeCell ref="N245:S245"/>
    <mergeCell ref="T245:V245"/>
    <mergeCell ref="W245:Y245"/>
    <mergeCell ref="Z245:AA245"/>
    <mergeCell ref="E223:F223"/>
    <mergeCell ref="E221:F221"/>
    <mergeCell ref="A222:B222"/>
    <mergeCell ref="E222:F222"/>
    <mergeCell ref="G222:J222"/>
    <mergeCell ref="K222:M222"/>
    <mergeCell ref="N222:S222"/>
    <mergeCell ref="T222:V222"/>
    <mergeCell ref="W222:Y222"/>
    <mergeCell ref="Z222:AA222"/>
    <mergeCell ref="AB222:AQ222"/>
    <mergeCell ref="W220:Y220"/>
    <mergeCell ref="Z220:AA220"/>
    <mergeCell ref="A223:B223"/>
    <mergeCell ref="G223:J223"/>
    <mergeCell ref="K223:M223"/>
    <mergeCell ref="N223:S223"/>
    <mergeCell ref="T223:V223"/>
    <mergeCell ref="W223:Y223"/>
    <mergeCell ref="AB197:AQ197"/>
    <mergeCell ref="AB202:AQ202"/>
    <mergeCell ref="AB205:AQ205"/>
    <mergeCell ref="G206:J206"/>
    <mergeCell ref="K206:M206"/>
    <mergeCell ref="N206:S206"/>
    <mergeCell ref="T206:V206"/>
    <mergeCell ref="W206:Y206"/>
    <mergeCell ref="N213:S213"/>
    <mergeCell ref="T213:V213"/>
    <mergeCell ref="W213:Y213"/>
    <mergeCell ref="Z213:AA213"/>
    <mergeCell ref="AB213:AQ213"/>
    <mergeCell ref="G214:J214"/>
    <mergeCell ref="K214:M214"/>
    <mergeCell ref="N214:S214"/>
    <mergeCell ref="T214:V214"/>
    <mergeCell ref="W214:Y214"/>
    <mergeCell ref="Z214:AA214"/>
    <mergeCell ref="AB214:AQ214"/>
    <mergeCell ref="T209:V209"/>
    <mergeCell ref="Z206:AA206"/>
    <mergeCell ref="AB206:AQ206"/>
    <mergeCell ref="G201:J201"/>
    <mergeCell ref="K201:M201"/>
    <mergeCell ref="N201:S201"/>
    <mergeCell ref="T201:V201"/>
    <mergeCell ref="W201:Y201"/>
    <mergeCell ref="Z201:AA201"/>
    <mergeCell ref="AB201:AQ201"/>
    <mergeCell ref="G202:J202"/>
    <mergeCell ref="K202:M202"/>
    <mergeCell ref="N202:S202"/>
    <mergeCell ref="T202:V202"/>
    <mergeCell ref="W202:Y202"/>
    <mergeCell ref="Z202:AA202"/>
    <mergeCell ref="A188:B188"/>
    <mergeCell ref="E188:F188"/>
    <mergeCell ref="A181:B181"/>
    <mergeCell ref="E181:F181"/>
    <mergeCell ref="G181:J181"/>
    <mergeCell ref="K181:M181"/>
    <mergeCell ref="N181:S181"/>
    <mergeCell ref="T181:V181"/>
    <mergeCell ref="W181:Y181"/>
    <mergeCell ref="Z181:AA181"/>
    <mergeCell ref="AB181:AQ181"/>
    <mergeCell ref="A182:B182"/>
    <mergeCell ref="E182:F182"/>
    <mergeCell ref="K182:L182"/>
    <mergeCell ref="G188:J188"/>
    <mergeCell ref="K188:M188"/>
    <mergeCell ref="N188:S188"/>
    <mergeCell ref="T188:V188"/>
    <mergeCell ref="Z182:AA182"/>
    <mergeCell ref="A183:F183"/>
    <mergeCell ref="G183:H183"/>
    <mergeCell ref="I183:N183"/>
    <mergeCell ref="O183:P183"/>
    <mergeCell ref="Q183:V183"/>
    <mergeCell ref="W183:X183"/>
    <mergeCell ref="Y183:AD183"/>
    <mergeCell ref="AE183:AF183"/>
    <mergeCell ref="AG183:AQ183"/>
    <mergeCell ref="T179:V179"/>
    <mergeCell ref="W179:Y179"/>
    <mergeCell ref="Z179:AA179"/>
    <mergeCell ref="AB179:AQ179"/>
    <mergeCell ref="A180:B180"/>
    <mergeCell ref="E180:F180"/>
    <mergeCell ref="G180:J180"/>
    <mergeCell ref="K180:M180"/>
    <mergeCell ref="AB174:AQ174"/>
    <mergeCell ref="E176:F176"/>
    <mergeCell ref="A175:B175"/>
    <mergeCell ref="E175:F175"/>
    <mergeCell ref="G175:J175"/>
    <mergeCell ref="K175:M175"/>
    <mergeCell ref="N175:S175"/>
    <mergeCell ref="T175:V175"/>
    <mergeCell ref="W175:Y175"/>
    <mergeCell ref="Z175:AA175"/>
    <mergeCell ref="AB175:AQ175"/>
    <mergeCell ref="G177:J177"/>
    <mergeCell ref="K177:M177"/>
    <mergeCell ref="N177:S177"/>
    <mergeCell ref="T177:V177"/>
    <mergeCell ref="W177:Y177"/>
    <mergeCell ref="Z176:AA176"/>
    <mergeCell ref="AB176:AQ176"/>
    <mergeCell ref="A177:B177"/>
    <mergeCell ref="E177:F177"/>
    <mergeCell ref="N180:S180"/>
    <mergeCell ref="T180:V180"/>
    <mergeCell ref="W180:Y180"/>
    <mergeCell ref="Z180:AA180"/>
    <mergeCell ref="AF182:AG182"/>
    <mergeCell ref="AL182:AM182"/>
    <mergeCell ref="AP182:AQ182"/>
    <mergeCell ref="Z177:AA177"/>
    <mergeCell ref="AB177:AQ177"/>
    <mergeCell ref="A178:B178"/>
    <mergeCell ref="G178:J178"/>
    <mergeCell ref="K178:M178"/>
    <mergeCell ref="N178:S178"/>
    <mergeCell ref="T178:V178"/>
    <mergeCell ref="Z165:AA165"/>
    <mergeCell ref="AB165:AQ165"/>
    <mergeCell ref="G166:J166"/>
    <mergeCell ref="K166:M166"/>
    <mergeCell ref="N166:S166"/>
    <mergeCell ref="T166:V166"/>
    <mergeCell ref="W166:Y166"/>
    <mergeCell ref="Z166:AA166"/>
    <mergeCell ref="AB166:AQ166"/>
    <mergeCell ref="G167:J167"/>
    <mergeCell ref="K167:M167"/>
    <mergeCell ref="N167:S167"/>
    <mergeCell ref="T167:V167"/>
    <mergeCell ref="W167:Y167"/>
    <mergeCell ref="Z167:AA167"/>
    <mergeCell ref="AB167:AQ167"/>
    <mergeCell ref="A176:B176"/>
    <mergeCell ref="G176:J176"/>
    <mergeCell ref="K176:M176"/>
    <mergeCell ref="N176:S176"/>
    <mergeCell ref="T176:V176"/>
    <mergeCell ref="W176:Y176"/>
    <mergeCell ref="AB157:AQ157"/>
    <mergeCell ref="T156:V156"/>
    <mergeCell ref="W156:Y156"/>
    <mergeCell ref="Z156:AA156"/>
    <mergeCell ref="AB156:AQ156"/>
    <mergeCell ref="G157:J157"/>
    <mergeCell ref="K153:M153"/>
    <mergeCell ref="N153:S153"/>
    <mergeCell ref="T153:V153"/>
    <mergeCell ref="W153:Y153"/>
    <mergeCell ref="Z173:AA173"/>
    <mergeCell ref="AB173:AQ173"/>
    <mergeCell ref="G174:J174"/>
    <mergeCell ref="K174:M174"/>
    <mergeCell ref="N174:S174"/>
    <mergeCell ref="T174:V174"/>
    <mergeCell ref="W174:Y174"/>
    <mergeCell ref="Z174:AA174"/>
    <mergeCell ref="Z159:AA159"/>
    <mergeCell ref="AB159:AQ159"/>
    <mergeCell ref="K161:M161"/>
    <mergeCell ref="N161:S161"/>
    <mergeCell ref="T161:V161"/>
    <mergeCell ref="W161:Y161"/>
    <mergeCell ref="Z161:AA161"/>
    <mergeCell ref="AB161:AQ161"/>
    <mergeCell ref="G162:J162"/>
    <mergeCell ref="K162:M162"/>
    <mergeCell ref="N162:S162"/>
    <mergeCell ref="T162:V162"/>
    <mergeCell ref="W162:Y162"/>
    <mergeCell ref="Z162:AA162"/>
    <mergeCell ref="T149:V149"/>
    <mergeCell ref="W149:Y149"/>
    <mergeCell ref="Z149:AA149"/>
    <mergeCell ref="AB149:AQ149"/>
    <mergeCell ref="G150:J150"/>
    <mergeCell ref="K150:M150"/>
    <mergeCell ref="N150:S150"/>
    <mergeCell ref="T150:V150"/>
    <mergeCell ref="W150:Y150"/>
    <mergeCell ref="Z150:AA150"/>
    <mergeCell ref="AB150:AQ150"/>
    <mergeCell ref="G151:J151"/>
    <mergeCell ref="K151:M151"/>
    <mergeCell ref="N151:S151"/>
    <mergeCell ref="T151:V151"/>
    <mergeCell ref="W151:Y151"/>
    <mergeCell ref="Z151:AA151"/>
    <mergeCell ref="AB151:AQ151"/>
    <mergeCell ref="A138:F138"/>
    <mergeCell ref="G138:H138"/>
    <mergeCell ref="I138:N138"/>
    <mergeCell ref="O138:P138"/>
    <mergeCell ref="Q138:V138"/>
    <mergeCell ref="W138:X138"/>
    <mergeCell ref="Y138:AD138"/>
    <mergeCell ref="AE138:AF138"/>
    <mergeCell ref="AG138:AQ138"/>
    <mergeCell ref="E134:F134"/>
    <mergeCell ref="A133:B133"/>
    <mergeCell ref="G133:J133"/>
    <mergeCell ref="K133:M133"/>
    <mergeCell ref="N133:S133"/>
    <mergeCell ref="T133:V133"/>
    <mergeCell ref="W133:Y133"/>
    <mergeCell ref="Z133:AA133"/>
    <mergeCell ref="AB133:AQ133"/>
    <mergeCell ref="A134:B134"/>
    <mergeCell ref="G134:J134"/>
    <mergeCell ref="K134:M134"/>
    <mergeCell ref="N134:S134"/>
    <mergeCell ref="T134:V134"/>
    <mergeCell ref="W134:Y134"/>
    <mergeCell ref="Z134:AA134"/>
    <mergeCell ref="AB134:AQ134"/>
    <mergeCell ref="A135:B135"/>
    <mergeCell ref="AG137:AQ137"/>
    <mergeCell ref="G137:H137"/>
    <mergeCell ref="O136:P136"/>
    <mergeCell ref="T136:U136"/>
    <mergeCell ref="Z136:AA136"/>
    <mergeCell ref="AB121:AQ121"/>
    <mergeCell ref="G122:J122"/>
    <mergeCell ref="K118:M118"/>
    <mergeCell ref="N118:S118"/>
    <mergeCell ref="T118:V118"/>
    <mergeCell ref="W118:Y118"/>
    <mergeCell ref="Z124:AA124"/>
    <mergeCell ref="AB124:AQ124"/>
    <mergeCell ref="K126:M126"/>
    <mergeCell ref="N126:S126"/>
    <mergeCell ref="T126:V126"/>
    <mergeCell ref="W126:Y126"/>
    <mergeCell ref="Z126:AA126"/>
    <mergeCell ref="AB126:AQ126"/>
    <mergeCell ref="Z123:AA123"/>
    <mergeCell ref="AB123:AQ123"/>
    <mergeCell ref="G124:J124"/>
    <mergeCell ref="K124:M124"/>
    <mergeCell ref="N124:S124"/>
    <mergeCell ref="T124:V124"/>
    <mergeCell ref="W124:Y124"/>
    <mergeCell ref="Z125:AA125"/>
    <mergeCell ref="AB125:AQ125"/>
    <mergeCell ref="G116:J116"/>
    <mergeCell ref="K116:M116"/>
    <mergeCell ref="N116:S116"/>
    <mergeCell ref="T116:V116"/>
    <mergeCell ref="W116:Y116"/>
    <mergeCell ref="Z116:AA116"/>
    <mergeCell ref="AB116:AQ116"/>
    <mergeCell ref="Z118:AA118"/>
    <mergeCell ref="AB118:AQ118"/>
    <mergeCell ref="G119:J119"/>
    <mergeCell ref="K119:M119"/>
    <mergeCell ref="N119:S119"/>
    <mergeCell ref="T119:V119"/>
    <mergeCell ref="W119:Y119"/>
    <mergeCell ref="Z119:AA119"/>
    <mergeCell ref="AB119:AQ119"/>
    <mergeCell ref="G120:J120"/>
    <mergeCell ref="K120:M120"/>
    <mergeCell ref="N120:S120"/>
    <mergeCell ref="T120:V120"/>
    <mergeCell ref="W120:Y120"/>
    <mergeCell ref="Z120:AA120"/>
    <mergeCell ref="AB120:AQ120"/>
    <mergeCell ref="Z112:AA112"/>
    <mergeCell ref="AB112:AQ112"/>
    <mergeCell ref="K114:M114"/>
    <mergeCell ref="N114:S114"/>
    <mergeCell ref="T114:V114"/>
    <mergeCell ref="W114:Y114"/>
    <mergeCell ref="Z114:AA114"/>
    <mergeCell ref="AB114:AQ114"/>
    <mergeCell ref="G115:J115"/>
    <mergeCell ref="K115:M115"/>
    <mergeCell ref="N115:S115"/>
    <mergeCell ref="T115:V115"/>
    <mergeCell ref="W115:Y115"/>
    <mergeCell ref="Z115:AA115"/>
    <mergeCell ref="AB115:AQ115"/>
    <mergeCell ref="Z107:AA107"/>
    <mergeCell ref="AB107:AQ107"/>
    <mergeCell ref="G108:J108"/>
    <mergeCell ref="K108:M108"/>
    <mergeCell ref="N108:S108"/>
    <mergeCell ref="T108:V108"/>
    <mergeCell ref="W108:Y108"/>
    <mergeCell ref="Z108:AA108"/>
    <mergeCell ref="AB108:AQ108"/>
    <mergeCell ref="K110:M110"/>
    <mergeCell ref="N110:S110"/>
    <mergeCell ref="T110:V110"/>
    <mergeCell ref="W110:Y110"/>
    <mergeCell ref="Z110:AA110"/>
    <mergeCell ref="AB110:AQ110"/>
    <mergeCell ref="Z109:AA109"/>
    <mergeCell ref="AB109:AQ109"/>
    <mergeCell ref="G110:J110"/>
    <mergeCell ref="Z100:AA100"/>
    <mergeCell ref="AB100:AQ100"/>
    <mergeCell ref="K102:M102"/>
    <mergeCell ref="N102:S102"/>
    <mergeCell ref="T102:V102"/>
    <mergeCell ref="W102:Y102"/>
    <mergeCell ref="Z102:AA102"/>
    <mergeCell ref="AB102:AQ102"/>
    <mergeCell ref="G103:J103"/>
    <mergeCell ref="K103:M103"/>
    <mergeCell ref="N103:S103"/>
    <mergeCell ref="T103:V103"/>
    <mergeCell ref="W103:Y103"/>
    <mergeCell ref="Z103:AA103"/>
    <mergeCell ref="AB103:AQ103"/>
    <mergeCell ref="G104:J104"/>
    <mergeCell ref="K104:M104"/>
    <mergeCell ref="N104:S104"/>
    <mergeCell ref="T104:V104"/>
    <mergeCell ref="W104:Y104"/>
    <mergeCell ref="Z104:AA104"/>
    <mergeCell ref="AB104:AQ104"/>
    <mergeCell ref="K106:M106"/>
    <mergeCell ref="N106:S106"/>
    <mergeCell ref="T106:V106"/>
    <mergeCell ref="W106:Y106"/>
    <mergeCell ref="A85:B85"/>
    <mergeCell ref="E85:F85"/>
    <mergeCell ref="G85:J85"/>
    <mergeCell ref="K85:M85"/>
    <mergeCell ref="N85:S85"/>
    <mergeCell ref="T85:V85"/>
    <mergeCell ref="N95:S95"/>
    <mergeCell ref="T95:V95"/>
    <mergeCell ref="W95:Y95"/>
    <mergeCell ref="Z95:AA95"/>
    <mergeCell ref="AB95:AQ95"/>
    <mergeCell ref="A90:B90"/>
    <mergeCell ref="Y92:AD92"/>
    <mergeCell ref="AE92:AF92"/>
    <mergeCell ref="AG92:AQ92"/>
    <mergeCell ref="A92:F92"/>
    <mergeCell ref="G92:H92"/>
    <mergeCell ref="I92:N92"/>
    <mergeCell ref="O92:P92"/>
    <mergeCell ref="Q92:V92"/>
    <mergeCell ref="W92:X92"/>
    <mergeCell ref="E90:F90"/>
    <mergeCell ref="K90:L90"/>
    <mergeCell ref="O90:P90"/>
    <mergeCell ref="T90:U90"/>
    <mergeCell ref="Z90:AA90"/>
    <mergeCell ref="AF90:AG90"/>
    <mergeCell ref="AL90:AM90"/>
    <mergeCell ref="AP90:AQ90"/>
    <mergeCell ref="AF93:AG93"/>
    <mergeCell ref="AI93:AK93"/>
    <mergeCell ref="AL93:AM93"/>
    <mergeCell ref="Z75:AA75"/>
    <mergeCell ref="AB75:AQ75"/>
    <mergeCell ref="K77:M77"/>
    <mergeCell ref="N77:S77"/>
    <mergeCell ref="T77:V77"/>
    <mergeCell ref="W77:Y77"/>
    <mergeCell ref="Z77:AA77"/>
    <mergeCell ref="AB77:AQ77"/>
    <mergeCell ref="G78:J78"/>
    <mergeCell ref="K78:M78"/>
    <mergeCell ref="N78:S78"/>
    <mergeCell ref="T78:V78"/>
    <mergeCell ref="W78:Y78"/>
    <mergeCell ref="Z78:AA78"/>
    <mergeCell ref="AB78:AQ78"/>
    <mergeCell ref="G79:J79"/>
    <mergeCell ref="K79:M79"/>
    <mergeCell ref="N79:S79"/>
    <mergeCell ref="T79:V79"/>
    <mergeCell ref="W79:Y79"/>
    <mergeCell ref="Z79:AA79"/>
    <mergeCell ref="AB79:AQ79"/>
    <mergeCell ref="Z69:AA69"/>
    <mergeCell ref="AB69:AQ69"/>
    <mergeCell ref="G70:J70"/>
    <mergeCell ref="K70:M70"/>
    <mergeCell ref="N70:S70"/>
    <mergeCell ref="T70:V70"/>
    <mergeCell ref="W70:Y70"/>
    <mergeCell ref="Z70:AA70"/>
    <mergeCell ref="AB70:AQ70"/>
    <mergeCell ref="G71:J71"/>
    <mergeCell ref="K71:M71"/>
    <mergeCell ref="N71:S71"/>
    <mergeCell ref="T71:V71"/>
    <mergeCell ref="W71:Y71"/>
    <mergeCell ref="Z71:AA71"/>
    <mergeCell ref="AB71:AQ71"/>
    <mergeCell ref="K73:M73"/>
    <mergeCell ref="N73:S73"/>
    <mergeCell ref="T73:V73"/>
    <mergeCell ref="W73:Y73"/>
    <mergeCell ref="Z73:AA73"/>
    <mergeCell ref="AB73:AQ73"/>
    <mergeCell ref="AB61:AQ61"/>
    <mergeCell ref="Z63:AA63"/>
    <mergeCell ref="AB63:AQ63"/>
    <mergeCell ref="K65:M65"/>
    <mergeCell ref="N65:S65"/>
    <mergeCell ref="T65:V65"/>
    <mergeCell ref="W65:Y65"/>
    <mergeCell ref="Z65:AA65"/>
    <mergeCell ref="AB65:AQ65"/>
    <mergeCell ref="G66:J66"/>
    <mergeCell ref="K66:M66"/>
    <mergeCell ref="N66:S66"/>
    <mergeCell ref="T66:V66"/>
    <mergeCell ref="W66:Y66"/>
    <mergeCell ref="Z66:AA66"/>
    <mergeCell ref="AB66:AQ66"/>
    <mergeCell ref="G67:J67"/>
    <mergeCell ref="K67:M67"/>
    <mergeCell ref="N67:S67"/>
    <mergeCell ref="T67:V67"/>
    <mergeCell ref="W67:Y67"/>
    <mergeCell ref="Z67:AA67"/>
    <mergeCell ref="AB67:AQ67"/>
    <mergeCell ref="W54:Y54"/>
    <mergeCell ref="Z54:AA54"/>
    <mergeCell ref="AB54:AQ54"/>
    <mergeCell ref="G55:J55"/>
    <mergeCell ref="K55:M55"/>
    <mergeCell ref="N55:S55"/>
    <mergeCell ref="T55:V55"/>
    <mergeCell ref="W55:Y55"/>
    <mergeCell ref="Z55:AA55"/>
    <mergeCell ref="AB55:AQ55"/>
    <mergeCell ref="Z57:AA57"/>
    <mergeCell ref="AB57:AQ57"/>
    <mergeCell ref="G58:J58"/>
    <mergeCell ref="K58:M58"/>
    <mergeCell ref="N58:S58"/>
    <mergeCell ref="T58:V58"/>
    <mergeCell ref="W58:Y58"/>
    <mergeCell ref="Z58:AA58"/>
    <mergeCell ref="AB58:AQ58"/>
    <mergeCell ref="N3:S3"/>
    <mergeCell ref="T3:V3"/>
    <mergeCell ref="Z3:AA3"/>
    <mergeCell ref="W3:Y3"/>
    <mergeCell ref="G4:J4"/>
    <mergeCell ref="K4:M4"/>
    <mergeCell ref="A8:B8"/>
    <mergeCell ref="E8:F8"/>
    <mergeCell ref="A7:B7"/>
    <mergeCell ref="E7:F7"/>
    <mergeCell ref="A6:B6"/>
    <mergeCell ref="E6:F6"/>
    <mergeCell ref="A5:B5"/>
    <mergeCell ref="E5:F5"/>
    <mergeCell ref="A24:B24"/>
    <mergeCell ref="E24:F24"/>
    <mergeCell ref="A23:B23"/>
    <mergeCell ref="E23:F23"/>
    <mergeCell ref="A22:B22"/>
    <mergeCell ref="E22:F22"/>
    <mergeCell ref="A21:B21"/>
    <mergeCell ref="E21:F21"/>
    <mergeCell ref="A20:B20"/>
    <mergeCell ref="E20:F20"/>
    <mergeCell ref="A19:B19"/>
    <mergeCell ref="E19:F19"/>
    <mergeCell ref="A18:B18"/>
    <mergeCell ref="E18:F18"/>
    <mergeCell ref="A17:B17"/>
    <mergeCell ref="E17:F17"/>
    <mergeCell ref="G11:J11"/>
    <mergeCell ref="K11:M11"/>
    <mergeCell ref="E4:F4"/>
    <mergeCell ref="A16:B16"/>
    <mergeCell ref="E16:F16"/>
    <mergeCell ref="AB15:AQ15"/>
    <mergeCell ref="A15:B15"/>
    <mergeCell ref="E15:F15"/>
    <mergeCell ref="A14:B14"/>
    <mergeCell ref="E14:F14"/>
    <mergeCell ref="A13:B13"/>
    <mergeCell ref="E13:F13"/>
    <mergeCell ref="AB12:AQ12"/>
    <mergeCell ref="A12:B12"/>
    <mergeCell ref="E12:F12"/>
    <mergeCell ref="A11:B11"/>
    <mergeCell ref="E11:F11"/>
    <mergeCell ref="A10:B10"/>
    <mergeCell ref="E10:F10"/>
    <mergeCell ref="A9:B9"/>
    <mergeCell ref="E9:F9"/>
    <mergeCell ref="AB10:AQ10"/>
    <mergeCell ref="N11:S11"/>
    <mergeCell ref="T11:V11"/>
    <mergeCell ref="W11:Y11"/>
    <mergeCell ref="G12:J12"/>
    <mergeCell ref="AB4:AQ4"/>
    <mergeCell ref="A4:B4"/>
    <mergeCell ref="Z11:AA11"/>
    <mergeCell ref="AB11:AQ11"/>
    <mergeCell ref="G10:J10"/>
    <mergeCell ref="K10:M10"/>
    <mergeCell ref="N10:S10"/>
    <mergeCell ref="N4:S4"/>
    <mergeCell ref="A31:B31"/>
    <mergeCell ref="E31:F31"/>
    <mergeCell ref="AB30:AQ30"/>
    <mergeCell ref="A30:B30"/>
    <mergeCell ref="E30:F30"/>
    <mergeCell ref="A29:B29"/>
    <mergeCell ref="E29:F29"/>
    <mergeCell ref="A28:B28"/>
    <mergeCell ref="E28:F28"/>
    <mergeCell ref="AB27:AQ27"/>
    <mergeCell ref="A27:B27"/>
    <mergeCell ref="E27:F27"/>
    <mergeCell ref="A26:B26"/>
    <mergeCell ref="E26:F26"/>
    <mergeCell ref="A25:B25"/>
    <mergeCell ref="E25:F25"/>
    <mergeCell ref="W26:Y26"/>
    <mergeCell ref="Z26:AA26"/>
    <mergeCell ref="AB26:AQ26"/>
    <mergeCell ref="G25:J25"/>
    <mergeCell ref="K25:M25"/>
    <mergeCell ref="N25:S25"/>
    <mergeCell ref="T25:V25"/>
    <mergeCell ref="W25:Y25"/>
    <mergeCell ref="Z25:AA25"/>
    <mergeCell ref="AB31:AQ31"/>
    <mergeCell ref="W28:Y28"/>
    <mergeCell ref="Z28:AA28"/>
    <mergeCell ref="G27:J27"/>
    <mergeCell ref="K27:M27"/>
    <mergeCell ref="N27:S27"/>
    <mergeCell ref="T27:V27"/>
    <mergeCell ref="AB32:AQ32"/>
    <mergeCell ref="G31:J31"/>
    <mergeCell ref="K31:M31"/>
    <mergeCell ref="N31:S31"/>
    <mergeCell ref="T31:V31"/>
    <mergeCell ref="W31:Y31"/>
    <mergeCell ref="Z31:AA31"/>
    <mergeCell ref="W41:Y41"/>
    <mergeCell ref="Z41:AA41"/>
    <mergeCell ref="AB41:AQ41"/>
    <mergeCell ref="A38:B38"/>
    <mergeCell ref="E38:F38"/>
    <mergeCell ref="A37:B37"/>
    <mergeCell ref="E37:F37"/>
    <mergeCell ref="AB36:AQ36"/>
    <mergeCell ref="A36:B36"/>
    <mergeCell ref="E36:F36"/>
    <mergeCell ref="A35:B35"/>
    <mergeCell ref="E35:F35"/>
    <mergeCell ref="A34:B34"/>
    <mergeCell ref="E34:F34"/>
    <mergeCell ref="AB33:AQ33"/>
    <mergeCell ref="A33:B33"/>
    <mergeCell ref="E33:F33"/>
    <mergeCell ref="AB34:AQ34"/>
    <mergeCell ref="G35:J35"/>
    <mergeCell ref="K35:M35"/>
    <mergeCell ref="N35:S35"/>
    <mergeCell ref="T35:V35"/>
    <mergeCell ref="W35:Y35"/>
    <mergeCell ref="A32:B32"/>
    <mergeCell ref="E32:F32"/>
    <mergeCell ref="AB35:AQ35"/>
    <mergeCell ref="G34:J34"/>
    <mergeCell ref="K34:M34"/>
    <mergeCell ref="N34:S34"/>
    <mergeCell ref="T34:V34"/>
    <mergeCell ref="W34:Y34"/>
    <mergeCell ref="Z34:AA34"/>
    <mergeCell ref="Y45:AD45"/>
    <mergeCell ref="AE45:AF45"/>
    <mergeCell ref="AG45:AQ45"/>
    <mergeCell ref="A46:F46"/>
    <mergeCell ref="G46:H46"/>
    <mergeCell ref="I46:N46"/>
    <mergeCell ref="O46:P46"/>
    <mergeCell ref="Q46:V46"/>
    <mergeCell ref="W46:X46"/>
    <mergeCell ref="Y46:AD46"/>
    <mergeCell ref="A45:F45"/>
    <mergeCell ref="G45:H45"/>
    <mergeCell ref="I45:N45"/>
    <mergeCell ref="O45:P45"/>
    <mergeCell ref="Q45:V45"/>
    <mergeCell ref="W45:X45"/>
    <mergeCell ref="A41:B41"/>
    <mergeCell ref="E41:F41"/>
    <mergeCell ref="G41:J41"/>
    <mergeCell ref="K41:M41"/>
    <mergeCell ref="N41:S41"/>
    <mergeCell ref="T41:V41"/>
    <mergeCell ref="W39:Y39"/>
    <mergeCell ref="Z39:AA39"/>
    <mergeCell ref="AB37:AQ37"/>
    <mergeCell ref="G49:J49"/>
    <mergeCell ref="K49:M49"/>
    <mergeCell ref="N49:S49"/>
    <mergeCell ref="T49:V49"/>
    <mergeCell ref="W49:Y49"/>
    <mergeCell ref="Z49:AA49"/>
    <mergeCell ref="AB49:AQ49"/>
    <mergeCell ref="A51:B51"/>
    <mergeCell ref="E51:F51"/>
    <mergeCell ref="A50:B50"/>
    <mergeCell ref="E50:F50"/>
    <mergeCell ref="A53:B53"/>
    <mergeCell ref="E53:F53"/>
    <mergeCell ref="A52:B52"/>
    <mergeCell ref="E52:F52"/>
    <mergeCell ref="G52:J52"/>
    <mergeCell ref="K52:M52"/>
    <mergeCell ref="N52:S52"/>
    <mergeCell ref="T52:V52"/>
    <mergeCell ref="W52:Y52"/>
    <mergeCell ref="Z52:AA52"/>
    <mergeCell ref="AB52:AQ52"/>
    <mergeCell ref="G53:J53"/>
    <mergeCell ref="Z51:AA51"/>
    <mergeCell ref="AB51:AQ51"/>
    <mergeCell ref="K53:M53"/>
    <mergeCell ref="N53:S53"/>
    <mergeCell ref="T53:V53"/>
    <mergeCell ref="W53:Y53"/>
    <mergeCell ref="Z53:AA53"/>
    <mergeCell ref="AB53:AQ53"/>
    <mergeCell ref="A55:B55"/>
    <mergeCell ref="E55:F55"/>
    <mergeCell ref="A54:B54"/>
    <mergeCell ref="E54:F54"/>
    <mergeCell ref="G50:J50"/>
    <mergeCell ref="K50:M50"/>
    <mergeCell ref="N50:S50"/>
    <mergeCell ref="T50:V50"/>
    <mergeCell ref="W50:Y50"/>
    <mergeCell ref="Z50:AA50"/>
    <mergeCell ref="AB50:AQ50"/>
    <mergeCell ref="G51:J51"/>
    <mergeCell ref="K51:M51"/>
    <mergeCell ref="N51:S51"/>
    <mergeCell ref="T51:V51"/>
    <mergeCell ref="W51:Y51"/>
    <mergeCell ref="A57:B57"/>
    <mergeCell ref="E57:F57"/>
    <mergeCell ref="A56:B56"/>
    <mergeCell ref="E56:F56"/>
    <mergeCell ref="G56:J56"/>
    <mergeCell ref="K56:M56"/>
    <mergeCell ref="N56:S56"/>
    <mergeCell ref="T56:V56"/>
    <mergeCell ref="W56:Y56"/>
    <mergeCell ref="Z56:AA56"/>
    <mergeCell ref="AB56:AQ56"/>
    <mergeCell ref="G57:J57"/>
    <mergeCell ref="G54:J54"/>
    <mergeCell ref="K54:M54"/>
    <mergeCell ref="N54:S54"/>
    <mergeCell ref="T54:V54"/>
    <mergeCell ref="A59:B59"/>
    <mergeCell ref="E59:F59"/>
    <mergeCell ref="A58:B58"/>
    <mergeCell ref="E58:F58"/>
    <mergeCell ref="A61:B61"/>
    <mergeCell ref="E61:F61"/>
    <mergeCell ref="A60:B60"/>
    <mergeCell ref="E60:F60"/>
    <mergeCell ref="G60:J60"/>
    <mergeCell ref="K60:M60"/>
    <mergeCell ref="N60:S60"/>
    <mergeCell ref="T60:V60"/>
    <mergeCell ref="W60:Y60"/>
    <mergeCell ref="Z60:AA60"/>
    <mergeCell ref="AB60:AQ60"/>
    <mergeCell ref="G61:J61"/>
    <mergeCell ref="K57:M57"/>
    <mergeCell ref="N57:S57"/>
    <mergeCell ref="T57:V57"/>
    <mergeCell ref="W57:Y57"/>
    <mergeCell ref="G59:J59"/>
    <mergeCell ref="K59:M59"/>
    <mergeCell ref="N59:S59"/>
    <mergeCell ref="T59:V59"/>
    <mergeCell ref="W59:Y59"/>
    <mergeCell ref="Z59:AA59"/>
    <mergeCell ref="AB59:AQ59"/>
    <mergeCell ref="K61:M61"/>
    <mergeCell ref="N61:S61"/>
    <mergeCell ref="T61:V61"/>
    <mergeCell ref="W61:Y61"/>
    <mergeCell ref="Z61:AA61"/>
    <mergeCell ref="A63:B63"/>
    <mergeCell ref="E63:F63"/>
    <mergeCell ref="A62:B62"/>
    <mergeCell ref="E62:F62"/>
    <mergeCell ref="A65:B65"/>
    <mergeCell ref="E65:F65"/>
    <mergeCell ref="A64:B64"/>
    <mergeCell ref="E64:F64"/>
    <mergeCell ref="G64:J64"/>
    <mergeCell ref="K64:M64"/>
    <mergeCell ref="N64:S64"/>
    <mergeCell ref="T64:V64"/>
    <mergeCell ref="W64:Y64"/>
    <mergeCell ref="Z64:AA64"/>
    <mergeCell ref="AB64:AQ64"/>
    <mergeCell ref="G65:J65"/>
    <mergeCell ref="A67:B67"/>
    <mergeCell ref="E67:F67"/>
    <mergeCell ref="A66:B66"/>
    <mergeCell ref="E66:F66"/>
    <mergeCell ref="G62:J62"/>
    <mergeCell ref="K62:M62"/>
    <mergeCell ref="N62:S62"/>
    <mergeCell ref="T62:V62"/>
    <mergeCell ref="W62:Y62"/>
    <mergeCell ref="Z62:AA62"/>
    <mergeCell ref="AB62:AQ62"/>
    <mergeCell ref="G63:J63"/>
    <mergeCell ref="K63:M63"/>
    <mergeCell ref="N63:S63"/>
    <mergeCell ref="T63:V63"/>
    <mergeCell ref="W63:Y63"/>
    <mergeCell ref="A69:B69"/>
    <mergeCell ref="E69:F69"/>
    <mergeCell ref="A68:B68"/>
    <mergeCell ref="E68:F68"/>
    <mergeCell ref="G68:J68"/>
    <mergeCell ref="K68:M68"/>
    <mergeCell ref="N68:S68"/>
    <mergeCell ref="T68:V68"/>
    <mergeCell ref="W68:Y68"/>
    <mergeCell ref="Z68:AA68"/>
    <mergeCell ref="AB68:AQ68"/>
    <mergeCell ref="G69:J69"/>
    <mergeCell ref="A71:B71"/>
    <mergeCell ref="E71:F71"/>
    <mergeCell ref="A70:B70"/>
    <mergeCell ref="E70:F70"/>
    <mergeCell ref="A73:B73"/>
    <mergeCell ref="E73:F73"/>
    <mergeCell ref="A72:B72"/>
    <mergeCell ref="E72:F72"/>
    <mergeCell ref="G72:J72"/>
    <mergeCell ref="K72:M72"/>
    <mergeCell ref="N72:S72"/>
    <mergeCell ref="T72:V72"/>
    <mergeCell ref="W72:Y72"/>
    <mergeCell ref="Z72:AA72"/>
    <mergeCell ref="AB72:AQ72"/>
    <mergeCell ref="G73:J73"/>
    <mergeCell ref="K69:M69"/>
    <mergeCell ref="N69:S69"/>
    <mergeCell ref="T69:V69"/>
    <mergeCell ref="W69:Y69"/>
    <mergeCell ref="A75:B75"/>
    <mergeCell ref="E75:F75"/>
    <mergeCell ref="A74:B74"/>
    <mergeCell ref="E74:F74"/>
    <mergeCell ref="A77:B77"/>
    <mergeCell ref="E77:F77"/>
    <mergeCell ref="A76:B76"/>
    <mergeCell ref="E76:F76"/>
    <mergeCell ref="G76:J76"/>
    <mergeCell ref="K76:M76"/>
    <mergeCell ref="N76:S76"/>
    <mergeCell ref="T76:V76"/>
    <mergeCell ref="W76:Y76"/>
    <mergeCell ref="Z76:AA76"/>
    <mergeCell ref="AB76:AQ76"/>
    <mergeCell ref="G77:J77"/>
    <mergeCell ref="A79:B79"/>
    <mergeCell ref="E79:F79"/>
    <mergeCell ref="A78:B78"/>
    <mergeCell ref="E78:F78"/>
    <mergeCell ref="G74:J74"/>
    <mergeCell ref="K74:M74"/>
    <mergeCell ref="N74:S74"/>
    <mergeCell ref="T74:V74"/>
    <mergeCell ref="W74:Y74"/>
    <mergeCell ref="Z74:AA74"/>
    <mergeCell ref="AB74:AQ74"/>
    <mergeCell ref="G75:J75"/>
    <mergeCell ref="K75:M75"/>
    <mergeCell ref="N75:S75"/>
    <mergeCell ref="T75:V75"/>
    <mergeCell ref="W75:Y75"/>
    <mergeCell ref="K81:M81"/>
    <mergeCell ref="N81:S81"/>
    <mergeCell ref="T81:V81"/>
    <mergeCell ref="W81:Y81"/>
    <mergeCell ref="Z81:AA81"/>
    <mergeCell ref="AB81:AQ81"/>
    <mergeCell ref="G82:J82"/>
    <mergeCell ref="K82:M82"/>
    <mergeCell ref="N82:S82"/>
    <mergeCell ref="T82:V82"/>
    <mergeCell ref="W82:Y82"/>
    <mergeCell ref="Z82:AA82"/>
    <mergeCell ref="AB82:AQ82"/>
    <mergeCell ref="G83:J83"/>
    <mergeCell ref="K83:M83"/>
    <mergeCell ref="N83:S83"/>
    <mergeCell ref="T83:V83"/>
    <mergeCell ref="W83:Y83"/>
    <mergeCell ref="Z83:AA83"/>
    <mergeCell ref="AB83:AQ83"/>
    <mergeCell ref="AN93:AO93"/>
    <mergeCell ref="AP93:AQ93"/>
    <mergeCell ref="A94:AQ94"/>
    <mergeCell ref="C95:D95"/>
    <mergeCell ref="G95:J95"/>
    <mergeCell ref="K95:M95"/>
    <mergeCell ref="E82:F82"/>
    <mergeCell ref="A84:B84"/>
    <mergeCell ref="E84:F84"/>
    <mergeCell ref="G84:J84"/>
    <mergeCell ref="K84:M84"/>
    <mergeCell ref="N84:S84"/>
    <mergeCell ref="T84:V84"/>
    <mergeCell ref="W84:Y84"/>
    <mergeCell ref="Z84:AA84"/>
    <mergeCell ref="AB84:AQ84"/>
    <mergeCell ref="A83:B83"/>
    <mergeCell ref="E83:F83"/>
    <mergeCell ref="W85:Y85"/>
    <mergeCell ref="Z85:AA85"/>
    <mergeCell ref="AB85:AQ85"/>
    <mergeCell ref="A86:B86"/>
    <mergeCell ref="G86:J86"/>
    <mergeCell ref="K86:M86"/>
    <mergeCell ref="N86:S86"/>
    <mergeCell ref="T86:V86"/>
    <mergeCell ref="W86:Y86"/>
    <mergeCell ref="Z86:AA86"/>
    <mergeCell ref="AB86:AQ86"/>
    <mergeCell ref="E88:F88"/>
    <mergeCell ref="E86:F86"/>
    <mergeCell ref="E89:F89"/>
    <mergeCell ref="A88:B88"/>
    <mergeCell ref="G88:J88"/>
    <mergeCell ref="K88:M88"/>
    <mergeCell ref="N88:S88"/>
    <mergeCell ref="T88:V88"/>
    <mergeCell ref="W88:Y88"/>
    <mergeCell ref="Z88:AA88"/>
    <mergeCell ref="AB88:AQ88"/>
    <mergeCell ref="A89:B89"/>
    <mergeCell ref="G89:J89"/>
    <mergeCell ref="K89:M89"/>
    <mergeCell ref="N89:S89"/>
    <mergeCell ref="T89:V89"/>
    <mergeCell ref="W89:Y89"/>
    <mergeCell ref="Z89:AA89"/>
    <mergeCell ref="AB89:AQ89"/>
    <mergeCell ref="A87:B87"/>
    <mergeCell ref="E87:F87"/>
    <mergeCell ref="G87:J87"/>
    <mergeCell ref="K87:M87"/>
    <mergeCell ref="N87:S87"/>
    <mergeCell ref="T87:V87"/>
    <mergeCell ref="W87:Y87"/>
    <mergeCell ref="Z87:AA87"/>
    <mergeCell ref="AB87:AQ87"/>
    <mergeCell ref="A96:B96"/>
    <mergeCell ref="E96:F96"/>
    <mergeCell ref="A95:B95"/>
    <mergeCell ref="E95:F95"/>
    <mergeCell ref="G96:J96"/>
    <mergeCell ref="K96:M96"/>
    <mergeCell ref="N96:S96"/>
    <mergeCell ref="T96:V96"/>
    <mergeCell ref="W96:Y96"/>
    <mergeCell ref="Z96:AA96"/>
    <mergeCell ref="AB96:AQ96"/>
    <mergeCell ref="A98:B98"/>
    <mergeCell ref="E98:F98"/>
    <mergeCell ref="A97:B97"/>
    <mergeCell ref="E97:F97"/>
    <mergeCell ref="G97:J97"/>
    <mergeCell ref="K97:M97"/>
    <mergeCell ref="N97:S97"/>
    <mergeCell ref="T97:V97"/>
    <mergeCell ref="W97:Y97"/>
    <mergeCell ref="Z97:AA97"/>
    <mergeCell ref="AB97:AQ97"/>
    <mergeCell ref="G98:J98"/>
    <mergeCell ref="K98:M98"/>
    <mergeCell ref="N98:S98"/>
    <mergeCell ref="T98:V98"/>
    <mergeCell ref="W98:Y98"/>
    <mergeCell ref="Z98:AA98"/>
    <mergeCell ref="AB98:AQ98"/>
    <mergeCell ref="A100:B100"/>
    <mergeCell ref="E100:F100"/>
    <mergeCell ref="A99:B99"/>
    <mergeCell ref="E99:F99"/>
    <mergeCell ref="A102:B102"/>
    <mergeCell ref="E102:F102"/>
    <mergeCell ref="A101:B101"/>
    <mergeCell ref="E101:F101"/>
    <mergeCell ref="G101:J101"/>
    <mergeCell ref="K101:M101"/>
    <mergeCell ref="N101:S101"/>
    <mergeCell ref="T101:V101"/>
    <mergeCell ref="W101:Y101"/>
    <mergeCell ref="Z101:AA101"/>
    <mergeCell ref="AB101:AQ101"/>
    <mergeCell ref="G102:J102"/>
    <mergeCell ref="A104:B104"/>
    <mergeCell ref="E104:F104"/>
    <mergeCell ref="A103:B103"/>
    <mergeCell ref="E103:F103"/>
    <mergeCell ref="G99:J99"/>
    <mergeCell ref="K99:M99"/>
    <mergeCell ref="N99:S99"/>
    <mergeCell ref="T99:V99"/>
    <mergeCell ref="W99:Y99"/>
    <mergeCell ref="Z99:AA99"/>
    <mergeCell ref="AB99:AQ99"/>
    <mergeCell ref="G100:J100"/>
    <mergeCell ref="K100:M100"/>
    <mergeCell ref="N100:S100"/>
    <mergeCell ref="T100:V100"/>
    <mergeCell ref="W100:Y100"/>
    <mergeCell ref="A106:B106"/>
    <mergeCell ref="E106:F106"/>
    <mergeCell ref="A105:B105"/>
    <mergeCell ref="E105:F105"/>
    <mergeCell ref="G105:J105"/>
    <mergeCell ref="K105:M105"/>
    <mergeCell ref="N105:S105"/>
    <mergeCell ref="T105:V105"/>
    <mergeCell ref="W105:Y105"/>
    <mergeCell ref="Z105:AA105"/>
    <mergeCell ref="AB105:AQ105"/>
    <mergeCell ref="G106:J106"/>
    <mergeCell ref="A108:B108"/>
    <mergeCell ref="E108:F108"/>
    <mergeCell ref="A107:B107"/>
    <mergeCell ref="E107:F107"/>
    <mergeCell ref="A110:B110"/>
    <mergeCell ref="E110:F110"/>
    <mergeCell ref="A109:B109"/>
    <mergeCell ref="E109:F109"/>
    <mergeCell ref="G109:J109"/>
    <mergeCell ref="K109:M109"/>
    <mergeCell ref="N109:S109"/>
    <mergeCell ref="T109:V109"/>
    <mergeCell ref="W109:Y109"/>
    <mergeCell ref="Z106:AA106"/>
    <mergeCell ref="AB106:AQ106"/>
    <mergeCell ref="G107:J107"/>
    <mergeCell ref="K107:M107"/>
    <mergeCell ref="N107:S107"/>
    <mergeCell ref="T107:V107"/>
    <mergeCell ref="W107:Y107"/>
    <mergeCell ref="A112:B112"/>
    <mergeCell ref="E112:F112"/>
    <mergeCell ref="A111:B111"/>
    <mergeCell ref="E111:F111"/>
    <mergeCell ref="A114:B114"/>
    <mergeCell ref="E114:F114"/>
    <mergeCell ref="A113:B113"/>
    <mergeCell ref="E113:F113"/>
    <mergeCell ref="G113:J113"/>
    <mergeCell ref="K113:M113"/>
    <mergeCell ref="N113:S113"/>
    <mergeCell ref="T113:V113"/>
    <mergeCell ref="W113:Y113"/>
    <mergeCell ref="Z113:AA113"/>
    <mergeCell ref="AB113:AQ113"/>
    <mergeCell ref="G114:J114"/>
    <mergeCell ref="A116:B116"/>
    <mergeCell ref="E116:F116"/>
    <mergeCell ref="A115:B115"/>
    <mergeCell ref="E115:F115"/>
    <mergeCell ref="G111:J111"/>
    <mergeCell ref="K111:M111"/>
    <mergeCell ref="N111:S111"/>
    <mergeCell ref="T111:V111"/>
    <mergeCell ref="W111:Y111"/>
    <mergeCell ref="Z111:AA111"/>
    <mergeCell ref="AB111:AQ111"/>
    <mergeCell ref="G112:J112"/>
    <mergeCell ref="K112:M112"/>
    <mergeCell ref="N112:S112"/>
    <mergeCell ref="T112:V112"/>
    <mergeCell ref="W112:Y112"/>
    <mergeCell ref="A118:B118"/>
    <mergeCell ref="E118:F118"/>
    <mergeCell ref="A117:B117"/>
    <mergeCell ref="E117:F117"/>
    <mergeCell ref="G117:J117"/>
    <mergeCell ref="K117:M117"/>
    <mergeCell ref="N117:S117"/>
    <mergeCell ref="T117:V117"/>
    <mergeCell ref="W117:Y117"/>
    <mergeCell ref="Z117:AA117"/>
    <mergeCell ref="AB117:AQ117"/>
    <mergeCell ref="G118:J118"/>
    <mergeCell ref="A120:B120"/>
    <mergeCell ref="E120:F120"/>
    <mergeCell ref="A119:B119"/>
    <mergeCell ref="E119:F119"/>
    <mergeCell ref="A122:B122"/>
    <mergeCell ref="E122:F122"/>
    <mergeCell ref="A121:B121"/>
    <mergeCell ref="E121:F121"/>
    <mergeCell ref="G121:J121"/>
    <mergeCell ref="K121:M121"/>
    <mergeCell ref="N121:S121"/>
    <mergeCell ref="T121:V121"/>
    <mergeCell ref="W121:Y121"/>
    <mergeCell ref="K122:M122"/>
    <mergeCell ref="N122:S122"/>
    <mergeCell ref="T122:V122"/>
    <mergeCell ref="W122:Y122"/>
    <mergeCell ref="Z122:AA122"/>
    <mergeCell ref="AB122:AQ122"/>
    <mergeCell ref="Z121:AA121"/>
    <mergeCell ref="A123:B123"/>
    <mergeCell ref="E123:F123"/>
    <mergeCell ref="A126:B126"/>
    <mergeCell ref="E126:F126"/>
    <mergeCell ref="A125:B125"/>
    <mergeCell ref="E125:F125"/>
    <mergeCell ref="G125:J125"/>
    <mergeCell ref="K125:M125"/>
    <mergeCell ref="N125:S125"/>
    <mergeCell ref="T125:V125"/>
    <mergeCell ref="W125:Y125"/>
    <mergeCell ref="G126:J126"/>
    <mergeCell ref="A128:B128"/>
    <mergeCell ref="E128:F128"/>
    <mergeCell ref="A127:B127"/>
    <mergeCell ref="E127:F127"/>
    <mergeCell ref="G123:J123"/>
    <mergeCell ref="K123:M123"/>
    <mergeCell ref="N123:S123"/>
    <mergeCell ref="T123:V123"/>
    <mergeCell ref="W123:Y123"/>
    <mergeCell ref="G127:J127"/>
    <mergeCell ref="K127:M127"/>
    <mergeCell ref="N127:S127"/>
    <mergeCell ref="T127:V127"/>
    <mergeCell ref="W127:Y127"/>
    <mergeCell ref="G128:J128"/>
    <mergeCell ref="K128:M128"/>
    <mergeCell ref="N128:S128"/>
    <mergeCell ref="T128:V128"/>
    <mergeCell ref="W128:Y128"/>
    <mergeCell ref="W130:Y130"/>
    <mergeCell ref="Z130:AA130"/>
    <mergeCell ref="AB130:AQ130"/>
    <mergeCell ref="A131:B131"/>
    <mergeCell ref="G131:J131"/>
    <mergeCell ref="K131:M131"/>
    <mergeCell ref="N131:S131"/>
    <mergeCell ref="T131:V131"/>
    <mergeCell ref="E135:F135"/>
    <mergeCell ref="G135:J135"/>
    <mergeCell ref="K135:M135"/>
    <mergeCell ref="N135:S135"/>
    <mergeCell ref="A132:B132"/>
    <mergeCell ref="E132:F132"/>
    <mergeCell ref="G132:J132"/>
    <mergeCell ref="K132:M132"/>
    <mergeCell ref="A124:B124"/>
    <mergeCell ref="E124:F124"/>
    <mergeCell ref="Z127:AA127"/>
    <mergeCell ref="AB127:AQ127"/>
    <mergeCell ref="Z128:AA128"/>
    <mergeCell ref="AB128:AQ128"/>
    <mergeCell ref="N132:S132"/>
    <mergeCell ref="T132:V132"/>
    <mergeCell ref="W132:Y132"/>
    <mergeCell ref="Z132:AA132"/>
    <mergeCell ref="AB132:AQ132"/>
    <mergeCell ref="W131:Y131"/>
    <mergeCell ref="Z131:AA131"/>
    <mergeCell ref="AB131:AQ131"/>
    <mergeCell ref="G141:J141"/>
    <mergeCell ref="K141:M141"/>
    <mergeCell ref="N141:S141"/>
    <mergeCell ref="T141:V141"/>
    <mergeCell ref="W141:Y141"/>
    <mergeCell ref="Z141:AA141"/>
    <mergeCell ref="AB141:AQ141"/>
    <mergeCell ref="A137:F137"/>
    <mergeCell ref="A143:B143"/>
    <mergeCell ref="E143:F143"/>
    <mergeCell ref="A142:B142"/>
    <mergeCell ref="E142:F142"/>
    <mergeCell ref="AF136:AG136"/>
    <mergeCell ref="AL136:AM136"/>
    <mergeCell ref="AP136:AQ136"/>
    <mergeCell ref="A129:B129"/>
    <mergeCell ref="E129:F129"/>
    <mergeCell ref="G129:J129"/>
    <mergeCell ref="K129:M129"/>
    <mergeCell ref="N129:S129"/>
    <mergeCell ref="T129:V129"/>
    <mergeCell ref="W129:Y129"/>
    <mergeCell ref="Z129:AA129"/>
    <mergeCell ref="AB129:AQ129"/>
    <mergeCell ref="A130:B130"/>
    <mergeCell ref="E130:F130"/>
    <mergeCell ref="G130:J130"/>
    <mergeCell ref="K130:M130"/>
    <mergeCell ref="N130:S130"/>
    <mergeCell ref="T130:V130"/>
    <mergeCell ref="E133:F133"/>
    <mergeCell ref="E131:F131"/>
    <mergeCell ref="A145:B145"/>
    <mergeCell ref="E145:F145"/>
    <mergeCell ref="A144:B144"/>
    <mergeCell ref="E144:F144"/>
    <mergeCell ref="G144:J144"/>
    <mergeCell ref="K144:M144"/>
    <mergeCell ref="N144:S144"/>
    <mergeCell ref="T144:V144"/>
    <mergeCell ref="W144:Y144"/>
    <mergeCell ref="Z144:AA144"/>
    <mergeCell ref="AB144:AQ144"/>
    <mergeCell ref="G145:J145"/>
    <mergeCell ref="T135:V135"/>
    <mergeCell ref="W135:Y135"/>
    <mergeCell ref="Z135:AA135"/>
    <mergeCell ref="AB135:AQ135"/>
    <mergeCell ref="T145:V145"/>
    <mergeCell ref="W145:Y145"/>
    <mergeCell ref="Z145:AA145"/>
    <mergeCell ref="AB145:AQ145"/>
    <mergeCell ref="A136:B136"/>
    <mergeCell ref="E136:F136"/>
    <mergeCell ref="K136:L136"/>
    <mergeCell ref="A141:B141"/>
    <mergeCell ref="E141:F141"/>
    <mergeCell ref="AF139:AG139"/>
    <mergeCell ref="AI139:AK139"/>
    <mergeCell ref="AL139:AM139"/>
    <mergeCell ref="AN139:AO139"/>
    <mergeCell ref="AP139:AQ139"/>
    <mergeCell ref="A140:AQ140"/>
    <mergeCell ref="C141:D141"/>
    <mergeCell ref="G142:J142"/>
    <mergeCell ref="K142:M142"/>
    <mergeCell ref="N142:S142"/>
    <mergeCell ref="T142:V142"/>
    <mergeCell ref="W142:Y142"/>
    <mergeCell ref="Z142:AA142"/>
    <mergeCell ref="AB142:AQ142"/>
    <mergeCell ref="K145:M145"/>
    <mergeCell ref="N145:S145"/>
    <mergeCell ref="A147:B147"/>
    <mergeCell ref="E147:F147"/>
    <mergeCell ref="A146:B146"/>
    <mergeCell ref="E146:F146"/>
    <mergeCell ref="A149:B149"/>
    <mergeCell ref="E149:F149"/>
    <mergeCell ref="A148:B148"/>
    <mergeCell ref="E148:F148"/>
    <mergeCell ref="G148:J148"/>
    <mergeCell ref="K148:M148"/>
    <mergeCell ref="N148:S148"/>
    <mergeCell ref="T148:V148"/>
    <mergeCell ref="W148:Y148"/>
    <mergeCell ref="Z148:AA148"/>
    <mergeCell ref="AB148:AQ148"/>
    <mergeCell ref="G149:J149"/>
    <mergeCell ref="G143:J143"/>
    <mergeCell ref="K143:M143"/>
    <mergeCell ref="N143:S143"/>
    <mergeCell ref="T143:V143"/>
    <mergeCell ref="W143:Y143"/>
    <mergeCell ref="Z143:AA143"/>
    <mergeCell ref="AB143:AQ143"/>
    <mergeCell ref="A151:B151"/>
    <mergeCell ref="E151:F151"/>
    <mergeCell ref="A150:B150"/>
    <mergeCell ref="E150:F150"/>
    <mergeCell ref="G146:J146"/>
    <mergeCell ref="K146:M146"/>
    <mergeCell ref="N146:S146"/>
    <mergeCell ref="T146:V146"/>
    <mergeCell ref="W146:Y146"/>
    <mergeCell ref="Z146:AA146"/>
    <mergeCell ref="AB146:AQ146"/>
    <mergeCell ref="G147:J147"/>
    <mergeCell ref="K147:M147"/>
    <mergeCell ref="N147:S147"/>
    <mergeCell ref="T147:V147"/>
    <mergeCell ref="W147:Y147"/>
    <mergeCell ref="A153:B153"/>
    <mergeCell ref="E153:F153"/>
    <mergeCell ref="A152:B152"/>
    <mergeCell ref="E152:F152"/>
    <mergeCell ref="G152:J152"/>
    <mergeCell ref="K152:M152"/>
    <mergeCell ref="N152:S152"/>
    <mergeCell ref="T152:V152"/>
    <mergeCell ref="W152:Y152"/>
    <mergeCell ref="Z152:AA152"/>
    <mergeCell ref="AB152:AQ152"/>
    <mergeCell ref="G153:J153"/>
    <mergeCell ref="Z147:AA147"/>
    <mergeCell ref="AB147:AQ147"/>
    <mergeCell ref="K149:M149"/>
    <mergeCell ref="N149:S149"/>
    <mergeCell ref="A155:B155"/>
    <mergeCell ref="E155:F155"/>
    <mergeCell ref="A154:B154"/>
    <mergeCell ref="E154:F154"/>
    <mergeCell ref="A157:B157"/>
    <mergeCell ref="E157:F157"/>
    <mergeCell ref="A156:B156"/>
    <mergeCell ref="E156:F156"/>
    <mergeCell ref="G156:J156"/>
    <mergeCell ref="K156:M156"/>
    <mergeCell ref="N156:S156"/>
    <mergeCell ref="Z153:AA153"/>
    <mergeCell ref="AB153:AQ153"/>
    <mergeCell ref="G154:J154"/>
    <mergeCell ref="K154:M154"/>
    <mergeCell ref="N154:S154"/>
    <mergeCell ref="T154:V154"/>
    <mergeCell ref="W154:Y154"/>
    <mergeCell ref="Z154:AA154"/>
    <mergeCell ref="AB154:AQ154"/>
    <mergeCell ref="G155:J155"/>
    <mergeCell ref="K155:M155"/>
    <mergeCell ref="N155:S155"/>
    <mergeCell ref="T155:V155"/>
    <mergeCell ref="W155:Y155"/>
    <mergeCell ref="Z155:AA155"/>
    <mergeCell ref="AB155:AQ155"/>
    <mergeCell ref="K157:M157"/>
    <mergeCell ref="N157:S157"/>
    <mergeCell ref="T157:V157"/>
    <mergeCell ref="W157:Y157"/>
    <mergeCell ref="Z157:AA157"/>
    <mergeCell ref="AB160:AQ160"/>
    <mergeCell ref="G161:J161"/>
    <mergeCell ref="A163:B163"/>
    <mergeCell ref="E163:F163"/>
    <mergeCell ref="A162:B162"/>
    <mergeCell ref="E162:F162"/>
    <mergeCell ref="G158:J158"/>
    <mergeCell ref="K158:M158"/>
    <mergeCell ref="N158:S158"/>
    <mergeCell ref="T158:V158"/>
    <mergeCell ref="W158:Y158"/>
    <mergeCell ref="Z158:AA158"/>
    <mergeCell ref="AB158:AQ158"/>
    <mergeCell ref="G159:J159"/>
    <mergeCell ref="K159:M159"/>
    <mergeCell ref="N159:S159"/>
    <mergeCell ref="T159:V159"/>
    <mergeCell ref="W159:Y159"/>
    <mergeCell ref="Z163:AA163"/>
    <mergeCell ref="AB163:AQ163"/>
    <mergeCell ref="AB162:AQ162"/>
    <mergeCell ref="G163:J163"/>
    <mergeCell ref="K163:M163"/>
    <mergeCell ref="N163:S163"/>
    <mergeCell ref="T163:V163"/>
    <mergeCell ref="W163:Y163"/>
    <mergeCell ref="W165:Y165"/>
    <mergeCell ref="A159:B159"/>
    <mergeCell ref="E159:F159"/>
    <mergeCell ref="A158:B158"/>
    <mergeCell ref="E158:F158"/>
    <mergeCell ref="A161:B161"/>
    <mergeCell ref="E161:F161"/>
    <mergeCell ref="A160:B160"/>
    <mergeCell ref="E160:F160"/>
    <mergeCell ref="G160:J160"/>
    <mergeCell ref="K160:M160"/>
    <mergeCell ref="N160:S160"/>
    <mergeCell ref="T160:V160"/>
    <mergeCell ref="W160:Y160"/>
    <mergeCell ref="T168:V168"/>
    <mergeCell ref="W168:Y168"/>
    <mergeCell ref="Z160:AA160"/>
    <mergeCell ref="W171:Y171"/>
    <mergeCell ref="Z171:AA171"/>
    <mergeCell ref="AB171:AQ171"/>
    <mergeCell ref="A165:B165"/>
    <mergeCell ref="E165:F165"/>
    <mergeCell ref="A164:B164"/>
    <mergeCell ref="E164:F164"/>
    <mergeCell ref="G164:J164"/>
    <mergeCell ref="K164:M164"/>
    <mergeCell ref="N164:S164"/>
    <mergeCell ref="T164:V164"/>
    <mergeCell ref="W164:Y164"/>
    <mergeCell ref="Z164:AA164"/>
    <mergeCell ref="AB164:AQ164"/>
    <mergeCell ref="G165:J165"/>
    <mergeCell ref="A167:B167"/>
    <mergeCell ref="E167:F167"/>
    <mergeCell ref="A166:B166"/>
    <mergeCell ref="E166:F166"/>
    <mergeCell ref="A169:B169"/>
    <mergeCell ref="E169:F169"/>
    <mergeCell ref="A168:B168"/>
    <mergeCell ref="E168:F168"/>
    <mergeCell ref="G168:J168"/>
    <mergeCell ref="K168:M168"/>
    <mergeCell ref="N168:S168"/>
    <mergeCell ref="Z168:AA168"/>
    <mergeCell ref="AB168:AQ168"/>
    <mergeCell ref="G169:J169"/>
    <mergeCell ref="K165:M165"/>
    <mergeCell ref="N165:S165"/>
    <mergeCell ref="T165:V165"/>
    <mergeCell ref="AB180:AQ180"/>
    <mergeCell ref="E178:F178"/>
    <mergeCell ref="E179:F179"/>
    <mergeCell ref="A171:B171"/>
    <mergeCell ref="E171:F171"/>
    <mergeCell ref="A170:B170"/>
    <mergeCell ref="E170:F170"/>
    <mergeCell ref="A173:B173"/>
    <mergeCell ref="E173:F173"/>
    <mergeCell ref="A172:B172"/>
    <mergeCell ref="E172:F172"/>
    <mergeCell ref="G172:J172"/>
    <mergeCell ref="K172:M172"/>
    <mergeCell ref="N172:S172"/>
    <mergeCell ref="T172:V172"/>
    <mergeCell ref="W172:Y172"/>
    <mergeCell ref="Z172:AA172"/>
    <mergeCell ref="AB172:AQ172"/>
    <mergeCell ref="G173:J173"/>
    <mergeCell ref="A174:B174"/>
    <mergeCell ref="E174:F174"/>
    <mergeCell ref="G170:J170"/>
    <mergeCell ref="K170:M170"/>
    <mergeCell ref="N170:S170"/>
    <mergeCell ref="T170:V170"/>
    <mergeCell ref="W170:Y170"/>
    <mergeCell ref="Z170:AA170"/>
    <mergeCell ref="AB170:AQ170"/>
    <mergeCell ref="G171:J171"/>
    <mergeCell ref="K171:M171"/>
    <mergeCell ref="N171:S171"/>
    <mergeCell ref="T171:V171"/>
    <mergeCell ref="A187:B187"/>
    <mergeCell ref="E187:F187"/>
    <mergeCell ref="C187:D187"/>
    <mergeCell ref="G187:J187"/>
    <mergeCell ref="K187:M187"/>
    <mergeCell ref="N187:S187"/>
    <mergeCell ref="T187:V187"/>
    <mergeCell ref="W187:Y187"/>
    <mergeCell ref="Z187:AA187"/>
    <mergeCell ref="AB187:AQ187"/>
    <mergeCell ref="AF185:AG185"/>
    <mergeCell ref="AI185:AK185"/>
    <mergeCell ref="AL185:AM185"/>
    <mergeCell ref="AN185:AO185"/>
    <mergeCell ref="AP185:AQ185"/>
    <mergeCell ref="A186:AQ186"/>
    <mergeCell ref="W178:Y178"/>
    <mergeCell ref="Z178:AA178"/>
    <mergeCell ref="AB178:AQ178"/>
    <mergeCell ref="A179:B179"/>
    <mergeCell ref="G179:J179"/>
    <mergeCell ref="K179:M179"/>
    <mergeCell ref="N179:S179"/>
    <mergeCell ref="A184:F184"/>
    <mergeCell ref="G184:H184"/>
    <mergeCell ref="I184:N184"/>
    <mergeCell ref="O184:P184"/>
    <mergeCell ref="Q184:V184"/>
    <mergeCell ref="W184:X184"/>
    <mergeCell ref="Y184:AD184"/>
    <mergeCell ref="AE184:AF184"/>
    <mergeCell ref="AG184:AQ184"/>
    <mergeCell ref="A189:B189"/>
    <mergeCell ref="E189:F189"/>
    <mergeCell ref="W188:Y188"/>
    <mergeCell ref="Z188:AA188"/>
    <mergeCell ref="AB188:AQ188"/>
    <mergeCell ref="A192:B192"/>
    <mergeCell ref="E192:F192"/>
    <mergeCell ref="A191:B191"/>
    <mergeCell ref="E191:F191"/>
    <mergeCell ref="G191:J191"/>
    <mergeCell ref="K191:M191"/>
    <mergeCell ref="N191:S191"/>
    <mergeCell ref="T191:V191"/>
    <mergeCell ref="W191:Y191"/>
    <mergeCell ref="Z191:AA191"/>
    <mergeCell ref="AB191:AQ191"/>
    <mergeCell ref="G192:J192"/>
    <mergeCell ref="G189:J189"/>
    <mergeCell ref="K189:M189"/>
    <mergeCell ref="N189:S189"/>
    <mergeCell ref="T189:V189"/>
    <mergeCell ref="W189:Y189"/>
    <mergeCell ref="Z189:AA189"/>
    <mergeCell ref="AB189:AQ189"/>
    <mergeCell ref="G190:J190"/>
    <mergeCell ref="K190:M190"/>
    <mergeCell ref="N190:S190"/>
    <mergeCell ref="T190:V190"/>
    <mergeCell ref="W190:Y190"/>
    <mergeCell ref="Z190:AA190"/>
    <mergeCell ref="AB190:AQ190"/>
    <mergeCell ref="A194:B194"/>
    <mergeCell ref="E194:F194"/>
    <mergeCell ref="A193:B193"/>
    <mergeCell ref="E193:F193"/>
    <mergeCell ref="K192:M192"/>
    <mergeCell ref="N192:S192"/>
    <mergeCell ref="T192:V192"/>
    <mergeCell ref="W192:Y192"/>
    <mergeCell ref="Z192:AA192"/>
    <mergeCell ref="AB192:AQ192"/>
    <mergeCell ref="G193:J193"/>
    <mergeCell ref="K193:M193"/>
    <mergeCell ref="N193:S193"/>
    <mergeCell ref="T193:V193"/>
    <mergeCell ref="W193:Y193"/>
    <mergeCell ref="Z193:AA193"/>
    <mergeCell ref="A190:B190"/>
    <mergeCell ref="E190:F190"/>
    <mergeCell ref="T194:V194"/>
    <mergeCell ref="W194:Y194"/>
    <mergeCell ref="Z194:AA194"/>
    <mergeCell ref="AB194:AQ194"/>
    <mergeCell ref="A196:B196"/>
    <mergeCell ref="E196:F196"/>
    <mergeCell ref="A195:B195"/>
    <mergeCell ref="E195:F195"/>
    <mergeCell ref="G195:J195"/>
    <mergeCell ref="K195:M195"/>
    <mergeCell ref="N195:S195"/>
    <mergeCell ref="T195:V195"/>
    <mergeCell ref="W195:Y195"/>
    <mergeCell ref="Z195:AA195"/>
    <mergeCell ref="AB195:AQ195"/>
    <mergeCell ref="G196:J196"/>
    <mergeCell ref="AB193:AQ193"/>
    <mergeCell ref="G194:J194"/>
    <mergeCell ref="K194:M194"/>
    <mergeCell ref="N194:S194"/>
    <mergeCell ref="A198:B198"/>
    <mergeCell ref="E198:F198"/>
    <mergeCell ref="A197:B197"/>
    <mergeCell ref="E197:F197"/>
    <mergeCell ref="K196:M196"/>
    <mergeCell ref="N196:S196"/>
    <mergeCell ref="T196:V196"/>
    <mergeCell ref="W196:Y196"/>
    <mergeCell ref="Z196:AA196"/>
    <mergeCell ref="AB196:AQ196"/>
    <mergeCell ref="G197:J197"/>
    <mergeCell ref="K197:M197"/>
    <mergeCell ref="N197:S197"/>
    <mergeCell ref="T197:V197"/>
    <mergeCell ref="W197:Y197"/>
    <mergeCell ref="Z197:AA197"/>
    <mergeCell ref="A200:B200"/>
    <mergeCell ref="E200:F200"/>
    <mergeCell ref="A199:B199"/>
    <mergeCell ref="E199:F199"/>
    <mergeCell ref="G199:J199"/>
    <mergeCell ref="K199:M199"/>
    <mergeCell ref="N199:S199"/>
    <mergeCell ref="T199:V199"/>
    <mergeCell ref="W199:Y199"/>
    <mergeCell ref="Z199:AA199"/>
    <mergeCell ref="AB199:AQ199"/>
    <mergeCell ref="G200:J200"/>
    <mergeCell ref="G198:J198"/>
    <mergeCell ref="K198:M198"/>
    <mergeCell ref="N198:S198"/>
    <mergeCell ref="T198:V198"/>
    <mergeCell ref="W198:Y198"/>
    <mergeCell ref="Z198:AA198"/>
    <mergeCell ref="AB198:AQ198"/>
    <mergeCell ref="K200:M200"/>
    <mergeCell ref="N200:S200"/>
    <mergeCell ref="T200:V200"/>
    <mergeCell ref="W200:Y200"/>
    <mergeCell ref="Z200:AA200"/>
    <mergeCell ref="AB200:AQ200"/>
    <mergeCell ref="A202:B202"/>
    <mergeCell ref="E202:F202"/>
    <mergeCell ref="A201:B201"/>
    <mergeCell ref="E201:F201"/>
    <mergeCell ref="A204:B204"/>
    <mergeCell ref="E204:F204"/>
    <mergeCell ref="A203:B203"/>
    <mergeCell ref="E203:F203"/>
    <mergeCell ref="G203:J203"/>
    <mergeCell ref="K203:M203"/>
    <mergeCell ref="N203:S203"/>
    <mergeCell ref="T203:V203"/>
    <mergeCell ref="W203:Y203"/>
    <mergeCell ref="Z203:AA203"/>
    <mergeCell ref="AB203:AQ203"/>
    <mergeCell ref="G204:J204"/>
    <mergeCell ref="A206:B206"/>
    <mergeCell ref="E206:F206"/>
    <mergeCell ref="A205:B205"/>
    <mergeCell ref="E205:F205"/>
    <mergeCell ref="K204:M204"/>
    <mergeCell ref="N204:S204"/>
    <mergeCell ref="T204:V204"/>
    <mergeCell ref="W204:Y204"/>
    <mergeCell ref="Z204:AA204"/>
    <mergeCell ref="AB204:AQ204"/>
    <mergeCell ref="G205:J205"/>
    <mergeCell ref="K205:M205"/>
    <mergeCell ref="N205:S205"/>
    <mergeCell ref="T205:V205"/>
    <mergeCell ref="W205:Y205"/>
    <mergeCell ref="Z205:AA205"/>
    <mergeCell ref="A207:B207"/>
    <mergeCell ref="E207:F207"/>
    <mergeCell ref="G207:J207"/>
    <mergeCell ref="K207:M207"/>
    <mergeCell ref="N207:S207"/>
    <mergeCell ref="T207:V207"/>
    <mergeCell ref="W207:Y207"/>
    <mergeCell ref="Z207:AA207"/>
    <mergeCell ref="AB207:AQ207"/>
    <mergeCell ref="G208:J208"/>
    <mergeCell ref="A210:B210"/>
    <mergeCell ref="E210:F210"/>
    <mergeCell ref="A209:B209"/>
    <mergeCell ref="E209:F209"/>
    <mergeCell ref="A212:B212"/>
    <mergeCell ref="E212:F212"/>
    <mergeCell ref="A211:B211"/>
    <mergeCell ref="E211:F211"/>
    <mergeCell ref="G211:J211"/>
    <mergeCell ref="K211:M211"/>
    <mergeCell ref="N211:S211"/>
    <mergeCell ref="T211:V211"/>
    <mergeCell ref="W211:Y211"/>
    <mergeCell ref="Z211:AA211"/>
    <mergeCell ref="AB211:AQ211"/>
    <mergeCell ref="G212:J212"/>
    <mergeCell ref="G210:J210"/>
    <mergeCell ref="K210:M210"/>
    <mergeCell ref="N210:S210"/>
    <mergeCell ref="T210:V210"/>
    <mergeCell ref="W209:Y209"/>
    <mergeCell ref="Z209:AA209"/>
    <mergeCell ref="K216:M216"/>
    <mergeCell ref="N216:S216"/>
    <mergeCell ref="T216:V216"/>
    <mergeCell ref="W216:Y216"/>
    <mergeCell ref="Z216:AA216"/>
    <mergeCell ref="AB216:AQ216"/>
    <mergeCell ref="G217:J217"/>
    <mergeCell ref="K217:M217"/>
    <mergeCell ref="N217:S217"/>
    <mergeCell ref="T217:V217"/>
    <mergeCell ref="W217:Y217"/>
    <mergeCell ref="Z217:AA217"/>
    <mergeCell ref="G213:J213"/>
    <mergeCell ref="K213:M213"/>
    <mergeCell ref="A208:B208"/>
    <mergeCell ref="E208:F208"/>
    <mergeCell ref="AB209:AQ209"/>
    <mergeCell ref="W210:Y210"/>
    <mergeCell ref="Z210:AA210"/>
    <mergeCell ref="AB210:AQ210"/>
    <mergeCell ref="K212:M212"/>
    <mergeCell ref="N212:S212"/>
    <mergeCell ref="T212:V212"/>
    <mergeCell ref="W212:Y212"/>
    <mergeCell ref="Z212:AA212"/>
    <mergeCell ref="AB212:AQ212"/>
    <mergeCell ref="AB217:AQ217"/>
    <mergeCell ref="A214:B214"/>
    <mergeCell ref="E214:F214"/>
    <mergeCell ref="A219:B219"/>
    <mergeCell ref="E219:F219"/>
    <mergeCell ref="G219:J219"/>
    <mergeCell ref="K219:M219"/>
    <mergeCell ref="N219:S219"/>
    <mergeCell ref="T219:V219"/>
    <mergeCell ref="W219:Y219"/>
    <mergeCell ref="Z219:AA219"/>
    <mergeCell ref="AB219:AQ219"/>
    <mergeCell ref="A220:B220"/>
    <mergeCell ref="E220:F220"/>
    <mergeCell ref="G220:J220"/>
    <mergeCell ref="K220:M220"/>
    <mergeCell ref="A221:B221"/>
    <mergeCell ref="A213:B213"/>
    <mergeCell ref="E213:F213"/>
    <mergeCell ref="A216:B216"/>
    <mergeCell ref="E216:F216"/>
    <mergeCell ref="A215:B215"/>
    <mergeCell ref="E215:F215"/>
    <mergeCell ref="G215:J215"/>
    <mergeCell ref="K215:M215"/>
    <mergeCell ref="N215:S215"/>
    <mergeCell ref="T215:V215"/>
    <mergeCell ref="W215:Y215"/>
    <mergeCell ref="Z215:AA215"/>
    <mergeCell ref="AB215:AQ215"/>
    <mergeCell ref="G216:J216"/>
    <mergeCell ref="A218:B218"/>
    <mergeCell ref="E218:F218"/>
    <mergeCell ref="A217:B217"/>
    <mergeCell ref="E217:F217"/>
    <mergeCell ref="A228:B228"/>
    <mergeCell ref="E228:F228"/>
    <mergeCell ref="K228:L228"/>
    <mergeCell ref="E224:F224"/>
    <mergeCell ref="O228:P228"/>
    <mergeCell ref="T228:U228"/>
    <mergeCell ref="Z228:AA228"/>
    <mergeCell ref="AF228:AG228"/>
    <mergeCell ref="AL228:AM228"/>
    <mergeCell ref="AP228:AQ228"/>
    <mergeCell ref="A224:B224"/>
    <mergeCell ref="G224:J224"/>
    <mergeCell ref="K224:M224"/>
    <mergeCell ref="N224:S224"/>
    <mergeCell ref="T224:V224"/>
    <mergeCell ref="W224:Y224"/>
    <mergeCell ref="Z224:AA224"/>
    <mergeCell ref="AB224:AQ224"/>
    <mergeCell ref="T233:V233"/>
    <mergeCell ref="W233:Y233"/>
    <mergeCell ref="Z233:AA233"/>
    <mergeCell ref="A230:F230"/>
    <mergeCell ref="I230:N230"/>
    <mergeCell ref="O230:P230"/>
    <mergeCell ref="Q230:V230"/>
    <mergeCell ref="W230:X230"/>
    <mergeCell ref="Y230:AD230"/>
    <mergeCell ref="AE230:AF230"/>
    <mergeCell ref="A225:B225"/>
    <mergeCell ref="E225:F225"/>
    <mergeCell ref="G225:J225"/>
    <mergeCell ref="K225:M225"/>
    <mergeCell ref="N225:S225"/>
    <mergeCell ref="T225:V225"/>
    <mergeCell ref="W225:Y225"/>
    <mergeCell ref="Z225:AA225"/>
    <mergeCell ref="AB225:AQ225"/>
    <mergeCell ref="G230:H230"/>
    <mergeCell ref="AG230:AQ230"/>
    <mergeCell ref="A226:B226"/>
    <mergeCell ref="E226:F226"/>
    <mergeCell ref="G226:J226"/>
    <mergeCell ref="K226:M226"/>
    <mergeCell ref="N226:S226"/>
    <mergeCell ref="T226:V226"/>
    <mergeCell ref="W226:Y226"/>
    <mergeCell ref="Z226:AA226"/>
    <mergeCell ref="AB226:AQ226"/>
    <mergeCell ref="A227:B227"/>
    <mergeCell ref="E227:F227"/>
    <mergeCell ref="A229:F229"/>
    <mergeCell ref="A235:B235"/>
    <mergeCell ref="E235:F235"/>
    <mergeCell ref="A234:B234"/>
    <mergeCell ref="E234:F234"/>
    <mergeCell ref="AB233:AQ233"/>
    <mergeCell ref="G234:J234"/>
    <mergeCell ref="K234:M234"/>
    <mergeCell ref="N234:S234"/>
    <mergeCell ref="T234:V234"/>
    <mergeCell ref="W234:Y234"/>
    <mergeCell ref="Z234:AA234"/>
    <mergeCell ref="AB234:AQ234"/>
    <mergeCell ref="G235:J235"/>
    <mergeCell ref="K235:M235"/>
    <mergeCell ref="N235:S235"/>
    <mergeCell ref="T235:V235"/>
    <mergeCell ref="W235:Y235"/>
    <mergeCell ref="Z235:AA235"/>
    <mergeCell ref="AB235:AQ235"/>
    <mergeCell ref="AF231:AG231"/>
    <mergeCell ref="AI231:AK231"/>
    <mergeCell ref="AL231:AM231"/>
    <mergeCell ref="AN231:AO231"/>
    <mergeCell ref="AP231:AQ231"/>
    <mergeCell ref="A233:B233"/>
    <mergeCell ref="E233:F233"/>
    <mergeCell ref="A232:AQ232"/>
    <mergeCell ref="C233:D233"/>
    <mergeCell ref="G233:J233"/>
    <mergeCell ref="K233:M233"/>
    <mergeCell ref="N233:S233"/>
    <mergeCell ref="A237:B237"/>
    <mergeCell ref="E237:F237"/>
    <mergeCell ref="A236:B236"/>
    <mergeCell ref="E236:F236"/>
    <mergeCell ref="G237:J237"/>
    <mergeCell ref="K237:M237"/>
    <mergeCell ref="N237:S237"/>
    <mergeCell ref="T237:V237"/>
    <mergeCell ref="W237:Y237"/>
    <mergeCell ref="Z237:AA237"/>
    <mergeCell ref="AB237:AQ237"/>
    <mergeCell ref="A239:B239"/>
    <mergeCell ref="E239:F239"/>
    <mergeCell ref="A238:B238"/>
    <mergeCell ref="E238:F238"/>
    <mergeCell ref="G238:J238"/>
    <mergeCell ref="K238:M238"/>
    <mergeCell ref="N238:S238"/>
    <mergeCell ref="T238:V238"/>
    <mergeCell ref="W238:Y238"/>
    <mergeCell ref="Z238:AA238"/>
    <mergeCell ref="AB238:AQ238"/>
    <mergeCell ref="G239:J239"/>
    <mergeCell ref="G236:J236"/>
    <mergeCell ref="K236:M236"/>
    <mergeCell ref="N236:S236"/>
    <mergeCell ref="T236:V236"/>
    <mergeCell ref="W236:Y236"/>
    <mergeCell ref="Z236:AA236"/>
    <mergeCell ref="AB236:AQ236"/>
    <mergeCell ref="K239:M239"/>
    <mergeCell ref="N239:S239"/>
    <mergeCell ref="A241:B241"/>
    <mergeCell ref="E241:F241"/>
    <mergeCell ref="A240:B240"/>
    <mergeCell ref="E240:F240"/>
    <mergeCell ref="A243:B243"/>
    <mergeCell ref="E243:F243"/>
    <mergeCell ref="A242:B242"/>
    <mergeCell ref="E242:F242"/>
    <mergeCell ref="G242:J242"/>
    <mergeCell ref="K242:M242"/>
    <mergeCell ref="N242:S242"/>
    <mergeCell ref="T242:V242"/>
    <mergeCell ref="W242:Y242"/>
    <mergeCell ref="Z242:AA242"/>
    <mergeCell ref="AB242:AQ242"/>
    <mergeCell ref="G243:J243"/>
    <mergeCell ref="A245:B245"/>
    <mergeCell ref="E245:F245"/>
    <mergeCell ref="A244:B244"/>
    <mergeCell ref="E244:F244"/>
    <mergeCell ref="G241:J241"/>
    <mergeCell ref="K241:M241"/>
    <mergeCell ref="N241:S241"/>
    <mergeCell ref="T241:V241"/>
    <mergeCell ref="W241:Y241"/>
    <mergeCell ref="Z241:AA241"/>
    <mergeCell ref="AB241:AQ241"/>
    <mergeCell ref="K243:M243"/>
    <mergeCell ref="N243:S243"/>
    <mergeCell ref="T243:V243"/>
    <mergeCell ref="W243:Y243"/>
    <mergeCell ref="Z243:AA243"/>
    <mergeCell ref="A247:B247"/>
    <mergeCell ref="E247:F247"/>
    <mergeCell ref="A246:B246"/>
    <mergeCell ref="E246:F246"/>
    <mergeCell ref="G246:J246"/>
    <mergeCell ref="K246:M246"/>
    <mergeCell ref="N246:S246"/>
    <mergeCell ref="T246:V246"/>
    <mergeCell ref="W246:Y246"/>
    <mergeCell ref="Z246:AA246"/>
    <mergeCell ref="AB246:AQ246"/>
    <mergeCell ref="G247:J247"/>
    <mergeCell ref="A249:B249"/>
    <mergeCell ref="E249:F249"/>
    <mergeCell ref="A248:B248"/>
    <mergeCell ref="E248:F248"/>
    <mergeCell ref="A251:B251"/>
    <mergeCell ref="E251:F251"/>
    <mergeCell ref="A250:B250"/>
    <mergeCell ref="E250:F250"/>
    <mergeCell ref="G250:J250"/>
    <mergeCell ref="K250:M250"/>
    <mergeCell ref="N250:S250"/>
    <mergeCell ref="T250:V250"/>
    <mergeCell ref="W250:Y250"/>
    <mergeCell ref="Z250:AA250"/>
    <mergeCell ref="AB250:AQ250"/>
    <mergeCell ref="G251:J251"/>
    <mergeCell ref="G248:J248"/>
    <mergeCell ref="K248:M248"/>
    <mergeCell ref="N248:S248"/>
    <mergeCell ref="T248:V248"/>
    <mergeCell ref="A253:B253"/>
    <mergeCell ref="E253:F253"/>
    <mergeCell ref="A252:B252"/>
    <mergeCell ref="E252:F252"/>
    <mergeCell ref="A255:B255"/>
    <mergeCell ref="E255:F255"/>
    <mergeCell ref="A254:B254"/>
    <mergeCell ref="E254:F254"/>
    <mergeCell ref="G254:J254"/>
    <mergeCell ref="K254:M254"/>
    <mergeCell ref="N254:S254"/>
    <mergeCell ref="T254:V254"/>
    <mergeCell ref="W254:Y254"/>
    <mergeCell ref="Z254:AA254"/>
    <mergeCell ref="AB254:AQ254"/>
    <mergeCell ref="G255:J255"/>
    <mergeCell ref="A257:B257"/>
    <mergeCell ref="E257:F257"/>
    <mergeCell ref="A256:B256"/>
    <mergeCell ref="E256:F256"/>
    <mergeCell ref="G253:J253"/>
    <mergeCell ref="K253:M253"/>
    <mergeCell ref="N253:S253"/>
    <mergeCell ref="T253:V253"/>
    <mergeCell ref="W253:Y253"/>
    <mergeCell ref="Z253:AA253"/>
    <mergeCell ref="AB253:AQ253"/>
    <mergeCell ref="K255:M255"/>
    <mergeCell ref="N255:S255"/>
    <mergeCell ref="T255:V255"/>
    <mergeCell ref="W255:Y255"/>
    <mergeCell ref="Z255:AA255"/>
    <mergeCell ref="T258:V258"/>
    <mergeCell ref="W258:Y258"/>
    <mergeCell ref="Z258:AA258"/>
    <mergeCell ref="AB258:AQ258"/>
    <mergeCell ref="G259:J259"/>
    <mergeCell ref="A261:B261"/>
    <mergeCell ref="E261:F261"/>
    <mergeCell ref="A260:B260"/>
    <mergeCell ref="E260:F260"/>
    <mergeCell ref="A263:B263"/>
    <mergeCell ref="E263:F263"/>
    <mergeCell ref="A262:B262"/>
    <mergeCell ref="E262:F262"/>
    <mergeCell ref="G262:J262"/>
    <mergeCell ref="K262:M262"/>
    <mergeCell ref="N262:S262"/>
    <mergeCell ref="T262:V262"/>
    <mergeCell ref="W262:Y262"/>
    <mergeCell ref="Z262:AA262"/>
    <mergeCell ref="AB262:AQ262"/>
    <mergeCell ref="G263:J263"/>
    <mergeCell ref="G260:J260"/>
    <mergeCell ref="K260:M260"/>
    <mergeCell ref="N260:S260"/>
    <mergeCell ref="T260:V260"/>
    <mergeCell ref="A259:B259"/>
    <mergeCell ref="E259:F259"/>
    <mergeCell ref="A258:B258"/>
    <mergeCell ref="E258:F258"/>
    <mergeCell ref="G258:J258"/>
    <mergeCell ref="K258:M258"/>
    <mergeCell ref="N258:S258"/>
    <mergeCell ref="AB273:AQ273"/>
    <mergeCell ref="O274:P274"/>
    <mergeCell ref="T274:U274"/>
    <mergeCell ref="Z274:AA274"/>
    <mergeCell ref="AF274:AG274"/>
    <mergeCell ref="AL274:AM274"/>
    <mergeCell ref="AP274:AQ274"/>
    <mergeCell ref="AB272:AQ272"/>
    <mergeCell ref="A273:B273"/>
    <mergeCell ref="T267:V267"/>
    <mergeCell ref="W267:Y267"/>
    <mergeCell ref="Z267:AA267"/>
    <mergeCell ref="AB267:AQ267"/>
    <mergeCell ref="A268:B268"/>
    <mergeCell ref="G268:J268"/>
    <mergeCell ref="K268:M268"/>
    <mergeCell ref="N268:S268"/>
    <mergeCell ref="T268:V268"/>
    <mergeCell ref="W268:Y268"/>
    <mergeCell ref="A271:B271"/>
    <mergeCell ref="E271:F271"/>
    <mergeCell ref="G271:J271"/>
    <mergeCell ref="K271:M271"/>
    <mergeCell ref="N271:S271"/>
    <mergeCell ref="T271:V271"/>
    <mergeCell ref="W271:Y271"/>
    <mergeCell ref="Z271:AA271"/>
    <mergeCell ref="AB271:AQ271"/>
    <mergeCell ref="E268:F268"/>
    <mergeCell ref="E269:F269"/>
    <mergeCell ref="A267:B267"/>
    <mergeCell ref="E267:F267"/>
    <mergeCell ref="A272:B272"/>
    <mergeCell ref="E272:F272"/>
    <mergeCell ref="G272:J272"/>
    <mergeCell ref="K272:M272"/>
    <mergeCell ref="N272:S272"/>
    <mergeCell ref="T272:V272"/>
    <mergeCell ref="A274:B274"/>
    <mergeCell ref="E274:F274"/>
    <mergeCell ref="K274:L274"/>
    <mergeCell ref="E273:F273"/>
    <mergeCell ref="G273:J273"/>
    <mergeCell ref="K273:M273"/>
    <mergeCell ref="N273:S273"/>
    <mergeCell ref="T273:V273"/>
    <mergeCell ref="W273:Y273"/>
    <mergeCell ref="Z273:AA273"/>
    <mergeCell ref="G267:J267"/>
    <mergeCell ref="K267:M267"/>
    <mergeCell ref="A270:B270"/>
    <mergeCell ref="E270:F270"/>
    <mergeCell ref="G270:J270"/>
    <mergeCell ref="K270:M270"/>
    <mergeCell ref="N270:S270"/>
    <mergeCell ref="T270:V270"/>
    <mergeCell ref="Z4:AA4"/>
    <mergeCell ref="AB3:AQ3"/>
    <mergeCell ref="G3:J3"/>
    <mergeCell ref="K3:M3"/>
    <mergeCell ref="A3:B3"/>
    <mergeCell ref="C3:D3"/>
    <mergeCell ref="E3:F3"/>
    <mergeCell ref="T4:V4"/>
    <mergeCell ref="W4:Y4"/>
    <mergeCell ref="AB7:AQ7"/>
    <mergeCell ref="G8:J8"/>
    <mergeCell ref="K8:M8"/>
    <mergeCell ref="N8:S8"/>
    <mergeCell ref="T8:V8"/>
    <mergeCell ref="W8:Y8"/>
    <mergeCell ref="Z8:AA8"/>
    <mergeCell ref="AB8:AQ8"/>
    <mergeCell ref="G7:J7"/>
    <mergeCell ref="K7:M7"/>
    <mergeCell ref="N7:S7"/>
    <mergeCell ref="T7:V7"/>
    <mergeCell ref="W7:Y7"/>
    <mergeCell ref="Z7:AA7"/>
    <mergeCell ref="AB5:AQ5"/>
    <mergeCell ref="G6:J6"/>
    <mergeCell ref="K6:M6"/>
    <mergeCell ref="AB6:AQ6"/>
    <mergeCell ref="G5:J5"/>
    <mergeCell ref="K5:M5"/>
    <mergeCell ref="N5:S5"/>
    <mergeCell ref="T5:V5"/>
    <mergeCell ref="W5:Y5"/>
    <mergeCell ref="Z5:AA5"/>
    <mergeCell ref="T10:V10"/>
    <mergeCell ref="W10:Y10"/>
    <mergeCell ref="Z10:AA10"/>
    <mergeCell ref="G9:J9"/>
    <mergeCell ref="K9:M9"/>
    <mergeCell ref="N9:S9"/>
    <mergeCell ref="T9:V9"/>
    <mergeCell ref="W9:Y9"/>
    <mergeCell ref="Z9:AA9"/>
    <mergeCell ref="AB9:AQ9"/>
    <mergeCell ref="N6:S6"/>
    <mergeCell ref="T6:V6"/>
    <mergeCell ref="W6:Y6"/>
    <mergeCell ref="Z6:AA6"/>
    <mergeCell ref="G14:J14"/>
    <mergeCell ref="K14:M14"/>
    <mergeCell ref="N14:S14"/>
    <mergeCell ref="T14:V14"/>
    <mergeCell ref="W14:Y14"/>
    <mergeCell ref="Z14:AA14"/>
    <mergeCell ref="AB14:AQ14"/>
    <mergeCell ref="G13:J13"/>
    <mergeCell ref="K13:M13"/>
    <mergeCell ref="N13:S13"/>
    <mergeCell ref="T13:V13"/>
    <mergeCell ref="W13:Y13"/>
    <mergeCell ref="Z13:AA13"/>
    <mergeCell ref="AB13:AQ13"/>
    <mergeCell ref="K12:M12"/>
    <mergeCell ref="N12:S12"/>
    <mergeCell ref="T12:V12"/>
    <mergeCell ref="G18:J18"/>
    <mergeCell ref="K18:M18"/>
    <mergeCell ref="N18:S18"/>
    <mergeCell ref="T18:V18"/>
    <mergeCell ref="W18:Y18"/>
    <mergeCell ref="Z18:AA18"/>
    <mergeCell ref="AB18:AQ18"/>
    <mergeCell ref="W12:Y12"/>
    <mergeCell ref="Z12:AA12"/>
    <mergeCell ref="AB16:AQ16"/>
    <mergeCell ref="G17:J17"/>
    <mergeCell ref="K17:M17"/>
    <mergeCell ref="N17:S17"/>
    <mergeCell ref="T17:V17"/>
    <mergeCell ref="W17:Y17"/>
    <mergeCell ref="Z17:AA17"/>
    <mergeCell ref="AB17:AQ17"/>
    <mergeCell ref="G16:J16"/>
    <mergeCell ref="K16:M16"/>
    <mergeCell ref="N16:S16"/>
    <mergeCell ref="T16:V16"/>
    <mergeCell ref="W16:Y16"/>
    <mergeCell ref="Z16:AA16"/>
    <mergeCell ref="G15:J15"/>
    <mergeCell ref="K15:M15"/>
    <mergeCell ref="N15:S15"/>
    <mergeCell ref="T15:V15"/>
    <mergeCell ref="W15:Y15"/>
    <mergeCell ref="Z15:AA15"/>
    <mergeCell ref="G21:J21"/>
    <mergeCell ref="K21:M21"/>
    <mergeCell ref="N21:S21"/>
    <mergeCell ref="T21:V21"/>
    <mergeCell ref="W21:Y21"/>
    <mergeCell ref="Z21:AA21"/>
    <mergeCell ref="AB21:AQ21"/>
    <mergeCell ref="AB19:AQ19"/>
    <mergeCell ref="G20:J20"/>
    <mergeCell ref="K20:M20"/>
    <mergeCell ref="N20:S20"/>
    <mergeCell ref="T20:V20"/>
    <mergeCell ref="W20:Y20"/>
    <mergeCell ref="Z20:AA20"/>
    <mergeCell ref="AB20:AQ20"/>
    <mergeCell ref="G19:J19"/>
    <mergeCell ref="K19:M19"/>
    <mergeCell ref="N19:S19"/>
    <mergeCell ref="T19:V19"/>
    <mergeCell ref="W19:Y19"/>
    <mergeCell ref="Z19:AA19"/>
    <mergeCell ref="W27:Y27"/>
    <mergeCell ref="Z27:AA27"/>
    <mergeCell ref="AB25:AQ25"/>
    <mergeCell ref="G26:J26"/>
    <mergeCell ref="K26:M26"/>
    <mergeCell ref="N26:S26"/>
    <mergeCell ref="T26:V26"/>
    <mergeCell ref="AB22:AQ22"/>
    <mergeCell ref="G23:J23"/>
    <mergeCell ref="K23:M23"/>
    <mergeCell ref="N23:S23"/>
    <mergeCell ref="T23:V23"/>
    <mergeCell ref="W23:Y23"/>
    <mergeCell ref="Z23:AA23"/>
    <mergeCell ref="AB23:AQ23"/>
    <mergeCell ref="G22:J22"/>
    <mergeCell ref="K22:M22"/>
    <mergeCell ref="N22:S22"/>
    <mergeCell ref="T22:V22"/>
    <mergeCell ref="W22:Y22"/>
    <mergeCell ref="Z22:AA22"/>
    <mergeCell ref="AB38:AQ38"/>
    <mergeCell ref="G37:J37"/>
    <mergeCell ref="K37:M37"/>
    <mergeCell ref="N37:S37"/>
    <mergeCell ref="T37:V37"/>
    <mergeCell ref="W37:Y37"/>
    <mergeCell ref="Z37:AA37"/>
    <mergeCell ref="G36:J36"/>
    <mergeCell ref="K36:M36"/>
    <mergeCell ref="N36:S36"/>
    <mergeCell ref="T36:V36"/>
    <mergeCell ref="W36:Y36"/>
    <mergeCell ref="Z36:AA36"/>
    <mergeCell ref="G24:J24"/>
    <mergeCell ref="K24:M24"/>
    <mergeCell ref="N24:S24"/>
    <mergeCell ref="T24:V24"/>
    <mergeCell ref="W24:Y24"/>
    <mergeCell ref="Z24:AA24"/>
    <mergeCell ref="AB24:AQ24"/>
    <mergeCell ref="AB28:AQ28"/>
    <mergeCell ref="G29:J29"/>
    <mergeCell ref="K29:M29"/>
    <mergeCell ref="N29:S29"/>
    <mergeCell ref="T29:V29"/>
    <mergeCell ref="W29:Y29"/>
    <mergeCell ref="Z29:AA29"/>
    <mergeCell ref="AB29:AQ29"/>
    <mergeCell ref="G28:J28"/>
    <mergeCell ref="K28:M28"/>
    <mergeCell ref="N28:S28"/>
    <mergeCell ref="T28:V28"/>
    <mergeCell ref="E43:F43"/>
    <mergeCell ref="G43:J43"/>
    <mergeCell ref="K43:M43"/>
    <mergeCell ref="N43:S43"/>
    <mergeCell ref="T43:V43"/>
    <mergeCell ref="G30:J30"/>
    <mergeCell ref="K30:M30"/>
    <mergeCell ref="N30:S30"/>
    <mergeCell ref="T30:V30"/>
    <mergeCell ref="W30:Y30"/>
    <mergeCell ref="Z30:AA30"/>
    <mergeCell ref="G33:J33"/>
    <mergeCell ref="K33:M33"/>
    <mergeCell ref="N33:S33"/>
    <mergeCell ref="T33:V33"/>
    <mergeCell ref="W33:Y33"/>
    <mergeCell ref="Z33:AA33"/>
    <mergeCell ref="Z35:AA35"/>
    <mergeCell ref="W32:Y32"/>
    <mergeCell ref="Z32:AA32"/>
    <mergeCell ref="G32:J32"/>
    <mergeCell ref="K32:M32"/>
    <mergeCell ref="N32:S32"/>
    <mergeCell ref="T32:V32"/>
    <mergeCell ref="G38:J38"/>
    <mergeCell ref="K38:M38"/>
    <mergeCell ref="N38:S38"/>
    <mergeCell ref="T38:V38"/>
    <mergeCell ref="W38:Y38"/>
    <mergeCell ref="Z38:AA38"/>
    <mergeCell ref="Z44:AA44"/>
    <mergeCell ref="AF44:AG44"/>
    <mergeCell ref="A42:B42"/>
    <mergeCell ref="G42:J42"/>
    <mergeCell ref="K42:M42"/>
    <mergeCell ref="N42:S42"/>
    <mergeCell ref="T42:V42"/>
    <mergeCell ref="W42:Y42"/>
    <mergeCell ref="Z42:AA42"/>
    <mergeCell ref="AB42:AQ42"/>
    <mergeCell ref="E42:F42"/>
    <mergeCell ref="AL44:AM44"/>
    <mergeCell ref="AB39:AQ39"/>
    <mergeCell ref="A40:B40"/>
    <mergeCell ref="G40:J40"/>
    <mergeCell ref="K40:M40"/>
    <mergeCell ref="N40:S40"/>
    <mergeCell ref="T40:V40"/>
    <mergeCell ref="W40:Y40"/>
    <mergeCell ref="Z40:AA40"/>
    <mergeCell ref="A39:B39"/>
    <mergeCell ref="E39:F39"/>
    <mergeCell ref="G39:J39"/>
    <mergeCell ref="K39:M39"/>
    <mergeCell ref="N39:S39"/>
    <mergeCell ref="T39:V39"/>
    <mergeCell ref="AB40:AQ40"/>
    <mergeCell ref="E40:F40"/>
    <mergeCell ref="W43:Y43"/>
    <mergeCell ref="Z43:AA43"/>
    <mergeCell ref="AB43:AQ43"/>
    <mergeCell ref="A43:B43"/>
    <mergeCell ref="A1:AD2"/>
    <mergeCell ref="BE2:CF2"/>
    <mergeCell ref="A82:B82"/>
    <mergeCell ref="A48:AQ48"/>
    <mergeCell ref="A49:B49"/>
    <mergeCell ref="C49:D49"/>
    <mergeCell ref="E49:F49"/>
    <mergeCell ref="AE46:AF46"/>
    <mergeCell ref="AG46:AQ46"/>
    <mergeCell ref="AF47:AG47"/>
    <mergeCell ref="AI47:AK47"/>
    <mergeCell ref="AL47:AM47"/>
    <mergeCell ref="AN47:AO47"/>
    <mergeCell ref="AP47:AQ47"/>
    <mergeCell ref="A44:B44"/>
    <mergeCell ref="A81:B81"/>
    <mergeCell ref="E81:F81"/>
    <mergeCell ref="A80:B80"/>
    <mergeCell ref="E80:F80"/>
    <mergeCell ref="G80:J80"/>
    <mergeCell ref="K80:M80"/>
    <mergeCell ref="N80:S80"/>
    <mergeCell ref="T80:V80"/>
    <mergeCell ref="W80:Y80"/>
    <mergeCell ref="Z80:AA80"/>
    <mergeCell ref="AB80:AQ80"/>
    <mergeCell ref="G81:J81"/>
    <mergeCell ref="AP44:AQ44"/>
    <mergeCell ref="O44:P44"/>
    <mergeCell ref="E44:F44"/>
    <mergeCell ref="K44:L44"/>
    <mergeCell ref="T44:U44"/>
  </mergeCells>
  <phoneticPr fontId="4"/>
  <conditionalFormatting sqref="A44:AQ46">
    <cfRule type="expression" dxfId="31" priority="77">
      <formula>$O$90&gt;0</formula>
    </cfRule>
  </conditionalFormatting>
  <conditionalFormatting sqref="A47:AQ92 AQ234:AQ273 AB142:AQ181 AB96:AQ135 AB188:AB227 AC189:AQ227">
    <cfRule type="expression" dxfId="30" priority="76">
      <formula>$O$90=0</formula>
    </cfRule>
  </conditionalFormatting>
  <conditionalFormatting sqref="A90:AQ92">
    <cfRule type="expression" dxfId="29" priority="75">
      <formula>$O$136&gt;0</formula>
    </cfRule>
  </conditionalFormatting>
  <conditionalFormatting sqref="AB234:AQ273 AB142:AQ181 A93:AQ138 AB188:AB227 AC189:AQ227">
    <cfRule type="expression" dxfId="28" priority="74">
      <formula>$O$136=0</formula>
    </cfRule>
  </conditionalFormatting>
  <conditionalFormatting sqref="A136:AQ138">
    <cfRule type="expression" dxfId="27" priority="73">
      <formula>$O$182&gt;0</formula>
    </cfRule>
  </conditionalFormatting>
  <conditionalFormatting sqref="A139:AQ184 AB234:AQ273 AB188:AB227 AC189:AQ227">
    <cfRule type="expression" dxfId="26" priority="72">
      <formula>$O$182=0</formula>
    </cfRule>
  </conditionalFormatting>
  <conditionalFormatting sqref="A182:AQ184">
    <cfRule type="expression" dxfId="25" priority="71">
      <formula>$O$228&gt;0</formula>
    </cfRule>
  </conditionalFormatting>
  <conditionalFormatting sqref="AB234:AQ273 AC189:AQ230 AC185:AQ187 A185:W230 Z185:AB230 X185:Y187 X189:Y230">
    <cfRule type="expression" dxfId="24" priority="70">
      <formula>$O$228=0</formula>
    </cfRule>
  </conditionalFormatting>
  <conditionalFormatting sqref="A228:AQ230">
    <cfRule type="expression" dxfId="23" priority="69">
      <formula>$O$274&gt;0</formula>
    </cfRule>
  </conditionalFormatting>
  <conditionalFormatting sqref="A231:AQ276">
    <cfRule type="expression" dxfId="22" priority="68">
      <formula>$O$274=0</formula>
    </cfRule>
  </conditionalFormatting>
  <conditionalFormatting sqref="AR4:AR43 AR50:AR89 AR96:AR135 AR142:AR181 AR188:AR227 AR234:AR303">
    <cfRule type="expression" dxfId="21" priority="67">
      <formula>$AS4&gt;1</formula>
    </cfRule>
  </conditionalFormatting>
  <conditionalFormatting sqref="AR4:AR43 AR50:AR89 AR96:AR135 AR142:AR181 AR188:AR227 AR234:AR303">
    <cfRule type="expression" dxfId="20" priority="66">
      <formula>$AS4=1</formula>
    </cfRule>
  </conditionalFormatting>
  <conditionalFormatting sqref="C50:AB50 AB50:AQ89 AC44:AQ46 AB142:AQ181 AB234:AQ273 AB19:AB46 AB3:AD3 AE1:AQ3 A1 A3:AA46 AB96:AQ135 AB188:AB227 AC189:AQ227">
    <cfRule type="expression" dxfId="19" priority="65">
      <formula>$O$44=""</formula>
    </cfRule>
  </conditionalFormatting>
  <printOptions horizontalCentered="1" verticalCentered="1"/>
  <pageMargins left="0.19685039370078741" right="0.19685039370078741" top="0.19685039370078741" bottom="0.19685039370078741" header="0" footer="0"/>
  <pageSetup paperSize="9" scale="80" orientation="portrait" horizontalDpi="4294967293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C56"/>
  <sheetViews>
    <sheetView topLeftCell="A2" workbookViewId="0">
      <selection activeCell="C28" sqref="C28"/>
    </sheetView>
  </sheetViews>
  <sheetFormatPr defaultRowHeight="13.5"/>
  <sheetData>
    <row r="1" spans="1:3">
      <c r="B1" t="s">
        <v>195</v>
      </c>
      <c r="C1" t="s">
        <v>196</v>
      </c>
    </row>
    <row r="2" spans="1:3">
      <c r="A2">
        <v>1</v>
      </c>
      <c r="B2" t="str">
        <f>IF(精算表!B21="","",精算表!B21)</f>
        <v>a</v>
      </c>
      <c r="C2">
        <f>IF(精算表!B21="","",精算表!Z21)</f>
        <v>0</v>
      </c>
    </row>
    <row r="3" spans="1:3">
      <c r="A3">
        <v>2</v>
      </c>
      <c r="B3" t="str">
        <f>IF(精算表!B22="","",精算表!B22)</f>
        <v/>
      </c>
      <c r="C3" t="str">
        <f>IF(精算表!B22="","",精算表!Z22)</f>
        <v/>
      </c>
    </row>
    <row r="4" spans="1:3">
      <c r="A4">
        <v>3</v>
      </c>
      <c r="B4" t="str">
        <f>IF(精算表!B23="","",精算表!B23)</f>
        <v/>
      </c>
      <c r="C4" t="str">
        <f>IF(精算表!B23="","",精算表!Z23)</f>
        <v/>
      </c>
    </row>
    <row r="5" spans="1:3">
      <c r="A5">
        <v>4</v>
      </c>
      <c r="B5" t="str">
        <f>IF(精算表!B24="","",精算表!B24)</f>
        <v/>
      </c>
      <c r="C5" t="str">
        <f>IF(精算表!B24="","",精算表!Z24)</f>
        <v/>
      </c>
    </row>
    <row r="6" spans="1:3">
      <c r="A6">
        <v>5</v>
      </c>
      <c r="B6" t="str">
        <f>IF(精算表!B25="","",精算表!B25)</f>
        <v/>
      </c>
      <c r="C6" t="str">
        <f>IF(精算表!B25="","",精算表!Z25)</f>
        <v/>
      </c>
    </row>
    <row r="7" spans="1:3">
      <c r="A7">
        <v>6</v>
      </c>
      <c r="B7" t="str">
        <f>IF(精算表!B26="","",精算表!B26)</f>
        <v/>
      </c>
      <c r="C7" t="str">
        <f>IF(精算表!B26="","",精算表!Z26)</f>
        <v/>
      </c>
    </row>
    <row r="8" spans="1:3">
      <c r="A8">
        <v>7</v>
      </c>
      <c r="B8" t="str">
        <f>IF(精算表!B27="","",精算表!B27)</f>
        <v/>
      </c>
      <c r="C8" t="str">
        <f>IF(精算表!B27="","",精算表!Z27)</f>
        <v/>
      </c>
    </row>
    <row r="9" spans="1:3">
      <c r="A9">
        <v>8</v>
      </c>
      <c r="B9" t="str">
        <f>IF(精算表!B28="","",精算表!B28)</f>
        <v/>
      </c>
      <c r="C9" t="str">
        <f>IF(精算表!B28="","",精算表!Z28)</f>
        <v/>
      </c>
    </row>
    <row r="10" spans="1:3">
      <c r="A10">
        <v>9</v>
      </c>
      <c r="B10" t="str">
        <f>IF(精算表!B29="","",精算表!B29)</f>
        <v/>
      </c>
      <c r="C10" t="str">
        <f>IF(精算表!B29="","",精算表!Z29)</f>
        <v/>
      </c>
    </row>
    <row r="11" spans="1:3">
      <c r="A11">
        <v>10</v>
      </c>
      <c r="B11" t="str">
        <f>IF(精算表!B30="","",精算表!B30)</f>
        <v/>
      </c>
      <c r="C11" t="str">
        <f>IF(精算表!B30="","",精算表!Z30)</f>
        <v/>
      </c>
    </row>
    <row r="12" spans="1:3">
      <c r="A12">
        <v>11</v>
      </c>
      <c r="B12" t="str">
        <f>IF(精算表!B31="","",精算表!B31)</f>
        <v/>
      </c>
      <c r="C12" t="str">
        <f>IF(精算表!B31="","",精算表!Z31)</f>
        <v/>
      </c>
    </row>
    <row r="13" spans="1:3">
      <c r="A13">
        <v>12</v>
      </c>
      <c r="B13" t="str">
        <f>IF(精算表!B32="","",精算表!B32)</f>
        <v/>
      </c>
      <c r="C13" t="str">
        <f>IF(精算表!B32="","",精算表!Z32)</f>
        <v/>
      </c>
    </row>
    <row r="14" spans="1:3">
      <c r="A14">
        <v>13</v>
      </c>
      <c r="B14" t="str">
        <f>IF(精算表!B33="","",精算表!B33)</f>
        <v/>
      </c>
      <c r="C14" t="str">
        <f>IF(精算表!B33="","",精算表!Z33)</f>
        <v/>
      </c>
    </row>
    <row r="15" spans="1:3">
      <c r="A15">
        <v>14</v>
      </c>
      <c r="B15" t="str">
        <f>IF(精算表!B34="","",精算表!B34)</f>
        <v/>
      </c>
      <c r="C15" t="str">
        <f>IF(精算表!B34="","",精算表!Z34)</f>
        <v/>
      </c>
    </row>
    <row r="16" spans="1:3">
      <c r="A16">
        <v>15</v>
      </c>
      <c r="B16" t="str">
        <f>IF(精算表!B35="","",精算表!B35)</f>
        <v/>
      </c>
      <c r="C16" t="str">
        <f>IF(精算表!B35="","",精算表!Z35)</f>
        <v/>
      </c>
    </row>
    <row r="17" spans="1:3">
      <c r="A17">
        <v>16</v>
      </c>
      <c r="B17" t="str">
        <f>IF(精算表!B36="","",精算表!B36)</f>
        <v/>
      </c>
      <c r="C17" t="str">
        <f>IF(精算表!B36="","",精算表!Z36)</f>
        <v/>
      </c>
    </row>
    <row r="18" spans="1:3">
      <c r="A18">
        <v>17</v>
      </c>
      <c r="B18" t="str">
        <f>IF(精算表!B37="","",精算表!B37)</f>
        <v/>
      </c>
      <c r="C18" t="str">
        <f>IF(精算表!B37="","",精算表!Z37)</f>
        <v/>
      </c>
    </row>
    <row r="19" spans="1:3">
      <c r="A19">
        <v>18</v>
      </c>
      <c r="B19" t="str">
        <f>IF(精算表!B38="","",精算表!B38)</f>
        <v/>
      </c>
      <c r="C19" t="str">
        <f>IF(精算表!B38="","",精算表!Z38)</f>
        <v/>
      </c>
    </row>
    <row r="20" spans="1:3">
      <c r="A20">
        <v>19</v>
      </c>
      <c r="B20" t="str">
        <f>IF(精算表!B39="","",精算表!B39)</f>
        <v/>
      </c>
      <c r="C20" t="str">
        <f>IF(精算表!B39="","",精算表!Z39)</f>
        <v/>
      </c>
    </row>
    <row r="21" spans="1:3">
      <c r="A21">
        <v>20</v>
      </c>
      <c r="B21" t="str">
        <f>IF(精算表!B40="","",精算表!B40)</f>
        <v/>
      </c>
      <c r="C21" t="str">
        <f>IF(精算表!B40="","",精算表!Z40)</f>
        <v/>
      </c>
    </row>
    <row r="22" spans="1:3">
      <c r="A22">
        <v>21</v>
      </c>
      <c r="B22" t="str">
        <f>IF(精算表!B41="","",精算表!B41)</f>
        <v/>
      </c>
      <c r="C22" t="str">
        <f>IF(精算表!B41="","",精算表!Z41)</f>
        <v/>
      </c>
    </row>
    <row r="23" spans="1:3">
      <c r="A23">
        <v>22</v>
      </c>
      <c r="B23" t="str">
        <f>IF(精算表!B42="","",精算表!B42)</f>
        <v/>
      </c>
      <c r="C23" t="str">
        <f>IF(精算表!B42="","",精算表!Z42)</f>
        <v/>
      </c>
    </row>
    <row r="24" spans="1:3">
      <c r="A24">
        <v>23</v>
      </c>
      <c r="B24" t="str">
        <f>IF(精算表!B43="","",精算表!B43)</f>
        <v/>
      </c>
      <c r="C24" t="str">
        <f>IF(精算表!B43="","",精算表!Z43)</f>
        <v/>
      </c>
    </row>
    <row r="25" spans="1:3">
      <c r="A25">
        <v>24</v>
      </c>
      <c r="B25" t="str">
        <f>IF(精算表!B44="","",精算表!B44)</f>
        <v/>
      </c>
      <c r="C25" t="str">
        <f>IF(精算表!B44="","",精算表!Z44)</f>
        <v/>
      </c>
    </row>
    <row r="26" spans="1:3">
      <c r="A26">
        <v>25</v>
      </c>
      <c r="B26" t="str">
        <f>IF(精算表!B45="","",精算表!B45)</f>
        <v/>
      </c>
      <c r="C26" t="str">
        <f>IF(精算表!B45="","",精算表!Z45)</f>
        <v/>
      </c>
    </row>
    <row r="27" spans="1:3">
      <c r="A27">
        <v>26</v>
      </c>
      <c r="B27" t="str">
        <f>IF(精算表!B46="","",精算表!B46)</f>
        <v/>
      </c>
      <c r="C27" t="str">
        <f>IF(精算表!B46="","",精算表!Z46)</f>
        <v/>
      </c>
    </row>
    <row r="28" spans="1:3">
      <c r="A28">
        <v>27</v>
      </c>
      <c r="B28" t="str">
        <f>IF(精算表!B47="","",精算表!B47)</f>
        <v/>
      </c>
      <c r="C28" t="str">
        <f>IF(精算表!B47="","",精算表!Z47)</f>
        <v/>
      </c>
    </row>
    <row r="29" spans="1:3">
      <c r="A29">
        <v>28</v>
      </c>
      <c r="B29" t="str">
        <f>IF(精算表!B48="","",精算表!B48)</f>
        <v/>
      </c>
      <c r="C29" t="str">
        <f>IF(精算表!B48="","",精算表!Z48)</f>
        <v/>
      </c>
    </row>
    <row r="30" spans="1:3">
      <c r="A30">
        <v>29</v>
      </c>
      <c r="B30" t="str">
        <f>IF(精算表!B49="","",精算表!B49)</f>
        <v/>
      </c>
      <c r="C30" t="str">
        <f>IF(精算表!B49="","",精算表!Z49)</f>
        <v/>
      </c>
    </row>
    <row r="31" spans="1:3">
      <c r="A31">
        <v>30</v>
      </c>
      <c r="B31" t="str">
        <f>IF(精算表!B50="","",精算表!B50)</f>
        <v/>
      </c>
      <c r="C31" t="str">
        <f>IF(精算表!B50="","",精算表!Z50)</f>
        <v/>
      </c>
    </row>
    <row r="32" spans="1:3">
      <c r="A32">
        <v>31</v>
      </c>
      <c r="B32" t="str">
        <f>IF(精算表!B51="","",精算表!B51)</f>
        <v/>
      </c>
      <c r="C32" t="str">
        <f>IF(精算表!B51="","",精算表!Z51)</f>
        <v/>
      </c>
    </row>
    <row r="33" spans="1:3">
      <c r="A33">
        <v>32</v>
      </c>
      <c r="B33" t="str">
        <f>IF(精算表!B52="","",精算表!B52)</f>
        <v/>
      </c>
      <c r="C33" t="str">
        <f>IF(精算表!B52="","",精算表!Z52)</f>
        <v/>
      </c>
    </row>
    <row r="34" spans="1:3">
      <c r="A34">
        <v>33</v>
      </c>
      <c r="B34" t="str">
        <f>IF(精算表!B53="","",精算表!B53)</f>
        <v/>
      </c>
      <c r="C34" t="str">
        <f>IF(精算表!B53="","",精算表!Z53)</f>
        <v/>
      </c>
    </row>
    <row r="35" spans="1:3">
      <c r="A35">
        <v>34</v>
      </c>
      <c r="B35" t="str">
        <f>IF(精算表!B54="","",精算表!B54)</f>
        <v/>
      </c>
      <c r="C35" t="str">
        <f>IF(精算表!B54="","",精算表!Z54)</f>
        <v/>
      </c>
    </row>
    <row r="36" spans="1:3">
      <c r="A36">
        <v>35</v>
      </c>
      <c r="B36" t="str">
        <f>IF(精算表!B55="","",精算表!B55)</f>
        <v/>
      </c>
      <c r="C36" t="str">
        <f>IF(精算表!B55="","",精算表!Z55)</f>
        <v/>
      </c>
    </row>
    <row r="37" spans="1:3">
      <c r="A37">
        <v>36</v>
      </c>
      <c r="B37" t="str">
        <f>IF(精算表!B56="","",精算表!B56)</f>
        <v/>
      </c>
      <c r="C37" t="str">
        <f>IF(精算表!B56="","",精算表!Z56)</f>
        <v/>
      </c>
    </row>
    <row r="38" spans="1:3">
      <c r="A38">
        <v>37</v>
      </c>
      <c r="B38" t="str">
        <f>IF(精算表!B57="","",精算表!B57)</f>
        <v/>
      </c>
      <c r="C38" t="str">
        <f>IF(精算表!B57="","",精算表!Z57)</f>
        <v/>
      </c>
    </row>
    <row r="39" spans="1:3">
      <c r="A39">
        <v>38</v>
      </c>
      <c r="B39" t="str">
        <f>IF(精算表!B58="","",精算表!B58)</f>
        <v/>
      </c>
      <c r="C39" t="str">
        <f>IF(精算表!B58="","",精算表!Z58)</f>
        <v/>
      </c>
    </row>
    <row r="40" spans="1:3">
      <c r="A40">
        <v>39</v>
      </c>
      <c r="B40" t="str">
        <f>IF(精算表!B59="","",精算表!B59)</f>
        <v/>
      </c>
      <c r="C40" t="str">
        <f>IF(精算表!B59="","",精算表!Z59)</f>
        <v/>
      </c>
    </row>
    <row r="41" spans="1:3">
      <c r="A41">
        <v>40</v>
      </c>
      <c r="B41" t="str">
        <f>IF(精算表!B60="","",精算表!B60)</f>
        <v/>
      </c>
      <c r="C41" t="str">
        <f>IF(精算表!B60="","",精算表!Z60)</f>
        <v/>
      </c>
    </row>
    <row r="42" spans="1:3">
      <c r="A42">
        <v>41</v>
      </c>
      <c r="B42" t="str">
        <f>IF(精算表!B61="","",精算表!B61)</f>
        <v/>
      </c>
      <c r="C42" t="str">
        <f>IF(精算表!B61="","",精算表!Z61)</f>
        <v/>
      </c>
    </row>
    <row r="43" spans="1:3">
      <c r="A43">
        <v>42</v>
      </c>
      <c r="B43" t="str">
        <f>IF(精算表!B62="","",精算表!B62)</f>
        <v/>
      </c>
      <c r="C43" t="str">
        <f>IF(精算表!B62="","",精算表!Z62)</f>
        <v/>
      </c>
    </row>
    <row r="44" spans="1:3">
      <c r="A44">
        <v>43</v>
      </c>
      <c r="B44" t="str">
        <f>IF(精算表!B65="","",精算表!B65)</f>
        <v/>
      </c>
      <c r="C44" t="str">
        <f>IF(精算表!B65="","",精算表!Z65)</f>
        <v/>
      </c>
    </row>
    <row r="45" spans="1:3">
      <c r="A45">
        <v>44</v>
      </c>
      <c r="B45" t="str">
        <f>IF(精算表!B66="","",精算表!B66)</f>
        <v/>
      </c>
      <c r="C45" t="str">
        <f>IF(精算表!B66="","",精算表!Z66)</f>
        <v/>
      </c>
    </row>
    <row r="46" spans="1:3">
      <c r="A46">
        <v>45</v>
      </c>
      <c r="B46" t="str">
        <f>IF(精算表!B67="","",精算表!B67)</f>
        <v/>
      </c>
      <c r="C46" t="str">
        <f>IF(精算表!B67="","",精算表!Z67)</f>
        <v/>
      </c>
    </row>
    <row r="47" spans="1:3">
      <c r="A47">
        <v>46</v>
      </c>
      <c r="B47" t="str">
        <f>IF(精算表!B68="","",精算表!B68)</f>
        <v/>
      </c>
      <c r="C47" t="str">
        <f>IF(精算表!B68="","",精算表!Z68)</f>
        <v/>
      </c>
    </row>
    <row r="48" spans="1:3">
      <c r="A48">
        <v>47</v>
      </c>
      <c r="B48" t="str">
        <f>IF(精算表!B69="","",精算表!B69)</f>
        <v/>
      </c>
      <c r="C48" t="str">
        <f>IF(精算表!B69="","",精算表!Z69)</f>
        <v/>
      </c>
    </row>
    <row r="49" spans="1:3">
      <c r="A49">
        <v>48</v>
      </c>
      <c r="B49" t="str">
        <f>IF(精算表!B70="","",精算表!B70)</f>
        <v/>
      </c>
      <c r="C49" t="str">
        <f>IF(精算表!B70="","",精算表!Z70)</f>
        <v/>
      </c>
    </row>
    <row r="50" spans="1:3">
      <c r="A50">
        <v>49</v>
      </c>
      <c r="B50" t="str">
        <f>IF(精算表!B71="","",精算表!B71)</f>
        <v/>
      </c>
      <c r="C50" t="str">
        <f>IF(精算表!B71="","",精算表!Z71)</f>
        <v/>
      </c>
    </row>
    <row r="51" spans="1:3">
      <c r="A51">
        <v>50</v>
      </c>
      <c r="B51" t="str">
        <f>IF(精算表!B72="","",精算表!B72)</f>
        <v/>
      </c>
      <c r="C51" t="str">
        <f>IF(精算表!B72="","",精算表!Z72)</f>
        <v/>
      </c>
    </row>
    <row r="52" spans="1:3">
      <c r="A52">
        <v>51</v>
      </c>
      <c r="B52" t="str">
        <f>IF(精算表!B73="","",精算表!B73)</f>
        <v/>
      </c>
      <c r="C52" t="str">
        <f>IF(精算表!B73="","",精算表!Z73)</f>
        <v/>
      </c>
    </row>
    <row r="53" spans="1:3">
      <c r="A53">
        <v>52</v>
      </c>
      <c r="B53" t="str">
        <f>IF(精算表!B74="","",精算表!B74)</f>
        <v/>
      </c>
      <c r="C53" t="str">
        <f>IF(精算表!B74="","",精算表!Z74)</f>
        <v/>
      </c>
    </row>
    <row r="54" spans="1:3">
      <c r="A54">
        <v>53</v>
      </c>
      <c r="B54" t="str">
        <f>IF(精算表!B75="","",精算表!B75)</f>
        <v/>
      </c>
      <c r="C54" t="str">
        <f>IF(精算表!B75="","",精算表!Z75)</f>
        <v/>
      </c>
    </row>
    <row r="55" spans="1:3">
      <c r="A55">
        <v>54</v>
      </c>
      <c r="B55" t="str">
        <f>IF(精算表!B76="","",精算表!B76)</f>
        <v/>
      </c>
      <c r="C55" t="str">
        <f>IF(精算表!B76="","",精算表!Z76)</f>
        <v/>
      </c>
    </row>
    <row r="56" spans="1:3">
      <c r="A56">
        <v>55</v>
      </c>
      <c r="B56" t="str">
        <f>IF(精算表!B77="","",精算表!B77)</f>
        <v/>
      </c>
      <c r="C56" t="str">
        <f>IF(精算表!B77="","",精算表!Z77)</f>
        <v/>
      </c>
    </row>
  </sheetData>
  <phoneticPr fontId="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3.5"/>
  <sheetData/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RowHeight="13.5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L250"/>
  <sheetViews>
    <sheetView workbookViewId="0">
      <selection activeCell="L2" sqref="L2"/>
    </sheetView>
  </sheetViews>
  <sheetFormatPr defaultRowHeight="13.5"/>
  <cols>
    <col min="3" max="3" width="11.5" bestFit="1" customWidth="1"/>
    <col min="7" max="7" width="19.5" bestFit="1" customWidth="1"/>
    <col min="11" max="11" width="15" bestFit="1" customWidth="1"/>
  </cols>
  <sheetData>
    <row r="1" spans="1:12">
      <c r="B1" s="217" t="s">
        <v>278</v>
      </c>
      <c r="C1" s="217" t="s">
        <v>279</v>
      </c>
      <c r="D1" s="217" t="s">
        <v>175</v>
      </c>
      <c r="E1" s="217" t="s">
        <v>280</v>
      </c>
      <c r="F1" s="217" t="s">
        <v>284</v>
      </c>
      <c r="G1" s="217" t="s">
        <v>282</v>
      </c>
      <c r="H1" s="217" t="s">
        <v>286</v>
      </c>
      <c r="I1" s="218" t="s">
        <v>17</v>
      </c>
      <c r="J1" s="218" t="s">
        <v>281</v>
      </c>
      <c r="K1" s="217" t="s">
        <v>287</v>
      </c>
      <c r="L1" s="217" t="s">
        <v>288</v>
      </c>
    </row>
    <row r="2" spans="1:12">
      <c r="A2" t="str">
        <f>IF(B2="","",
    COUNTA($B$2:B2)-COUNTIFS($B$2:B2,"",$B$2:B2,"=*"))</f>
        <v/>
      </c>
      <c r="B2" s="217" t="str">
        <f>IF(足元帳!AU2="","",足元帳!C2)</f>
        <v/>
      </c>
      <c r="C2" s="217" t="str">
        <f>IFERROR(VLOOKUP(IF(足元帳!AU2="","",足元帳!BJ2),管理シート!$CA$4:$CB$23,2,FALSE),"")</f>
        <v/>
      </c>
      <c r="D2" s="217" t="str">
        <f>IF(足元帳!AU2="","",足元帳!K2)</f>
        <v/>
      </c>
      <c r="E2" s="217" t="str">
        <f>IFERROR(VLOOKUP(IF(足元帳!AU2="","",足元帳!BB2),管理シート!$R$4:$W$12,4),"")</f>
        <v/>
      </c>
      <c r="F2" s="217" t="str">
        <f t="shared" ref="F2:F26" si="0">IFERROR(I2-J2,"")</f>
        <v/>
      </c>
      <c r="G2" s="217" t="str">
        <f>IF(足元帳!AU2="","",足元帳!AU2)</f>
        <v/>
      </c>
      <c r="H2" s="217" t="str">
        <f>IF(足元帳!AV2="","",足元帳!AV2)</f>
        <v/>
      </c>
      <c r="I2" s="217" t="str">
        <f>IF(B2="","",IF(IF(足元帳!AU2="","",足元帳!BB2)=1,精算表!$C$14,IF(IF(足元帳!AU2="","",足元帳!BB2)=2,精算表!$E$14,IF(IF(足元帳!AU2="","",足元帳!BB2)=3,精算表!$G$14,IF(IF(足元帳!AU2="","",足元帳!BB2)=4,精算表!$I$14,IF(IF(足元帳!AU2="","",足元帳!BB2)=5,精算表!$K$14,))))))</f>
        <v/>
      </c>
      <c r="J2" s="217" t="str">
        <f>IFERROR(VLOOKUP(VLOOKUP(IF(足元帳!AU2="","",足元帳!BJ2),管理シート!$CA$4:$CI$13,2,FALSE),精算表!$BL$20:$BS$29,MATCH(E2&amp;"分",精算表!$BL$20:$BS$20,0),FALSE),"")</f>
        <v/>
      </c>
      <c r="K2" s="220" t="str">
        <f>IF(足元帳!AU2="","",足元帳!CC2)</f>
        <v/>
      </c>
      <c r="L2" s="217" t="str">
        <f>IF(足元帳!AU2="","",IF(足元帳!AL2="●","カード利用",""))</f>
        <v/>
      </c>
    </row>
    <row r="3" spans="1:12">
      <c r="A3" t="str">
        <f>IF(B3="","",
    COUNTA($B$2:B3)-COUNTIFS($B$2:B3,"",$B$2:B3,"=*"))</f>
        <v/>
      </c>
      <c r="B3" s="217" t="str">
        <f>IF(足元帳!AU3="","",足元帳!C3)</f>
        <v/>
      </c>
      <c r="C3" s="217" t="str">
        <f>IFERROR(VLOOKUP(IF(足元帳!AU3="","",足元帳!BJ3),管理シート!$CA$4:$CB$23,2,FALSE),"")</f>
        <v/>
      </c>
      <c r="D3" s="217" t="str">
        <f>IF(足元帳!AU3="","",足元帳!K3)</f>
        <v/>
      </c>
      <c r="E3" s="217" t="str">
        <f>IFERROR(VLOOKUP(IF(足元帳!AU3="","",足元帳!BB3),管理シート!$R$4:$W$12,4),"")</f>
        <v/>
      </c>
      <c r="F3" s="217" t="str">
        <f t="shared" si="0"/>
        <v/>
      </c>
      <c r="G3" s="217" t="str">
        <f>IF(足元帳!AU3="","",足元帳!AU3)</f>
        <v/>
      </c>
      <c r="H3" s="217" t="str">
        <f>IF(足元帳!AV3="","",足元帳!AV3)</f>
        <v/>
      </c>
      <c r="I3" s="217" t="str">
        <f>IF(B3="","",IF(IF(足元帳!AU3="","",足元帳!BB3)=1,精算表!$C$14,IF(IF(足元帳!AU3="","",足元帳!BB3)=2,精算表!$E$14,IF(IF(足元帳!AU3="","",足元帳!BB3)=3,精算表!$G$14,IF(IF(足元帳!AU3="","",足元帳!BB3)=4,精算表!$I$14,IF(IF(足元帳!AU3="","",足元帳!BB3)=5,精算表!$K$14,))))))</f>
        <v/>
      </c>
      <c r="J3" s="217" t="str">
        <f>IFERROR(VLOOKUP(VLOOKUP(IF(足元帳!AU3="","",足元帳!BJ3),管理シート!$CA$4:$CI$13,2,FALSE),精算表!$BL$20:$BS$29,MATCH(E3&amp;"分",精算表!$BL$20:$BS$20,0),FALSE),"")</f>
        <v/>
      </c>
      <c r="K3" s="220" t="str">
        <f>IF(足元帳!AU3="","",足元帳!CC3)</f>
        <v/>
      </c>
      <c r="L3" s="217" t="str">
        <f>IF(足元帳!AU3="","",IF(足元帳!AL3="●","カード利用",""))</f>
        <v/>
      </c>
    </row>
    <row r="4" spans="1:12">
      <c r="A4" t="str">
        <f>IF(B4="","",
    COUNTA($B$2:B4)-COUNTIFS($B$2:B4,"",$B$2:B4,"=*"))</f>
        <v/>
      </c>
      <c r="B4" s="217" t="str">
        <f>IF(足元帳!AU4="","",足元帳!C4)</f>
        <v/>
      </c>
      <c r="C4" s="217" t="str">
        <f>IFERROR(VLOOKUP(IF(足元帳!AU4="","",足元帳!BJ4),管理シート!$CA$4:$CB$23,2,FALSE),"")</f>
        <v/>
      </c>
      <c r="D4" s="217" t="str">
        <f>IF(足元帳!AU4="","",足元帳!K4)</f>
        <v/>
      </c>
      <c r="E4" s="217" t="str">
        <f>IFERROR(VLOOKUP(IF(足元帳!AU4="","",足元帳!BB4),管理シート!$R$4:$W$12,4),"")</f>
        <v/>
      </c>
      <c r="F4" s="217" t="str">
        <f t="shared" si="0"/>
        <v/>
      </c>
      <c r="G4" s="217" t="str">
        <f>IF(足元帳!AU4="","",足元帳!AU4)</f>
        <v/>
      </c>
      <c r="H4" s="217" t="str">
        <f>IF(足元帳!AV4="","",足元帳!AV4)</f>
        <v/>
      </c>
      <c r="I4" s="217" t="str">
        <f>IF(B4="","",IF(IF(足元帳!AU4="","",足元帳!BB4)=1,精算表!$C$14,IF(IF(足元帳!AU4="","",足元帳!BB4)=2,精算表!$E$14,IF(IF(足元帳!AU4="","",足元帳!BB4)=3,精算表!$G$14,IF(IF(足元帳!AU4="","",足元帳!BB4)=4,精算表!$I$14,IF(IF(足元帳!AU4="","",足元帳!BB4)=5,精算表!$K$14,))))))</f>
        <v/>
      </c>
      <c r="J4" s="217" t="str">
        <f>IFERROR(VLOOKUP(VLOOKUP(IF(足元帳!AU4="","",足元帳!BJ4),管理シート!$CA$4:$CI$13,2,FALSE),精算表!$BL$20:$BS$29,MATCH(E4&amp;"分",精算表!$BL$20:$BS$20,0),FALSE),"")</f>
        <v/>
      </c>
      <c r="K4" s="220" t="str">
        <f>IF(足元帳!AU4="","",足元帳!CC4)</f>
        <v/>
      </c>
      <c r="L4" s="217" t="str">
        <f>IF(足元帳!AU4="","",IF(足元帳!AL4="●","カード利用",""))</f>
        <v/>
      </c>
    </row>
    <row r="5" spans="1:12">
      <c r="A5" t="str">
        <f>IF(B5="","",
    COUNTA($B$2:B5)-COUNTIFS($B$2:B5,"",$B$2:B5,"=*"))</f>
        <v/>
      </c>
      <c r="B5" s="217" t="str">
        <f>IF(足元帳!AU5="","",足元帳!C5)</f>
        <v/>
      </c>
      <c r="C5" s="217" t="str">
        <f>IFERROR(VLOOKUP(IF(足元帳!AU5="","",足元帳!BJ5),管理シート!$CA$4:$CB$23,2,FALSE),"")</f>
        <v/>
      </c>
      <c r="D5" s="217" t="str">
        <f>IF(足元帳!AU5="","",足元帳!K5)</f>
        <v/>
      </c>
      <c r="E5" s="217" t="str">
        <f>IFERROR(VLOOKUP(IF(足元帳!AU5="","",足元帳!BB5),管理シート!$R$4:$W$12,4),"")</f>
        <v/>
      </c>
      <c r="F5" s="217" t="str">
        <f t="shared" si="0"/>
        <v/>
      </c>
      <c r="G5" s="217" t="str">
        <f>IF(足元帳!AU5="","",足元帳!AU5)</f>
        <v/>
      </c>
      <c r="H5" s="217" t="str">
        <f>IF(足元帳!AV5="","",足元帳!AV5)</f>
        <v/>
      </c>
      <c r="I5" s="217" t="str">
        <f>IF(B5="","",IF(IF(足元帳!AU5="","",足元帳!BB5)=1,精算表!$C$14,IF(IF(足元帳!AU5="","",足元帳!BB5)=2,精算表!$E$14,IF(IF(足元帳!AU5="","",足元帳!BB5)=3,精算表!$G$14,IF(IF(足元帳!AU5="","",足元帳!BB5)=4,精算表!$I$14,IF(IF(足元帳!AU5="","",足元帳!BB5)=5,精算表!$K$14,))))))</f>
        <v/>
      </c>
      <c r="J5" s="217" t="str">
        <f>IFERROR(VLOOKUP(VLOOKUP(IF(足元帳!AU5="","",足元帳!BJ5),管理シート!$CA$4:$CI$13,2,FALSE),精算表!$BL$20:$BS$29,MATCH(E5&amp;"分",精算表!$BL$20:$BS$20,0),FALSE),"")</f>
        <v/>
      </c>
      <c r="K5" s="220" t="str">
        <f>IF(足元帳!AU5="","",足元帳!CC5)</f>
        <v/>
      </c>
      <c r="L5" s="217" t="str">
        <f>IF(足元帳!AU5="","",IF(足元帳!AL5="●","カード利用",""))</f>
        <v/>
      </c>
    </row>
    <row r="6" spans="1:12">
      <c r="A6" t="str">
        <f>IF(B6="","",
    COUNTA($B$2:B6)-COUNTIFS($B$2:B6,"",$B$2:B6,"=*"))</f>
        <v/>
      </c>
      <c r="B6" s="217" t="str">
        <f>IF(足元帳!AU6="","",足元帳!C6)</f>
        <v/>
      </c>
      <c r="C6" s="217" t="str">
        <f>IFERROR(VLOOKUP(IF(足元帳!AU6="","",足元帳!BJ6),管理シート!$CA$4:$CB$23,2,FALSE),"")</f>
        <v/>
      </c>
      <c r="D6" s="217" t="str">
        <f>IF(足元帳!AU6="","",足元帳!K6)</f>
        <v/>
      </c>
      <c r="E6" s="217" t="str">
        <f>IFERROR(VLOOKUP(IF(足元帳!AU6="","",足元帳!BB6),管理シート!$R$4:$W$12,4),"")</f>
        <v/>
      </c>
      <c r="F6" s="217" t="str">
        <f t="shared" si="0"/>
        <v/>
      </c>
      <c r="G6" s="217" t="str">
        <f>IF(足元帳!AU6="","",足元帳!AU6)</f>
        <v/>
      </c>
      <c r="H6" s="217" t="str">
        <f>IF(足元帳!AV6="","",足元帳!AV6)</f>
        <v/>
      </c>
      <c r="I6" s="217" t="str">
        <f>IF(B6="","",IF(IF(足元帳!AU6="","",足元帳!BB6)=1,精算表!$C$14,IF(IF(足元帳!AU6="","",足元帳!BB6)=2,精算表!$E$14,IF(IF(足元帳!AU6="","",足元帳!BB6)=3,精算表!$G$14,IF(IF(足元帳!AU6="","",足元帳!BB6)=4,精算表!$I$14,IF(IF(足元帳!AU6="","",足元帳!BB6)=5,精算表!$K$14,))))))</f>
        <v/>
      </c>
      <c r="J6" s="217" t="str">
        <f>IFERROR(VLOOKUP(VLOOKUP(IF(足元帳!AU6="","",足元帳!BJ6),管理シート!$CA$4:$CI$13,2,FALSE),精算表!$BL$20:$BS$29,MATCH(E6&amp;"分",精算表!$BL$20:$BS$20,0),FALSE),"")</f>
        <v/>
      </c>
      <c r="K6" s="220" t="str">
        <f>IF(足元帳!AU6="","",足元帳!CC6)</f>
        <v/>
      </c>
      <c r="L6" s="217" t="str">
        <f>IF(足元帳!AU6="","",IF(足元帳!AL6="●","カード利用",""))</f>
        <v/>
      </c>
    </row>
    <row r="7" spans="1:12">
      <c r="A7" t="str">
        <f>IF(B7="","",
    COUNTA($B$2:B7)-COUNTIFS($B$2:B7,"",$B$2:B7,"=*"))</f>
        <v/>
      </c>
      <c r="B7" s="217" t="str">
        <f>IF(足元帳!AU7="","",足元帳!C7)</f>
        <v/>
      </c>
      <c r="C7" s="217" t="str">
        <f>IFERROR(VLOOKUP(IF(足元帳!AU7="","",足元帳!BJ7),管理シート!$CA$4:$CB$23,2,FALSE),"")</f>
        <v/>
      </c>
      <c r="D7" s="217" t="str">
        <f>IF(足元帳!AU7="","",足元帳!K7)</f>
        <v/>
      </c>
      <c r="E7" s="217" t="str">
        <f>IFERROR(VLOOKUP(IF(足元帳!AU7="","",足元帳!BB7),管理シート!$R$4:$W$12,4),"")</f>
        <v/>
      </c>
      <c r="F7" s="217" t="str">
        <f t="shared" si="0"/>
        <v/>
      </c>
      <c r="G7" s="217" t="str">
        <f>IF(足元帳!AU7="","",足元帳!AU7)</f>
        <v/>
      </c>
      <c r="H7" s="217" t="str">
        <f>IF(足元帳!AV7="","",足元帳!AV7)</f>
        <v/>
      </c>
      <c r="I7" s="217" t="str">
        <f>IF(B7="","",IF(IF(足元帳!AU7="","",足元帳!BB7)=1,精算表!$C$14,IF(IF(足元帳!AU7="","",足元帳!BB7)=2,精算表!$E$14,IF(IF(足元帳!AU7="","",足元帳!BB7)=3,精算表!$G$14,IF(IF(足元帳!AU7="","",足元帳!BB7)=4,精算表!$I$14,IF(IF(足元帳!AU7="","",足元帳!BB7)=5,精算表!$K$14,))))))</f>
        <v/>
      </c>
      <c r="J7" s="217" t="str">
        <f>IFERROR(VLOOKUP(VLOOKUP(IF(足元帳!AU7="","",足元帳!BJ7),管理シート!$CA$4:$CI$13,2,FALSE),精算表!$BL$20:$BS$29,MATCH(E7&amp;"分",精算表!$BL$20:$BS$20,0),FALSE),"")</f>
        <v/>
      </c>
      <c r="K7" s="220" t="str">
        <f>IF(足元帳!AU7="","",足元帳!CC7)</f>
        <v/>
      </c>
      <c r="L7" s="217" t="str">
        <f>IF(足元帳!AU7="","",IF(足元帳!AL7="●","カード利用",""))</f>
        <v/>
      </c>
    </row>
    <row r="8" spans="1:12">
      <c r="A8" t="str">
        <f>IF(B8="","",
    COUNTA($B$2:B8)-COUNTIFS($B$2:B8,"",$B$2:B8,"=*"))</f>
        <v/>
      </c>
      <c r="B8" s="217" t="str">
        <f>IF(足元帳!AU8="","",足元帳!C8)</f>
        <v/>
      </c>
      <c r="C8" s="217" t="str">
        <f>IFERROR(VLOOKUP(IF(足元帳!AU8="","",足元帳!BJ8),管理シート!$CA$4:$CB$23,2,FALSE),"")</f>
        <v/>
      </c>
      <c r="D8" s="217" t="str">
        <f>IF(足元帳!AU8="","",足元帳!K8)</f>
        <v/>
      </c>
      <c r="E8" s="217" t="str">
        <f>IFERROR(VLOOKUP(IF(足元帳!AU8="","",足元帳!BB8),管理シート!$R$4:$W$12,4),"")</f>
        <v/>
      </c>
      <c r="F8" s="217" t="str">
        <f t="shared" si="0"/>
        <v/>
      </c>
      <c r="G8" s="217" t="str">
        <f>IF(足元帳!AU8="","",足元帳!AU8)</f>
        <v/>
      </c>
      <c r="H8" s="217" t="str">
        <f>IF(足元帳!AV8="","",足元帳!AV8)</f>
        <v/>
      </c>
      <c r="I8" s="217" t="str">
        <f>IF(B8="","",IF(IF(足元帳!AU8="","",足元帳!BB8)=1,精算表!$C$14,IF(IF(足元帳!AU8="","",足元帳!BB8)=2,精算表!$E$14,IF(IF(足元帳!AU8="","",足元帳!BB8)=3,精算表!$G$14,IF(IF(足元帳!AU8="","",足元帳!BB8)=4,精算表!$I$14,IF(IF(足元帳!AU8="","",足元帳!BB8)=5,精算表!$K$14,))))))</f>
        <v/>
      </c>
      <c r="J8" s="217" t="str">
        <f>IFERROR(VLOOKUP(VLOOKUP(IF(足元帳!AU8="","",足元帳!BJ8),管理シート!$CA$4:$CI$13,2,FALSE),精算表!$BL$20:$BS$29,MATCH(E8&amp;"分",精算表!$BL$20:$BS$20,0),FALSE),"")</f>
        <v/>
      </c>
      <c r="K8" s="220" t="str">
        <f>IF(足元帳!AU8="","",足元帳!CC8)</f>
        <v/>
      </c>
      <c r="L8" s="217" t="str">
        <f>IF(足元帳!AU8="","",IF(足元帳!AL8="●","カード利用",""))</f>
        <v/>
      </c>
    </row>
    <row r="9" spans="1:12">
      <c r="A9" t="str">
        <f>IF(B9="","",
    COUNTA($B$2:B9)-COUNTIFS($B$2:B9,"",$B$2:B9,"=*"))</f>
        <v/>
      </c>
      <c r="B9" s="217" t="str">
        <f>IF(足元帳!AU9="","",足元帳!C9)</f>
        <v/>
      </c>
      <c r="C9" s="217" t="str">
        <f>IFERROR(VLOOKUP(IF(足元帳!AU9="","",足元帳!BJ9),管理シート!$CA$4:$CB$23,2,FALSE),"")</f>
        <v/>
      </c>
      <c r="D9" s="217" t="str">
        <f>IF(足元帳!AU9="","",足元帳!K9)</f>
        <v/>
      </c>
      <c r="E9" s="217" t="str">
        <f>IFERROR(VLOOKUP(IF(足元帳!AU9="","",足元帳!BB9),管理シート!$R$4:$W$12,4),"")</f>
        <v/>
      </c>
      <c r="F9" s="217" t="str">
        <f t="shared" si="0"/>
        <v/>
      </c>
      <c r="G9" s="217" t="str">
        <f>IF(足元帳!AU9="","",足元帳!AU9)</f>
        <v/>
      </c>
      <c r="H9" s="217" t="str">
        <f>IF(足元帳!AV9="","",足元帳!AV9)</f>
        <v/>
      </c>
      <c r="I9" s="217" t="str">
        <f>IF(B9="","",IF(IF(足元帳!AU9="","",足元帳!BB9)=1,精算表!$C$14,IF(IF(足元帳!AU9="","",足元帳!BB9)=2,精算表!$E$14,IF(IF(足元帳!AU9="","",足元帳!BB9)=3,精算表!$G$14,IF(IF(足元帳!AU9="","",足元帳!BB9)=4,精算表!$I$14,IF(IF(足元帳!AU9="","",足元帳!BB9)=5,精算表!$K$14,))))))</f>
        <v/>
      </c>
      <c r="J9" s="217" t="str">
        <f>IFERROR(VLOOKUP(VLOOKUP(IF(足元帳!AU9="","",足元帳!BJ9),管理シート!$CA$4:$CI$13,2,FALSE),精算表!$BL$20:$BS$29,MATCH(E9&amp;"分",精算表!$BL$20:$BS$20,0),FALSE),"")</f>
        <v/>
      </c>
      <c r="K9" s="220" t="str">
        <f>IF(足元帳!AU9="","",足元帳!CC9)</f>
        <v/>
      </c>
      <c r="L9" s="217" t="str">
        <f>IF(足元帳!AU9="","",IF(足元帳!AL9="●","カード利用",""))</f>
        <v/>
      </c>
    </row>
    <row r="10" spans="1:12">
      <c r="A10" t="str">
        <f>IF(B10="","",
    COUNTA($B$2:B10)-COUNTIFS($B$2:B10,"",$B$2:B10,"=*"))</f>
        <v/>
      </c>
      <c r="B10" s="217" t="str">
        <f>IF(足元帳!AU10="","",足元帳!C10)</f>
        <v/>
      </c>
      <c r="C10" s="217" t="str">
        <f>IFERROR(VLOOKUP(IF(足元帳!AU10="","",足元帳!BJ10),管理シート!$CA$4:$CB$23,2,FALSE),"")</f>
        <v/>
      </c>
      <c r="D10" s="217" t="str">
        <f>IF(足元帳!AU10="","",足元帳!K10)</f>
        <v/>
      </c>
      <c r="E10" s="217" t="str">
        <f>IFERROR(VLOOKUP(IF(足元帳!AU10="","",足元帳!BB10),管理シート!$R$4:$W$12,4),"")</f>
        <v/>
      </c>
      <c r="F10" s="217" t="str">
        <f t="shared" si="0"/>
        <v/>
      </c>
      <c r="G10" s="217" t="str">
        <f>IF(足元帳!AU10="","",足元帳!AU10)</f>
        <v/>
      </c>
      <c r="H10" s="217" t="str">
        <f>IF(足元帳!AV10="","",足元帳!AV10)</f>
        <v/>
      </c>
      <c r="I10" s="217" t="str">
        <f>IF(B10="","",IF(IF(足元帳!AU10="","",足元帳!BB10)=1,精算表!$C$14,IF(IF(足元帳!AU10="","",足元帳!BB10)=2,精算表!$E$14,IF(IF(足元帳!AU10="","",足元帳!BB10)=3,精算表!$G$14,IF(IF(足元帳!AU10="","",足元帳!BB10)=4,精算表!$I$14,IF(IF(足元帳!AU10="","",足元帳!BB10)=5,精算表!$K$14,))))))</f>
        <v/>
      </c>
      <c r="J10" s="217" t="str">
        <f>IFERROR(VLOOKUP(VLOOKUP(IF(足元帳!AU10="","",足元帳!BJ10),管理シート!$CA$4:$CI$13,2,FALSE),精算表!$BL$20:$BS$29,MATCH(E10&amp;"分",精算表!$BL$20:$BS$20,0),FALSE),"")</f>
        <v/>
      </c>
      <c r="K10" s="220" t="str">
        <f>IF(足元帳!AU10="","",足元帳!CC10)</f>
        <v/>
      </c>
      <c r="L10" s="217" t="str">
        <f>IF(足元帳!AU10="","",IF(足元帳!AL10="●","カード利用",""))</f>
        <v/>
      </c>
    </row>
    <row r="11" spans="1:12">
      <c r="A11" t="str">
        <f>IF(B11="","",
    COUNTA($B$2:B11)-COUNTIFS($B$2:B11,"",$B$2:B11,"=*"))</f>
        <v/>
      </c>
      <c r="B11" s="217" t="str">
        <f>IF(足元帳!AU11="","",足元帳!C11)</f>
        <v/>
      </c>
      <c r="C11" s="217" t="str">
        <f>IFERROR(VLOOKUP(IF(足元帳!AU11="","",足元帳!BJ11),管理シート!$CA$4:$CB$23,2,FALSE),"")</f>
        <v/>
      </c>
      <c r="D11" s="217" t="str">
        <f>IF(足元帳!AU11="","",足元帳!K11)</f>
        <v/>
      </c>
      <c r="E11" s="217" t="str">
        <f>IFERROR(VLOOKUP(IF(足元帳!AU11="","",足元帳!BB11),管理シート!$R$4:$W$12,4),"")</f>
        <v/>
      </c>
      <c r="F11" s="217" t="str">
        <f t="shared" si="0"/>
        <v/>
      </c>
      <c r="G11" s="217" t="str">
        <f>IF(足元帳!AU11="","",足元帳!AU11)</f>
        <v/>
      </c>
      <c r="H11" s="217" t="str">
        <f>IF(足元帳!AV11="","",足元帳!AV11)</f>
        <v/>
      </c>
      <c r="I11" s="217" t="str">
        <f>IF(B11="","",IF(IF(足元帳!AU11="","",足元帳!BB11)=1,精算表!$C$14,IF(IF(足元帳!AU11="","",足元帳!BB11)=2,精算表!$E$14,IF(IF(足元帳!AU11="","",足元帳!BB11)=3,精算表!$G$14,IF(IF(足元帳!AU11="","",足元帳!BB11)=4,精算表!$I$14,IF(IF(足元帳!AU11="","",足元帳!BB11)=5,精算表!$K$14,))))))</f>
        <v/>
      </c>
      <c r="J11" s="217" t="str">
        <f>IFERROR(VLOOKUP(VLOOKUP(IF(足元帳!AU11="","",足元帳!BJ11),管理シート!$CA$4:$CI$13,2,FALSE),精算表!$BL$20:$BS$29,MATCH(E11&amp;"分",精算表!$BL$20:$BS$20,0),FALSE),"")</f>
        <v/>
      </c>
      <c r="K11" s="220" t="str">
        <f>IF(足元帳!AU11="","",足元帳!CC11)</f>
        <v/>
      </c>
      <c r="L11" s="217" t="str">
        <f>IF(足元帳!AU11="","",IF(足元帳!AL11="●","カード利用",""))</f>
        <v/>
      </c>
    </row>
    <row r="12" spans="1:12">
      <c r="A12" t="str">
        <f>IF(B12="","",
    COUNTA($B$2:B12)-COUNTIFS($B$2:B12,"",$B$2:B12,"=*"))</f>
        <v/>
      </c>
      <c r="B12" s="217" t="str">
        <f>IF(足元帳!AU12="","",足元帳!C12)</f>
        <v/>
      </c>
      <c r="C12" s="217" t="str">
        <f>IFERROR(VLOOKUP(IF(足元帳!AU12="","",足元帳!BJ12),管理シート!$CA$4:$CB$23,2,FALSE),"")</f>
        <v/>
      </c>
      <c r="D12" s="217" t="str">
        <f>IF(足元帳!AU12="","",足元帳!K12)</f>
        <v/>
      </c>
      <c r="E12" s="217" t="str">
        <f>IFERROR(VLOOKUP(IF(足元帳!AU12="","",足元帳!BB12),管理シート!$R$4:$W$12,4),"")</f>
        <v/>
      </c>
      <c r="F12" s="217" t="str">
        <f t="shared" si="0"/>
        <v/>
      </c>
      <c r="G12" s="217" t="str">
        <f>IF(足元帳!AU12="","",足元帳!AU12)</f>
        <v/>
      </c>
      <c r="H12" s="217" t="str">
        <f>IF(足元帳!AV12="","",足元帳!AV12)</f>
        <v/>
      </c>
      <c r="I12" s="217" t="str">
        <f>IF(B12="","",IF(IF(足元帳!AU12="","",足元帳!BB12)=1,精算表!$C$14,IF(IF(足元帳!AU12="","",足元帳!BB12)=2,精算表!$E$14,IF(IF(足元帳!AU12="","",足元帳!BB12)=3,精算表!$G$14,IF(IF(足元帳!AU12="","",足元帳!BB12)=4,精算表!$I$14,IF(IF(足元帳!AU12="","",足元帳!BB12)=5,精算表!$K$14,))))))</f>
        <v/>
      </c>
      <c r="J12" s="217" t="str">
        <f>IFERROR(VLOOKUP(VLOOKUP(IF(足元帳!AU12="","",足元帳!BJ12),管理シート!$CA$4:$CI$13,2,FALSE),精算表!$BL$20:$BS$29,MATCH(E12&amp;"分",精算表!$BL$20:$BS$20,0),FALSE),"")</f>
        <v/>
      </c>
      <c r="K12" s="220" t="str">
        <f>IF(足元帳!AU12="","",足元帳!CC12)</f>
        <v/>
      </c>
      <c r="L12" s="217" t="str">
        <f>IF(足元帳!AU12="","",IF(足元帳!AL12="●","カード利用",""))</f>
        <v/>
      </c>
    </row>
    <row r="13" spans="1:12">
      <c r="A13" t="str">
        <f>IF(B13="","",
    COUNTA($B$2:B13)-COUNTIFS($B$2:B13,"",$B$2:B13,"=*"))</f>
        <v/>
      </c>
      <c r="B13" s="217" t="str">
        <f>IF(足元帳!AU13="","",足元帳!C13)</f>
        <v/>
      </c>
      <c r="C13" s="217" t="str">
        <f>IFERROR(VLOOKUP(IF(足元帳!AU13="","",足元帳!BJ13),管理シート!$CA$4:$CB$23,2,FALSE),"")</f>
        <v/>
      </c>
      <c r="D13" s="217" t="str">
        <f>IF(足元帳!AU13="","",足元帳!K13)</f>
        <v/>
      </c>
      <c r="E13" s="217" t="str">
        <f>IFERROR(VLOOKUP(IF(足元帳!AU13="","",足元帳!BB13),管理シート!$R$4:$W$12,4),"")</f>
        <v/>
      </c>
      <c r="F13" s="217" t="str">
        <f t="shared" si="0"/>
        <v/>
      </c>
      <c r="G13" s="217" t="str">
        <f>IF(足元帳!AU13="","",足元帳!AU13)</f>
        <v/>
      </c>
      <c r="H13" s="217" t="str">
        <f>IF(足元帳!AV13="","",足元帳!AV13)</f>
        <v/>
      </c>
      <c r="I13" s="217" t="str">
        <f>IF(B13="","",IF(IF(足元帳!AU13="","",足元帳!BB13)=1,精算表!$C$14,IF(IF(足元帳!AU13="","",足元帳!BB13)=2,精算表!$E$14,IF(IF(足元帳!AU13="","",足元帳!BB13)=3,精算表!$G$14,IF(IF(足元帳!AU13="","",足元帳!BB13)=4,精算表!$I$14,IF(IF(足元帳!AU13="","",足元帳!BB13)=5,精算表!$K$14,))))))</f>
        <v/>
      </c>
      <c r="J13" s="217" t="str">
        <f>IFERROR(VLOOKUP(VLOOKUP(IF(足元帳!AU13="","",足元帳!BJ13),管理シート!$CA$4:$CI$13,2,FALSE),精算表!$BL$20:$BS$29,MATCH(E13&amp;"分",精算表!$BL$20:$BS$20,0),FALSE),"")</f>
        <v/>
      </c>
      <c r="K13" s="220" t="str">
        <f>IF(足元帳!AU13="","",足元帳!CC13)</f>
        <v/>
      </c>
      <c r="L13" s="217" t="str">
        <f>IF(足元帳!AU13="","",IF(足元帳!AL13="●","カード利用",""))</f>
        <v/>
      </c>
    </row>
    <row r="14" spans="1:12">
      <c r="A14" t="str">
        <f>IF(B14="","",
    COUNTA($B$2:B14)-COUNTIFS($B$2:B14,"",$B$2:B14,"=*"))</f>
        <v/>
      </c>
      <c r="B14" s="217" t="str">
        <f>IF(足元帳!AU14="","",足元帳!C14)</f>
        <v/>
      </c>
      <c r="C14" s="217" t="str">
        <f>IFERROR(VLOOKUP(IF(足元帳!AU14="","",足元帳!BJ14),管理シート!$CA$4:$CB$23,2,FALSE),"")</f>
        <v/>
      </c>
      <c r="D14" s="217" t="str">
        <f>IF(足元帳!AU14="","",足元帳!K14)</f>
        <v/>
      </c>
      <c r="E14" s="217" t="str">
        <f>IFERROR(VLOOKUP(IF(足元帳!AU14="","",足元帳!BB14),管理シート!$R$4:$W$12,4),"")</f>
        <v/>
      </c>
      <c r="F14" s="217" t="str">
        <f t="shared" si="0"/>
        <v/>
      </c>
      <c r="G14" s="217" t="str">
        <f>IF(足元帳!AU14="","",足元帳!AU14)</f>
        <v/>
      </c>
      <c r="H14" s="217" t="str">
        <f>IF(足元帳!AV14="","",足元帳!AV14)</f>
        <v/>
      </c>
      <c r="I14" s="217" t="str">
        <f>IF(B14="","",IF(IF(足元帳!AU14="","",足元帳!BB14)=1,精算表!$C$14,IF(IF(足元帳!AU14="","",足元帳!BB14)=2,精算表!$E$14,IF(IF(足元帳!AU14="","",足元帳!BB14)=3,精算表!$G$14,IF(IF(足元帳!AU14="","",足元帳!BB14)=4,精算表!$I$14,IF(IF(足元帳!AU14="","",足元帳!BB14)=5,精算表!$K$14,))))))</f>
        <v/>
      </c>
      <c r="J14" s="217" t="str">
        <f>IFERROR(VLOOKUP(VLOOKUP(IF(足元帳!AU14="","",足元帳!BJ14),管理シート!$CA$4:$CI$13,2,FALSE),精算表!$BL$20:$BS$29,MATCH(E14&amp;"分",精算表!$BL$20:$BS$20,0),FALSE),"")</f>
        <v/>
      </c>
      <c r="K14" s="220" t="str">
        <f>IF(足元帳!AU14="","",足元帳!CC14)</f>
        <v/>
      </c>
      <c r="L14" s="217" t="str">
        <f>IF(足元帳!AU14="","",IF(足元帳!AL14="●","カード利用",""))</f>
        <v/>
      </c>
    </row>
    <row r="15" spans="1:12">
      <c r="A15" t="str">
        <f>IF(B15="","",
    COUNTA($B$2:B15)-COUNTIFS($B$2:B15,"",$B$2:B15,"=*"))</f>
        <v/>
      </c>
      <c r="B15" s="217" t="str">
        <f>IF(足元帳!AU15="","",足元帳!C15)</f>
        <v/>
      </c>
      <c r="C15" s="217" t="str">
        <f>IFERROR(VLOOKUP(IF(足元帳!AU15="","",足元帳!BJ15),管理シート!$CA$4:$CB$23,2,FALSE),"")</f>
        <v/>
      </c>
      <c r="D15" s="217" t="str">
        <f>IF(足元帳!AU15="","",足元帳!K15)</f>
        <v/>
      </c>
      <c r="E15" s="217" t="str">
        <f>IFERROR(VLOOKUP(IF(足元帳!AU15="","",足元帳!BB15),管理シート!$R$4:$W$12,4),"")</f>
        <v/>
      </c>
      <c r="F15" s="217" t="str">
        <f t="shared" si="0"/>
        <v/>
      </c>
      <c r="G15" s="217" t="str">
        <f>IF(足元帳!AU15="","",足元帳!AU15)</f>
        <v/>
      </c>
      <c r="H15" s="217" t="str">
        <f>IF(足元帳!AV15="","",足元帳!AV15)</f>
        <v/>
      </c>
      <c r="I15" s="217" t="str">
        <f>IF(B15="","",IF(IF(足元帳!AU15="","",足元帳!BB15)=1,精算表!$C$14,IF(IF(足元帳!AU15="","",足元帳!BB15)=2,精算表!$E$14,IF(IF(足元帳!AU15="","",足元帳!BB15)=3,精算表!$G$14,IF(IF(足元帳!AU15="","",足元帳!BB15)=4,精算表!$I$14,IF(IF(足元帳!AU15="","",足元帳!BB15)=5,精算表!$K$14,))))))</f>
        <v/>
      </c>
      <c r="J15" s="217" t="str">
        <f>IFERROR(VLOOKUP(VLOOKUP(IF(足元帳!AU15="","",足元帳!BJ15),管理シート!$CA$4:$CI$13,2,FALSE),精算表!$BL$20:$BS$29,MATCH(E15&amp;"分",精算表!$BL$20:$BS$20,0),FALSE),"")</f>
        <v/>
      </c>
      <c r="K15" s="220" t="str">
        <f>IF(足元帳!AU15="","",足元帳!CC15)</f>
        <v/>
      </c>
      <c r="L15" s="217" t="str">
        <f>IF(足元帳!AU15="","",IF(足元帳!AL15="●","カード利用",""))</f>
        <v/>
      </c>
    </row>
    <row r="16" spans="1:12">
      <c r="A16" t="str">
        <f>IF(B16="","",
    COUNTA($B$2:B16)-COUNTIFS($B$2:B16,"",$B$2:B16,"=*"))</f>
        <v/>
      </c>
      <c r="B16" s="217" t="str">
        <f>IF(足元帳!AU16="","",足元帳!C16)</f>
        <v/>
      </c>
      <c r="C16" s="217" t="str">
        <f>IFERROR(VLOOKUP(IF(足元帳!AU16="","",足元帳!BJ16),管理シート!$CA$4:$CB$23,2,FALSE),"")</f>
        <v/>
      </c>
      <c r="D16" s="217" t="str">
        <f>IF(足元帳!AU16="","",足元帳!K16)</f>
        <v/>
      </c>
      <c r="E16" s="217" t="str">
        <f>IFERROR(VLOOKUP(IF(足元帳!AU16="","",足元帳!BB16),管理シート!$R$4:$W$12,4),"")</f>
        <v/>
      </c>
      <c r="F16" s="217" t="str">
        <f t="shared" si="0"/>
        <v/>
      </c>
      <c r="G16" s="217" t="str">
        <f>IF(足元帳!AU16="","",足元帳!AU16)</f>
        <v/>
      </c>
      <c r="H16" s="217" t="str">
        <f>IF(足元帳!AV16="","",足元帳!AV16)</f>
        <v/>
      </c>
      <c r="I16" s="217" t="str">
        <f>IF(B16="","",IF(IF(足元帳!AU16="","",足元帳!BB16)=1,精算表!$C$14,IF(IF(足元帳!AU16="","",足元帳!BB16)=2,精算表!$E$14,IF(IF(足元帳!AU16="","",足元帳!BB16)=3,精算表!$G$14,IF(IF(足元帳!AU16="","",足元帳!BB16)=4,精算表!$I$14,IF(IF(足元帳!AU16="","",足元帳!BB16)=5,精算表!$K$14,))))))</f>
        <v/>
      </c>
      <c r="J16" s="217" t="str">
        <f>IFERROR(VLOOKUP(VLOOKUP(IF(足元帳!AU16="","",足元帳!BJ16),管理シート!$CA$4:$CI$13,2,FALSE),精算表!$BL$20:$BS$29,MATCH(E16&amp;"分",精算表!$BL$20:$BS$20,0),FALSE),"")</f>
        <v/>
      </c>
      <c r="K16" s="220" t="str">
        <f>IF(足元帳!AU16="","",足元帳!CC16)</f>
        <v/>
      </c>
      <c r="L16" s="217" t="str">
        <f>IF(足元帳!AU16="","",IF(足元帳!AL16="●","カード利用",""))</f>
        <v/>
      </c>
    </row>
    <row r="17" spans="1:12">
      <c r="A17" t="str">
        <f>IF(B17="","",
    COUNTA($B$2:B17)-COUNTIFS($B$2:B17,"",$B$2:B17,"=*"))</f>
        <v/>
      </c>
      <c r="B17" s="217" t="str">
        <f>IF(足元帳!AU17="","",足元帳!C17)</f>
        <v/>
      </c>
      <c r="C17" s="217" t="str">
        <f>IFERROR(VLOOKUP(IF(足元帳!AU17="","",足元帳!BJ17),管理シート!$CA$4:$CB$23,2,FALSE),"")</f>
        <v/>
      </c>
      <c r="D17" s="217" t="str">
        <f>IF(足元帳!AU17="","",足元帳!K17)</f>
        <v/>
      </c>
      <c r="E17" s="217" t="str">
        <f>IFERROR(VLOOKUP(IF(足元帳!AU17="","",足元帳!BB17),管理シート!$R$4:$W$12,4),"")</f>
        <v/>
      </c>
      <c r="F17" s="217" t="str">
        <f t="shared" si="0"/>
        <v/>
      </c>
      <c r="G17" s="217" t="str">
        <f>IF(足元帳!AU17="","",足元帳!AU17)</f>
        <v/>
      </c>
      <c r="H17" s="217" t="str">
        <f>IF(足元帳!AV17="","",足元帳!AV17)</f>
        <v/>
      </c>
      <c r="I17" s="217" t="str">
        <f>IF(B17="","",IF(IF(足元帳!AU17="","",足元帳!BB17)=1,精算表!$C$14,IF(IF(足元帳!AU17="","",足元帳!BB17)=2,精算表!$E$14,IF(IF(足元帳!AU17="","",足元帳!BB17)=3,精算表!$G$14,IF(IF(足元帳!AU17="","",足元帳!BB17)=4,精算表!$I$14,IF(IF(足元帳!AU17="","",足元帳!BB17)=5,精算表!$K$14,))))))</f>
        <v/>
      </c>
      <c r="J17" s="217" t="str">
        <f>IFERROR(VLOOKUP(VLOOKUP(IF(足元帳!AU17="","",足元帳!BJ17),管理シート!$CA$4:$CI$13,2,FALSE),精算表!$BL$20:$BS$29,MATCH(E17&amp;"分",精算表!$BL$20:$BS$20,0),FALSE),"")</f>
        <v/>
      </c>
      <c r="K17" s="220" t="str">
        <f>IF(足元帳!AU17="","",足元帳!CC17)</f>
        <v/>
      </c>
      <c r="L17" s="217" t="str">
        <f>IF(足元帳!AU17="","",IF(足元帳!AL17="●","カード利用",""))</f>
        <v/>
      </c>
    </row>
    <row r="18" spans="1:12">
      <c r="A18" t="str">
        <f>IF(B18="","",
    COUNTA($B$2:B18)-COUNTIFS($B$2:B18,"",$B$2:B18,"=*"))</f>
        <v/>
      </c>
      <c r="B18" s="217" t="str">
        <f>IF(足元帳!AU18="","",足元帳!C18)</f>
        <v/>
      </c>
      <c r="C18" s="217" t="str">
        <f>IFERROR(VLOOKUP(IF(足元帳!AU18="","",足元帳!BJ18),管理シート!$CA$4:$CB$23,2,FALSE),"")</f>
        <v/>
      </c>
      <c r="D18" s="217" t="str">
        <f>IF(足元帳!AU18="","",足元帳!K18)</f>
        <v/>
      </c>
      <c r="E18" s="217" t="str">
        <f>IFERROR(VLOOKUP(IF(足元帳!AU18="","",足元帳!BB18),管理シート!$R$4:$W$12,4),"")</f>
        <v/>
      </c>
      <c r="F18" s="217" t="str">
        <f t="shared" si="0"/>
        <v/>
      </c>
      <c r="G18" s="217" t="str">
        <f>IF(足元帳!AU18="","",足元帳!AU18)</f>
        <v/>
      </c>
      <c r="H18" s="217" t="str">
        <f>IF(足元帳!AV18="","",足元帳!AV18)</f>
        <v/>
      </c>
      <c r="I18" s="217" t="str">
        <f>IF(B18="","",IF(IF(足元帳!AU18="","",足元帳!BB18)=1,精算表!$C$14,IF(IF(足元帳!AU18="","",足元帳!BB18)=2,精算表!$E$14,IF(IF(足元帳!AU18="","",足元帳!BB18)=3,精算表!$G$14,IF(IF(足元帳!AU18="","",足元帳!BB18)=4,精算表!$I$14,IF(IF(足元帳!AU18="","",足元帳!BB18)=5,精算表!$K$14,))))))</f>
        <v/>
      </c>
      <c r="J18" s="217" t="str">
        <f>IFERROR(VLOOKUP(VLOOKUP(IF(足元帳!AU18="","",足元帳!BJ18),管理シート!$CA$4:$CI$13,2,FALSE),精算表!$BL$20:$BS$29,MATCH(E18&amp;"分",精算表!$BL$20:$BS$20,0),FALSE),"")</f>
        <v/>
      </c>
      <c r="K18" s="220" t="str">
        <f>IF(足元帳!AU18="","",足元帳!CC18)</f>
        <v/>
      </c>
      <c r="L18" s="217" t="str">
        <f>IF(足元帳!AU18="","",IF(足元帳!AL18="●","カード利用",""))</f>
        <v/>
      </c>
    </row>
    <row r="19" spans="1:12">
      <c r="A19" t="str">
        <f>IF(B19="","",
    COUNTA($B$2:B19)-COUNTIFS($B$2:B19,"",$B$2:B19,"=*"))</f>
        <v/>
      </c>
      <c r="B19" s="217" t="str">
        <f>IF(足元帳!AU19="","",足元帳!C19)</f>
        <v/>
      </c>
      <c r="C19" s="217" t="str">
        <f>IFERROR(VLOOKUP(IF(足元帳!AU19="","",足元帳!BJ19),管理シート!$CA$4:$CB$23,2,FALSE),"")</f>
        <v/>
      </c>
      <c r="D19" s="217" t="str">
        <f>IF(足元帳!AU19="","",足元帳!K19)</f>
        <v/>
      </c>
      <c r="E19" s="217" t="str">
        <f>IFERROR(VLOOKUP(IF(足元帳!AU19="","",足元帳!BB19),管理シート!$R$4:$W$12,4),"")</f>
        <v/>
      </c>
      <c r="F19" s="217" t="str">
        <f t="shared" si="0"/>
        <v/>
      </c>
      <c r="G19" s="217" t="str">
        <f>IF(足元帳!AU19="","",足元帳!AU19)</f>
        <v/>
      </c>
      <c r="H19" s="217" t="str">
        <f>IF(足元帳!AV19="","",足元帳!AV19)</f>
        <v/>
      </c>
      <c r="I19" s="217" t="str">
        <f>IF(B19="","",IF(IF(足元帳!AU19="","",足元帳!BB19)=1,精算表!$C$14,IF(IF(足元帳!AU19="","",足元帳!BB19)=2,精算表!$E$14,IF(IF(足元帳!AU19="","",足元帳!BB19)=3,精算表!$G$14,IF(IF(足元帳!AU19="","",足元帳!BB19)=4,精算表!$I$14,IF(IF(足元帳!AU19="","",足元帳!BB19)=5,精算表!$K$14,))))))</f>
        <v/>
      </c>
      <c r="J19" s="217" t="str">
        <f>IFERROR(VLOOKUP(VLOOKUP(IF(足元帳!AU19="","",足元帳!BJ19),管理シート!$CA$4:$CI$13,2,FALSE),精算表!$BL$20:$BS$29,MATCH(E19&amp;"分",精算表!$BL$20:$BS$20,0),FALSE),"")</f>
        <v/>
      </c>
      <c r="K19" s="220" t="str">
        <f>IF(足元帳!AU19="","",足元帳!CC19)</f>
        <v/>
      </c>
      <c r="L19" s="217" t="str">
        <f>IF(足元帳!AU19="","",IF(足元帳!AL19="●","カード利用",""))</f>
        <v/>
      </c>
    </row>
    <row r="20" spans="1:12">
      <c r="A20" t="str">
        <f>IF(B20="","",
    COUNTA($B$2:B20)-COUNTIFS($B$2:B20,"",$B$2:B20,"=*"))</f>
        <v/>
      </c>
      <c r="B20" s="217" t="str">
        <f>IF(足元帳!AU20="","",足元帳!C20)</f>
        <v/>
      </c>
      <c r="C20" s="217" t="str">
        <f>IFERROR(VLOOKUP(IF(足元帳!AU20="","",足元帳!BJ20),管理シート!$CA$4:$CB$23,2,FALSE),"")</f>
        <v/>
      </c>
      <c r="D20" s="217" t="str">
        <f>IF(足元帳!AU20="","",足元帳!K20)</f>
        <v/>
      </c>
      <c r="E20" s="217" t="str">
        <f>IFERROR(VLOOKUP(IF(足元帳!AU20="","",足元帳!BB20),管理シート!$R$4:$W$12,4),"")</f>
        <v/>
      </c>
      <c r="F20" s="217" t="str">
        <f t="shared" si="0"/>
        <v/>
      </c>
      <c r="G20" s="217" t="str">
        <f>IF(足元帳!AU20="","",足元帳!AU20)</f>
        <v/>
      </c>
      <c r="H20" s="217" t="str">
        <f>IF(足元帳!AV20="","",足元帳!AV20)</f>
        <v/>
      </c>
      <c r="I20" s="217" t="str">
        <f>IF(B20="","",IF(IF(足元帳!AU20="","",足元帳!BB20)=1,精算表!$C$14,IF(IF(足元帳!AU20="","",足元帳!BB20)=2,精算表!$E$14,IF(IF(足元帳!AU20="","",足元帳!BB20)=3,精算表!$G$14,IF(IF(足元帳!AU20="","",足元帳!BB20)=4,精算表!$I$14,IF(IF(足元帳!AU20="","",足元帳!BB20)=5,精算表!$K$14,))))))</f>
        <v/>
      </c>
      <c r="J20" s="217" t="str">
        <f>IFERROR(VLOOKUP(VLOOKUP(IF(足元帳!AU20="","",足元帳!BJ20),管理シート!$CA$4:$CI$13,2,FALSE),精算表!$BL$20:$BS$29,MATCH(E20&amp;"分",精算表!$BL$20:$BS$20,0),FALSE),"")</f>
        <v/>
      </c>
      <c r="K20" s="220" t="str">
        <f>IF(足元帳!AU20="","",足元帳!CC20)</f>
        <v/>
      </c>
      <c r="L20" s="217" t="str">
        <f>IF(足元帳!AU20="","",IF(足元帳!AL20="●","カード利用",""))</f>
        <v/>
      </c>
    </row>
    <row r="21" spans="1:12">
      <c r="A21" t="str">
        <f>IF(B21="","",
    COUNTA($B$2:B21)-COUNTIFS($B$2:B21,"",$B$2:B21,"=*"))</f>
        <v/>
      </c>
      <c r="B21" s="217" t="str">
        <f>IF(足元帳!AU21="","",足元帳!C21)</f>
        <v/>
      </c>
      <c r="C21" s="217" t="str">
        <f>IFERROR(VLOOKUP(IF(足元帳!AU21="","",足元帳!BJ21),管理シート!$CA$4:$CB$23,2,FALSE),"")</f>
        <v/>
      </c>
      <c r="D21" s="217" t="str">
        <f>IF(足元帳!AU21="","",足元帳!K21)</f>
        <v/>
      </c>
      <c r="E21" s="217" t="str">
        <f>IFERROR(VLOOKUP(IF(足元帳!AU21="","",足元帳!BB21),管理シート!$R$4:$W$12,4),"")</f>
        <v/>
      </c>
      <c r="F21" s="217" t="str">
        <f t="shared" si="0"/>
        <v/>
      </c>
      <c r="G21" s="217" t="str">
        <f>IF(足元帳!AU21="","",足元帳!AU21)</f>
        <v/>
      </c>
      <c r="H21" s="217" t="str">
        <f>IF(足元帳!AV21="","",足元帳!AV21)</f>
        <v/>
      </c>
      <c r="I21" s="217" t="str">
        <f>IF(B21="","",IF(IF(足元帳!AU21="","",足元帳!BB21)=1,精算表!$C$14,IF(IF(足元帳!AU21="","",足元帳!BB21)=2,精算表!$E$14,IF(IF(足元帳!AU21="","",足元帳!BB21)=3,精算表!$G$14,IF(IF(足元帳!AU21="","",足元帳!BB21)=4,精算表!$I$14,IF(IF(足元帳!AU21="","",足元帳!BB21)=5,精算表!$K$14,))))))</f>
        <v/>
      </c>
      <c r="J21" s="217" t="str">
        <f>IFERROR(VLOOKUP(VLOOKUP(IF(足元帳!AU21="","",足元帳!BJ21),管理シート!$CA$4:$CI$13,2,FALSE),精算表!$BL$20:$BS$29,MATCH(E21&amp;"分",精算表!$BL$20:$BS$20,0),FALSE),"")</f>
        <v/>
      </c>
      <c r="K21" s="220" t="str">
        <f>IF(足元帳!AU21="","",足元帳!CC21)</f>
        <v/>
      </c>
      <c r="L21" s="217" t="str">
        <f>IF(足元帳!AU21="","",IF(足元帳!AL21="●","カード利用",""))</f>
        <v/>
      </c>
    </row>
    <row r="22" spans="1:12">
      <c r="A22" t="str">
        <f>IF(B22="","",
    COUNTA($B$2:B22)-COUNTIFS($B$2:B22,"",$B$2:B22,"=*"))</f>
        <v/>
      </c>
      <c r="B22" s="217" t="str">
        <f>IF(足元帳!AU22="","",足元帳!C22)</f>
        <v/>
      </c>
      <c r="C22" s="217" t="str">
        <f>IFERROR(VLOOKUP(IF(足元帳!AU22="","",足元帳!BJ22),管理シート!$CA$4:$CB$23,2,FALSE),"")</f>
        <v/>
      </c>
      <c r="D22" s="217" t="str">
        <f>IF(足元帳!AU22="","",足元帳!K22)</f>
        <v/>
      </c>
      <c r="E22" s="217" t="str">
        <f>IFERROR(VLOOKUP(IF(足元帳!AU22="","",足元帳!BB22),管理シート!$R$4:$W$12,4),"")</f>
        <v/>
      </c>
      <c r="F22" s="217" t="str">
        <f t="shared" si="0"/>
        <v/>
      </c>
      <c r="G22" s="217" t="str">
        <f>IF(足元帳!AU22="","",足元帳!AU22)</f>
        <v/>
      </c>
      <c r="H22" s="217" t="str">
        <f>IF(足元帳!AV22="","",足元帳!AV22)</f>
        <v/>
      </c>
      <c r="I22" s="217" t="str">
        <f>IF(B22="","",IF(IF(足元帳!AU22="","",足元帳!BB22)=1,精算表!$C$14,IF(IF(足元帳!AU22="","",足元帳!BB22)=2,精算表!$E$14,IF(IF(足元帳!AU22="","",足元帳!BB22)=3,精算表!$G$14,IF(IF(足元帳!AU22="","",足元帳!BB22)=4,精算表!$I$14,IF(IF(足元帳!AU22="","",足元帳!BB22)=5,精算表!$K$14,))))))</f>
        <v/>
      </c>
      <c r="J22" s="217" t="str">
        <f>IFERROR(VLOOKUP(VLOOKUP(IF(足元帳!AU22="","",足元帳!BJ22),管理シート!$CA$4:$CI$13,2,FALSE),精算表!$BL$20:$BS$29,MATCH(E22&amp;"分",精算表!$BL$20:$BS$20,0),FALSE),"")</f>
        <v/>
      </c>
      <c r="K22" s="220" t="str">
        <f>IF(足元帳!AU22="","",足元帳!CC22)</f>
        <v/>
      </c>
      <c r="L22" s="217" t="str">
        <f>IF(足元帳!AU22="","",IF(足元帳!AL22="●","カード利用",""))</f>
        <v/>
      </c>
    </row>
    <row r="23" spans="1:12">
      <c r="A23" t="str">
        <f>IF(B23="","",
    COUNTA($B$2:B23)-COUNTIFS($B$2:B23,"",$B$2:B23,"=*"))</f>
        <v/>
      </c>
      <c r="B23" s="217" t="str">
        <f>IF(足元帳!AU23="","",足元帳!C23)</f>
        <v/>
      </c>
      <c r="C23" s="217" t="str">
        <f>IFERROR(VLOOKUP(IF(足元帳!AU23="","",足元帳!BJ23),管理シート!$CA$4:$CB$23,2,FALSE),"")</f>
        <v/>
      </c>
      <c r="D23" s="217" t="str">
        <f>IF(足元帳!AU23="","",足元帳!K23)</f>
        <v/>
      </c>
      <c r="E23" s="217" t="str">
        <f>IFERROR(VLOOKUP(IF(足元帳!AU23="","",足元帳!BB23),管理シート!$R$4:$W$12,4),"")</f>
        <v/>
      </c>
      <c r="F23" s="217" t="str">
        <f t="shared" si="0"/>
        <v/>
      </c>
      <c r="G23" s="217" t="str">
        <f>IF(足元帳!AU23="","",足元帳!AU23)</f>
        <v/>
      </c>
      <c r="H23" s="217" t="str">
        <f>IF(足元帳!AV23="","",足元帳!AV23)</f>
        <v/>
      </c>
      <c r="I23" s="217" t="str">
        <f>IF(B23="","",IF(IF(足元帳!AU23="","",足元帳!BB23)=1,精算表!$C$14,IF(IF(足元帳!AU23="","",足元帳!BB23)=2,精算表!$E$14,IF(IF(足元帳!AU23="","",足元帳!BB23)=3,精算表!$G$14,IF(IF(足元帳!AU23="","",足元帳!BB23)=4,精算表!$I$14,IF(IF(足元帳!AU23="","",足元帳!BB23)=5,精算表!$K$14,))))))</f>
        <v/>
      </c>
      <c r="J23" s="217" t="str">
        <f>IFERROR(VLOOKUP(VLOOKUP(IF(足元帳!AU23="","",足元帳!BJ23),管理シート!$CA$4:$CI$13,2,FALSE),精算表!$BL$20:$BS$29,MATCH(E23&amp;"分",精算表!$BL$20:$BS$20,0),FALSE),"")</f>
        <v/>
      </c>
      <c r="K23" s="220" t="str">
        <f>IF(足元帳!AU23="","",足元帳!CC23)</f>
        <v/>
      </c>
      <c r="L23" s="217" t="str">
        <f>IF(足元帳!AU23="","",IF(足元帳!AL23="●","カード利用",""))</f>
        <v/>
      </c>
    </row>
    <row r="24" spans="1:12">
      <c r="A24" t="str">
        <f>IF(B24="","",
    COUNTA($B$2:B24)-COUNTIFS($B$2:B24,"",$B$2:B24,"=*"))</f>
        <v/>
      </c>
      <c r="B24" s="217" t="str">
        <f>IF(足元帳!AU24="","",足元帳!C24)</f>
        <v/>
      </c>
      <c r="C24" s="217" t="str">
        <f>IFERROR(VLOOKUP(IF(足元帳!AU24="","",足元帳!BJ24),管理シート!$CA$4:$CB$23,2,FALSE),"")</f>
        <v/>
      </c>
      <c r="D24" s="217" t="str">
        <f>IF(足元帳!AU24="","",足元帳!K24)</f>
        <v/>
      </c>
      <c r="E24" s="217" t="str">
        <f>IFERROR(VLOOKUP(IF(足元帳!AU24="","",足元帳!BB24),管理シート!$R$4:$W$12,4),"")</f>
        <v/>
      </c>
      <c r="F24" s="217" t="str">
        <f t="shared" si="0"/>
        <v/>
      </c>
      <c r="G24" s="217" t="str">
        <f>IF(足元帳!AU24="","",足元帳!AU24)</f>
        <v/>
      </c>
      <c r="H24" s="217" t="str">
        <f>IF(足元帳!AV24="","",足元帳!AV24)</f>
        <v/>
      </c>
      <c r="I24" s="217" t="str">
        <f>IF(B24="","",IF(IF(足元帳!AU24="","",足元帳!BB24)=1,精算表!$C$14,IF(IF(足元帳!AU24="","",足元帳!BB24)=2,精算表!$E$14,IF(IF(足元帳!AU24="","",足元帳!BB24)=3,精算表!$G$14,IF(IF(足元帳!AU24="","",足元帳!BB24)=4,精算表!$I$14,IF(IF(足元帳!AU24="","",足元帳!BB24)=5,精算表!$K$14,))))))</f>
        <v/>
      </c>
      <c r="J24" s="217" t="str">
        <f>IFERROR(VLOOKUP(VLOOKUP(IF(足元帳!AU24="","",足元帳!BJ24),管理シート!$CA$4:$CI$13,2,FALSE),精算表!$BL$20:$BS$29,MATCH(E24&amp;"分",精算表!$BL$20:$BS$20,0),FALSE),"")</f>
        <v/>
      </c>
      <c r="K24" s="220" t="str">
        <f>IF(足元帳!AU24="","",足元帳!CC24)</f>
        <v/>
      </c>
      <c r="L24" s="217" t="str">
        <f>IF(足元帳!AU24="","",IF(足元帳!AL24="●","カード利用",""))</f>
        <v/>
      </c>
    </row>
    <row r="25" spans="1:12">
      <c r="A25" t="str">
        <f>IF(B25="","",
    COUNTA($B$2:B25)-COUNTIFS($B$2:B25,"",$B$2:B25,"=*"))</f>
        <v/>
      </c>
      <c r="B25" s="217" t="str">
        <f>IF(足元帳!AU25="","",足元帳!C25)</f>
        <v/>
      </c>
      <c r="C25" s="217" t="str">
        <f>IFERROR(VLOOKUP(IF(足元帳!AU25="","",足元帳!BJ25),管理シート!$CA$4:$CB$23,2,FALSE),"")</f>
        <v/>
      </c>
      <c r="D25" s="217" t="str">
        <f>IF(足元帳!AU25="","",足元帳!K25)</f>
        <v/>
      </c>
      <c r="E25" s="217" t="str">
        <f>IFERROR(VLOOKUP(IF(足元帳!AU25="","",足元帳!BB25),管理シート!$R$4:$W$12,4),"")</f>
        <v/>
      </c>
      <c r="F25" s="217" t="str">
        <f t="shared" si="0"/>
        <v/>
      </c>
      <c r="G25" s="217" t="str">
        <f>IF(足元帳!AU25="","",足元帳!AU25)</f>
        <v/>
      </c>
      <c r="H25" s="217" t="str">
        <f>IF(足元帳!AV25="","",足元帳!AV25)</f>
        <v/>
      </c>
      <c r="I25" s="217" t="str">
        <f>IF(B25="","",IF(IF(足元帳!AU25="","",足元帳!BB25)=1,精算表!$C$14,IF(IF(足元帳!AU25="","",足元帳!BB25)=2,精算表!$E$14,IF(IF(足元帳!AU25="","",足元帳!BB25)=3,精算表!$G$14,IF(IF(足元帳!AU25="","",足元帳!BB25)=4,精算表!$I$14,IF(IF(足元帳!AU25="","",足元帳!BB25)=5,精算表!$K$14,))))))</f>
        <v/>
      </c>
      <c r="J25" s="217" t="str">
        <f>IFERROR(VLOOKUP(VLOOKUP(IF(足元帳!AU25="","",足元帳!BJ25),管理シート!$CA$4:$CI$13,2,FALSE),精算表!$BL$20:$BS$29,MATCH(E25&amp;"分",精算表!$BL$20:$BS$20,0),FALSE),"")</f>
        <v/>
      </c>
      <c r="K25" s="220" t="str">
        <f>IF(足元帳!AU25="","",足元帳!CC25)</f>
        <v/>
      </c>
      <c r="L25" s="217" t="str">
        <f>IF(足元帳!AU25="","",IF(足元帳!AL25="●","カード利用",""))</f>
        <v/>
      </c>
    </row>
    <row r="26" spans="1:12">
      <c r="A26" t="str">
        <f>IF(B26="","",
    COUNTA($B$2:B26)-COUNTIFS($B$2:B26,"",$B$2:B26,"=*"))</f>
        <v/>
      </c>
      <c r="B26" s="217" t="str">
        <f>IF(足元帳!AU26="","",足元帳!C26)</f>
        <v/>
      </c>
      <c r="C26" s="217" t="str">
        <f>IFERROR(VLOOKUP(IF(足元帳!AU26="","",足元帳!BJ26),管理シート!$CA$4:$CB$23,2,FALSE),"")</f>
        <v/>
      </c>
      <c r="D26" s="217" t="str">
        <f>IF(足元帳!AU26="","",足元帳!K26)</f>
        <v/>
      </c>
      <c r="E26" s="217" t="str">
        <f>IFERROR(VLOOKUP(IF(足元帳!AU26="","",足元帳!BB26),管理シート!$R$4:$W$12,4),"")</f>
        <v/>
      </c>
      <c r="F26" s="217" t="str">
        <f t="shared" si="0"/>
        <v/>
      </c>
      <c r="G26" s="217" t="str">
        <f>IF(足元帳!AU26="","",足元帳!AU26)</f>
        <v/>
      </c>
      <c r="H26" s="217" t="str">
        <f>IF(足元帳!AV26="","",足元帳!AV26)</f>
        <v/>
      </c>
      <c r="I26" s="217" t="str">
        <f>IF(B26="","",IF(IF(足元帳!AU26="","",足元帳!BB26)=1,精算表!$C$14,IF(IF(足元帳!AU26="","",足元帳!BB26)=2,精算表!$E$14,IF(IF(足元帳!AU26="","",足元帳!BB26)=3,精算表!$G$14,IF(IF(足元帳!AU26="","",足元帳!BB26)=4,精算表!$I$14,IF(IF(足元帳!AU26="","",足元帳!BB26)=5,精算表!$K$14,))))))</f>
        <v/>
      </c>
      <c r="J26" s="217" t="str">
        <f>IFERROR(VLOOKUP(VLOOKUP(IF(足元帳!AU26="","",足元帳!BJ26),管理シート!$CA$4:$CI$13,2,FALSE),精算表!$BL$20:$BS$29,MATCH(E26&amp;"分",精算表!$BL$20:$BS$20,0),FALSE),"")</f>
        <v/>
      </c>
      <c r="K26" s="220" t="str">
        <f>IF(足元帳!AU26="","",足元帳!CC26)</f>
        <v/>
      </c>
      <c r="L26" s="217" t="str">
        <f>IF(足元帳!AU26="","",IF(足元帳!AL26="●","カード利用",""))</f>
        <v/>
      </c>
    </row>
    <row r="27" spans="1:12">
      <c r="A27" t="str">
        <f>IF(B27="","",
    COUNTA($B$2:B27)-COUNTIFS($B$2:B27,"",$B$2:B27,"=*"))</f>
        <v/>
      </c>
      <c r="B27" s="217" t="str">
        <f>IF(足元帳!AU27="","",足元帳!C27)</f>
        <v/>
      </c>
      <c r="C27" s="217" t="str">
        <f>IFERROR(VLOOKUP(IF(足元帳!AU27="","",足元帳!BJ27),管理シート!$CA$4:$CB$23,2,FALSE),"")</f>
        <v/>
      </c>
      <c r="D27" s="217" t="str">
        <f>IF(足元帳!AU27="","",足元帳!K27)</f>
        <v/>
      </c>
      <c r="E27" s="217" t="str">
        <f>IFERROR(VLOOKUP(IF(足元帳!AU27="","",足元帳!BB27),管理シート!$R$4:$W$12,4),"")</f>
        <v/>
      </c>
      <c r="F27" s="217" t="str">
        <f>IFERROR(I27-J27,"")</f>
        <v/>
      </c>
      <c r="G27" s="217" t="str">
        <f>IF(足元帳!AU27="","",足元帳!AU27)</f>
        <v/>
      </c>
      <c r="H27" s="217" t="str">
        <f>IF(足元帳!AV27="","",足元帳!AV27)</f>
        <v/>
      </c>
      <c r="I27" s="217" t="str">
        <f>IF(B27="","",IF(IF(足元帳!AU27="","",足元帳!BB27)=1,精算表!$C$14,IF(IF(足元帳!AU27="","",足元帳!BB27)=2,精算表!$E$14,IF(IF(足元帳!AU27="","",足元帳!BB27)=3,精算表!$G$14,IF(IF(足元帳!AU27="","",足元帳!BB27)=4,精算表!$I$14,IF(IF(足元帳!AU27="","",足元帳!BB27)=5,精算表!$K$14,))))))</f>
        <v/>
      </c>
      <c r="J27" s="217" t="str">
        <f>IFERROR(VLOOKUP(VLOOKUP(IF(足元帳!AU27="","",足元帳!BJ27),管理シート!$CA$4:$CI$13,2,FALSE),精算表!$BL$20:$BS$29,MATCH(E27&amp;"分",精算表!$BL$20:$BS$20,0),FALSE),"")</f>
        <v/>
      </c>
      <c r="K27" s="220" t="str">
        <f>IF(足元帳!AU27="","",足元帳!CC27)</f>
        <v/>
      </c>
      <c r="L27" s="217" t="str">
        <f>IF(足元帳!AU27="","",IF(足元帳!AL27="●","カード利用",""))</f>
        <v/>
      </c>
    </row>
    <row r="28" spans="1:12">
      <c r="A28" t="str">
        <f>IF(B28="","",
    COUNTA($B$2:B28)-COUNTIFS($B$2:B28,"",$B$2:B28,"=*"))</f>
        <v/>
      </c>
      <c r="B28" s="217" t="str">
        <f>IF(足元帳!AU28="","",足元帳!C28)</f>
        <v/>
      </c>
      <c r="C28" s="217" t="str">
        <f>IFERROR(VLOOKUP(IF(足元帳!AU28="","",足元帳!BJ28),管理シート!$CA$4:$CB$23,2,FALSE),"")</f>
        <v/>
      </c>
      <c r="D28" s="217" t="str">
        <f>IF(足元帳!AU28="","",足元帳!K28)</f>
        <v/>
      </c>
      <c r="E28" s="217" t="str">
        <f>IFERROR(VLOOKUP(IF(足元帳!AU28="","",足元帳!BB28),管理シート!$R$4:$W$12,4),"")</f>
        <v/>
      </c>
      <c r="F28" s="217" t="str">
        <f t="shared" ref="F28:F91" si="1">IFERROR(I28-J28,"")</f>
        <v/>
      </c>
      <c r="G28" s="217" t="str">
        <f>IF(足元帳!AU28="","",足元帳!AU28)</f>
        <v/>
      </c>
      <c r="H28" s="217" t="str">
        <f>IF(足元帳!AV28="","",足元帳!AV28)</f>
        <v/>
      </c>
      <c r="I28" s="217" t="str">
        <f>IF(B28="","",IF(IF(足元帳!AU28="","",足元帳!BB28)=1,精算表!$C$14,IF(IF(足元帳!AU28="","",足元帳!BB28)=2,精算表!$E$14,IF(IF(足元帳!AU28="","",足元帳!BB28)=3,精算表!$G$14,IF(IF(足元帳!AU28="","",足元帳!BB28)=4,精算表!$I$14,IF(IF(足元帳!AU28="","",足元帳!BB28)=5,精算表!$K$14,))))))</f>
        <v/>
      </c>
      <c r="J28" s="217" t="str">
        <f>IFERROR(VLOOKUP(VLOOKUP(IF(足元帳!AU28="","",足元帳!BJ28),管理シート!$CA$4:$CI$13,2,FALSE),精算表!$BL$20:$BS$29,MATCH(E28&amp;"分",精算表!$BL$20:$BS$20,0),FALSE),"")</f>
        <v/>
      </c>
      <c r="K28" s="220" t="str">
        <f>IF(足元帳!AU28="","",足元帳!CC28)</f>
        <v/>
      </c>
      <c r="L28" s="217" t="str">
        <f>IF(足元帳!AU28="","",IF(足元帳!AL28="●","カード利用",""))</f>
        <v/>
      </c>
    </row>
    <row r="29" spans="1:12">
      <c r="A29" t="str">
        <f>IF(B29="","",
    COUNTA($B$2:B29)-COUNTIFS($B$2:B29,"",$B$2:B29,"=*"))</f>
        <v/>
      </c>
      <c r="B29" s="217" t="str">
        <f>IF(足元帳!AU29="","",足元帳!C29)</f>
        <v/>
      </c>
      <c r="C29" s="217" t="str">
        <f>IFERROR(VLOOKUP(IF(足元帳!AU29="","",足元帳!BJ29),管理シート!$CA$4:$CB$23,2,FALSE),"")</f>
        <v/>
      </c>
      <c r="D29" s="217" t="str">
        <f>IF(足元帳!AU29="","",足元帳!K29)</f>
        <v/>
      </c>
      <c r="E29" s="217" t="str">
        <f>IFERROR(VLOOKUP(IF(足元帳!AU29="","",足元帳!BB29),管理シート!$R$4:$W$12,4),"")</f>
        <v/>
      </c>
      <c r="F29" s="217" t="str">
        <f t="shared" si="1"/>
        <v/>
      </c>
      <c r="G29" s="217" t="str">
        <f>IF(足元帳!AU29="","",足元帳!AU29)</f>
        <v/>
      </c>
      <c r="H29" s="217" t="str">
        <f>IF(足元帳!AV29="","",足元帳!AV29)</f>
        <v/>
      </c>
      <c r="I29" s="217" t="str">
        <f>IF(B29="","",IF(IF(足元帳!AU29="","",足元帳!BB29)=1,精算表!$C$14,IF(IF(足元帳!AU29="","",足元帳!BB29)=2,精算表!$E$14,IF(IF(足元帳!AU29="","",足元帳!BB29)=3,精算表!$G$14,IF(IF(足元帳!AU29="","",足元帳!BB29)=4,精算表!$I$14,IF(IF(足元帳!AU29="","",足元帳!BB29)=5,精算表!$K$14,))))))</f>
        <v/>
      </c>
      <c r="J29" s="217" t="str">
        <f>IFERROR(VLOOKUP(VLOOKUP(IF(足元帳!AU29="","",足元帳!BJ29),管理シート!$CA$4:$CI$13,2,FALSE),精算表!$BL$20:$BS$29,MATCH(E29&amp;"分",精算表!$BL$20:$BS$20,0),FALSE),"")</f>
        <v/>
      </c>
      <c r="K29" s="220" t="str">
        <f>IF(足元帳!AU29="","",足元帳!CC29)</f>
        <v/>
      </c>
      <c r="L29" s="217" t="str">
        <f>IF(足元帳!AU29="","",IF(足元帳!AL29="●","カード利用",""))</f>
        <v/>
      </c>
    </row>
    <row r="30" spans="1:12">
      <c r="A30" t="str">
        <f>IF(B30="","",
    COUNTA($B$2:B30)-COUNTIFS($B$2:B30,"",$B$2:B30,"=*"))</f>
        <v/>
      </c>
      <c r="B30" s="217" t="str">
        <f>IF(足元帳!AU30="","",足元帳!C30)</f>
        <v/>
      </c>
      <c r="C30" s="217" t="str">
        <f>IFERROR(VLOOKUP(IF(足元帳!AU30="","",足元帳!BJ30),管理シート!$CA$4:$CB$23,2,FALSE),"")</f>
        <v/>
      </c>
      <c r="D30" s="217" t="str">
        <f>IF(足元帳!AU30="","",足元帳!K30)</f>
        <v/>
      </c>
      <c r="E30" s="217" t="str">
        <f>IFERROR(VLOOKUP(IF(足元帳!AU30="","",足元帳!BB30),管理シート!$R$4:$W$12,4),"")</f>
        <v/>
      </c>
      <c r="F30" s="217" t="str">
        <f t="shared" si="1"/>
        <v/>
      </c>
      <c r="G30" s="217" t="str">
        <f>IF(足元帳!AU30="","",足元帳!AU30)</f>
        <v/>
      </c>
      <c r="H30" s="217" t="str">
        <f>IF(足元帳!AV30="","",足元帳!AV30)</f>
        <v/>
      </c>
      <c r="I30" s="217" t="str">
        <f>IF(B30="","",IF(IF(足元帳!AU30="","",足元帳!BB30)=1,精算表!$C$14,IF(IF(足元帳!AU30="","",足元帳!BB30)=2,精算表!$E$14,IF(IF(足元帳!AU30="","",足元帳!BB30)=3,精算表!$G$14,IF(IF(足元帳!AU30="","",足元帳!BB30)=4,精算表!$I$14,IF(IF(足元帳!AU30="","",足元帳!BB30)=5,精算表!$K$14,))))))</f>
        <v/>
      </c>
      <c r="J30" s="217" t="str">
        <f>IFERROR(VLOOKUP(VLOOKUP(IF(足元帳!AU30="","",足元帳!BJ30),管理シート!$CA$4:$CI$13,2,FALSE),精算表!$BL$20:$BS$29,MATCH(E30&amp;"分",精算表!$BL$20:$BS$20,0),FALSE),"")</f>
        <v/>
      </c>
      <c r="K30" s="220" t="str">
        <f>IF(足元帳!AU30="","",足元帳!CC30)</f>
        <v/>
      </c>
      <c r="L30" s="217" t="str">
        <f>IF(足元帳!AU30="","",IF(足元帳!AL30="●","カード利用",""))</f>
        <v/>
      </c>
    </row>
    <row r="31" spans="1:12">
      <c r="A31" t="str">
        <f>IF(B31="","",
    COUNTA($B$2:B31)-COUNTIFS($B$2:B31,"",$B$2:B31,"=*"))</f>
        <v/>
      </c>
      <c r="B31" s="217" t="str">
        <f>IF(足元帳!AU31="","",足元帳!C31)</f>
        <v/>
      </c>
      <c r="C31" s="217" t="str">
        <f>IFERROR(VLOOKUP(IF(足元帳!AU31="","",足元帳!BJ31),管理シート!$CA$4:$CB$23,2,FALSE),"")</f>
        <v/>
      </c>
      <c r="D31" s="217" t="str">
        <f>IF(足元帳!AU31="","",足元帳!K31)</f>
        <v/>
      </c>
      <c r="E31" s="217" t="str">
        <f>IFERROR(VLOOKUP(IF(足元帳!AU31="","",足元帳!BB31),管理シート!$R$4:$W$12,4),"")</f>
        <v/>
      </c>
      <c r="F31" s="217" t="str">
        <f t="shared" si="1"/>
        <v/>
      </c>
      <c r="G31" s="217" t="str">
        <f>IF(足元帳!AU31="","",足元帳!AU31)</f>
        <v/>
      </c>
      <c r="H31" s="217" t="str">
        <f>IF(足元帳!AV31="","",足元帳!AV31)</f>
        <v/>
      </c>
      <c r="I31" s="217" t="str">
        <f>IF(B31="","",IF(IF(足元帳!AU31="","",足元帳!BB31)=1,精算表!$C$14,IF(IF(足元帳!AU31="","",足元帳!BB31)=2,精算表!$E$14,IF(IF(足元帳!AU31="","",足元帳!BB31)=3,精算表!$G$14,IF(IF(足元帳!AU31="","",足元帳!BB31)=4,精算表!$I$14,IF(IF(足元帳!AU31="","",足元帳!BB31)=5,精算表!$K$14,))))))</f>
        <v/>
      </c>
      <c r="J31" s="217" t="str">
        <f>IFERROR(VLOOKUP(VLOOKUP(IF(足元帳!AU31="","",足元帳!BJ31),管理シート!$CA$4:$CI$13,2,FALSE),精算表!$BL$20:$BS$29,MATCH(E31&amp;"分",精算表!$BL$20:$BS$20,0),FALSE),"")</f>
        <v/>
      </c>
      <c r="K31" s="220" t="str">
        <f>IF(足元帳!AU31="","",足元帳!CC31)</f>
        <v/>
      </c>
      <c r="L31" s="217" t="str">
        <f>IF(足元帳!AU31="","",IF(足元帳!AL31="●","カード利用",""))</f>
        <v/>
      </c>
    </row>
    <row r="32" spans="1:12">
      <c r="A32" t="str">
        <f>IF(B32="","",
    COUNTA($B$2:B32)-COUNTIFS($B$2:B32,"",$B$2:B32,"=*"))</f>
        <v/>
      </c>
      <c r="B32" s="217" t="str">
        <f>IF(足元帳!AU32="","",足元帳!C32)</f>
        <v/>
      </c>
      <c r="C32" s="217" t="str">
        <f>IFERROR(VLOOKUP(IF(足元帳!AU32="","",足元帳!BJ32),管理シート!$CA$4:$CB$23,2,FALSE),"")</f>
        <v/>
      </c>
      <c r="D32" s="217" t="str">
        <f>IF(足元帳!AU32="","",足元帳!K32)</f>
        <v/>
      </c>
      <c r="E32" s="217" t="str">
        <f>IFERROR(VLOOKUP(IF(足元帳!AU32="","",足元帳!BB32),管理シート!$R$4:$W$12,4),"")</f>
        <v/>
      </c>
      <c r="F32" s="217" t="str">
        <f t="shared" si="1"/>
        <v/>
      </c>
      <c r="G32" s="217" t="str">
        <f>IF(足元帳!AU32="","",足元帳!AU32)</f>
        <v/>
      </c>
      <c r="H32" s="217" t="str">
        <f>IF(足元帳!AV32="","",足元帳!AV32)</f>
        <v/>
      </c>
      <c r="I32" s="217" t="str">
        <f>IF(B32="","",IF(IF(足元帳!AU32="","",足元帳!BB32)=1,精算表!$C$14,IF(IF(足元帳!AU32="","",足元帳!BB32)=2,精算表!$E$14,IF(IF(足元帳!AU32="","",足元帳!BB32)=3,精算表!$G$14,IF(IF(足元帳!AU32="","",足元帳!BB32)=4,精算表!$I$14,IF(IF(足元帳!AU32="","",足元帳!BB32)=5,精算表!$K$14,))))))</f>
        <v/>
      </c>
      <c r="J32" s="217" t="str">
        <f>IFERROR(VLOOKUP(VLOOKUP(IF(足元帳!AU32="","",足元帳!BJ32),管理シート!$CA$4:$CI$13,2,FALSE),精算表!$BL$20:$BS$29,MATCH(E32&amp;"分",精算表!$BL$20:$BS$20,0),FALSE),"")</f>
        <v/>
      </c>
      <c r="K32" s="220" t="str">
        <f>IF(足元帳!AU32="","",足元帳!CC32)</f>
        <v/>
      </c>
      <c r="L32" s="217" t="str">
        <f>IF(足元帳!AU32="","",IF(足元帳!AL32="●","カード利用",""))</f>
        <v/>
      </c>
    </row>
    <row r="33" spans="1:12">
      <c r="A33" t="str">
        <f>IF(B33="","",
    COUNTA($B$2:B33)-COUNTIFS($B$2:B33,"",$B$2:B33,"=*"))</f>
        <v/>
      </c>
      <c r="B33" s="217" t="str">
        <f>IF(足元帳!AU33="","",足元帳!C33)</f>
        <v/>
      </c>
      <c r="C33" s="217" t="str">
        <f>IFERROR(VLOOKUP(IF(足元帳!AU33="","",足元帳!BJ33),管理シート!$CA$4:$CB$23,2,FALSE),"")</f>
        <v/>
      </c>
      <c r="D33" s="217" t="str">
        <f>IF(足元帳!AU33="","",足元帳!K33)</f>
        <v/>
      </c>
      <c r="E33" s="217" t="str">
        <f>IFERROR(VLOOKUP(IF(足元帳!AU33="","",足元帳!BB33),管理シート!$R$4:$W$12,4),"")</f>
        <v/>
      </c>
      <c r="F33" s="217" t="str">
        <f t="shared" si="1"/>
        <v/>
      </c>
      <c r="G33" s="217" t="str">
        <f>IF(足元帳!AU33="","",足元帳!AU33)</f>
        <v/>
      </c>
      <c r="H33" s="217" t="str">
        <f>IF(足元帳!AV33="","",足元帳!AV33)</f>
        <v/>
      </c>
      <c r="I33" s="217" t="str">
        <f>IF(B33="","",IF(IF(足元帳!AU33="","",足元帳!BB33)=1,精算表!$C$14,IF(IF(足元帳!AU33="","",足元帳!BB33)=2,精算表!$E$14,IF(IF(足元帳!AU33="","",足元帳!BB33)=3,精算表!$G$14,IF(IF(足元帳!AU33="","",足元帳!BB33)=4,精算表!$I$14,IF(IF(足元帳!AU33="","",足元帳!BB33)=5,精算表!$K$14,))))))</f>
        <v/>
      </c>
      <c r="J33" s="217" t="str">
        <f>IFERROR(VLOOKUP(VLOOKUP(IF(足元帳!AU33="","",足元帳!BJ33),管理シート!$CA$4:$CI$13,2,FALSE),精算表!$BL$20:$BS$29,MATCH(E33&amp;"分",精算表!$BL$20:$BS$20,0),FALSE),"")</f>
        <v/>
      </c>
      <c r="K33" s="220" t="str">
        <f>IF(足元帳!AU33="","",足元帳!CC33)</f>
        <v/>
      </c>
      <c r="L33" s="217" t="str">
        <f>IF(足元帳!AU33="","",IF(足元帳!AL33="●","カード利用",""))</f>
        <v/>
      </c>
    </row>
    <row r="34" spans="1:12">
      <c r="A34" t="str">
        <f>IF(B34="","",
    COUNTA($B$2:B34)-COUNTIFS($B$2:B34,"",$B$2:B34,"=*"))</f>
        <v/>
      </c>
      <c r="B34" s="217" t="str">
        <f>IF(足元帳!AU34="","",足元帳!C34)</f>
        <v/>
      </c>
      <c r="C34" s="217" t="str">
        <f>IFERROR(VLOOKUP(IF(足元帳!AU34="","",足元帳!BJ34),管理シート!$CA$4:$CB$23,2,FALSE),"")</f>
        <v/>
      </c>
      <c r="D34" s="217" t="str">
        <f>IF(足元帳!AU34="","",足元帳!K34)</f>
        <v/>
      </c>
      <c r="E34" s="217" t="str">
        <f>IFERROR(VLOOKUP(IF(足元帳!AU34="","",足元帳!BB34),管理シート!$R$4:$W$12,4),"")</f>
        <v/>
      </c>
      <c r="F34" s="217" t="str">
        <f t="shared" si="1"/>
        <v/>
      </c>
      <c r="G34" s="217" t="str">
        <f>IF(足元帳!AU34="","",足元帳!AU34)</f>
        <v/>
      </c>
      <c r="H34" s="217" t="str">
        <f>IF(足元帳!AV34="","",足元帳!AV34)</f>
        <v/>
      </c>
      <c r="I34" s="217" t="str">
        <f>IF(B34="","",IF(IF(足元帳!AU34="","",足元帳!BB34)=1,精算表!$C$14,IF(IF(足元帳!AU34="","",足元帳!BB34)=2,精算表!$E$14,IF(IF(足元帳!AU34="","",足元帳!BB34)=3,精算表!$G$14,IF(IF(足元帳!AU34="","",足元帳!BB34)=4,精算表!$I$14,IF(IF(足元帳!AU34="","",足元帳!BB34)=5,精算表!$K$14,))))))</f>
        <v/>
      </c>
      <c r="J34" s="217" t="str">
        <f>IFERROR(VLOOKUP(VLOOKUP(IF(足元帳!AU34="","",足元帳!BJ34),管理シート!$CA$4:$CI$13,2,FALSE),精算表!$BL$20:$BS$29,MATCH(E34&amp;"分",精算表!$BL$20:$BS$20,0),FALSE),"")</f>
        <v/>
      </c>
      <c r="K34" s="220" t="str">
        <f>IF(足元帳!AU34="","",足元帳!CC34)</f>
        <v/>
      </c>
      <c r="L34" s="217" t="str">
        <f>IF(足元帳!AU34="","",IF(足元帳!AL34="●","カード利用",""))</f>
        <v/>
      </c>
    </row>
    <row r="35" spans="1:12">
      <c r="A35" t="str">
        <f>IF(B35="","",
    COUNTA($B$2:B35)-COUNTIFS($B$2:B35,"",$B$2:B35,"=*"))</f>
        <v/>
      </c>
      <c r="B35" s="217" t="str">
        <f>IF(足元帳!AU35="","",足元帳!C35)</f>
        <v/>
      </c>
      <c r="C35" s="217" t="str">
        <f>IFERROR(VLOOKUP(IF(足元帳!AU35="","",足元帳!BJ35),管理シート!$CA$4:$CB$23,2,FALSE),"")</f>
        <v/>
      </c>
      <c r="D35" s="217" t="str">
        <f>IF(足元帳!AU35="","",足元帳!K35)</f>
        <v/>
      </c>
      <c r="E35" s="217" t="str">
        <f>IFERROR(VLOOKUP(IF(足元帳!AU35="","",足元帳!BB35),管理シート!$R$4:$W$12,4),"")</f>
        <v/>
      </c>
      <c r="F35" s="217" t="str">
        <f t="shared" si="1"/>
        <v/>
      </c>
      <c r="G35" s="217" t="str">
        <f>IF(足元帳!AU35="","",足元帳!AU35)</f>
        <v/>
      </c>
      <c r="H35" s="217" t="str">
        <f>IF(足元帳!AV35="","",足元帳!AV35)</f>
        <v/>
      </c>
      <c r="I35" s="217" t="str">
        <f>IF(B35="","",IF(IF(足元帳!AU35="","",足元帳!BB35)=1,精算表!$C$14,IF(IF(足元帳!AU35="","",足元帳!BB35)=2,精算表!$E$14,IF(IF(足元帳!AU35="","",足元帳!BB35)=3,精算表!$G$14,IF(IF(足元帳!AU35="","",足元帳!BB35)=4,精算表!$I$14,IF(IF(足元帳!AU35="","",足元帳!BB35)=5,精算表!$K$14,))))))</f>
        <v/>
      </c>
      <c r="J35" s="217" t="str">
        <f>IFERROR(VLOOKUP(VLOOKUP(IF(足元帳!AU35="","",足元帳!BJ35),管理シート!$CA$4:$CI$13,2,FALSE),精算表!$BL$20:$BS$29,MATCH(E35&amp;"分",精算表!$BL$20:$BS$20,0),FALSE),"")</f>
        <v/>
      </c>
      <c r="K35" s="220" t="str">
        <f>IF(足元帳!AU35="","",足元帳!CC35)</f>
        <v/>
      </c>
      <c r="L35" s="217" t="str">
        <f>IF(足元帳!AU35="","",IF(足元帳!AL35="●","カード利用",""))</f>
        <v/>
      </c>
    </row>
    <row r="36" spans="1:12">
      <c r="A36" t="str">
        <f>IF(B36="","",
    COUNTA($B$2:B36)-COUNTIFS($B$2:B36,"",$B$2:B36,"=*"))</f>
        <v/>
      </c>
      <c r="B36" s="217" t="str">
        <f>IF(足元帳!AU36="","",足元帳!C36)</f>
        <v/>
      </c>
      <c r="C36" s="217" t="str">
        <f>IFERROR(VLOOKUP(IF(足元帳!AU36="","",足元帳!BJ36),管理シート!$CA$4:$CB$23,2,FALSE),"")</f>
        <v/>
      </c>
      <c r="D36" s="217" t="str">
        <f>IF(足元帳!AU36="","",足元帳!K36)</f>
        <v/>
      </c>
      <c r="E36" s="217" t="str">
        <f>IFERROR(VLOOKUP(IF(足元帳!AU36="","",足元帳!BB36),管理シート!$R$4:$W$12,4),"")</f>
        <v/>
      </c>
      <c r="F36" s="217" t="str">
        <f t="shared" si="1"/>
        <v/>
      </c>
      <c r="G36" s="217" t="str">
        <f>IF(足元帳!AU36="","",足元帳!AU36)</f>
        <v/>
      </c>
      <c r="H36" s="217" t="str">
        <f>IF(足元帳!AV36="","",足元帳!AV36)</f>
        <v/>
      </c>
      <c r="I36" s="217" t="str">
        <f>IF(B36="","",IF(IF(足元帳!AU36="","",足元帳!BB36)=1,精算表!$C$14,IF(IF(足元帳!AU36="","",足元帳!BB36)=2,精算表!$E$14,IF(IF(足元帳!AU36="","",足元帳!BB36)=3,精算表!$G$14,IF(IF(足元帳!AU36="","",足元帳!BB36)=4,精算表!$I$14,IF(IF(足元帳!AU36="","",足元帳!BB36)=5,精算表!$K$14,))))))</f>
        <v/>
      </c>
      <c r="J36" s="217" t="str">
        <f>IFERROR(VLOOKUP(VLOOKUP(IF(足元帳!AU36="","",足元帳!BJ36),管理シート!$CA$4:$CI$13,2,FALSE),精算表!$BL$20:$BS$29,MATCH(E36&amp;"分",精算表!$BL$20:$BS$20,0),FALSE),"")</f>
        <v/>
      </c>
      <c r="K36" s="220" t="str">
        <f>IF(足元帳!AU36="","",足元帳!CC36)</f>
        <v/>
      </c>
      <c r="L36" s="217" t="str">
        <f>IF(足元帳!AU36="","",IF(足元帳!AL36="●","カード利用",""))</f>
        <v/>
      </c>
    </row>
    <row r="37" spans="1:12">
      <c r="A37" t="str">
        <f>IF(B37="","",
    COUNTA($B$2:B37)-COUNTIFS($B$2:B37,"",$B$2:B37,"=*"))</f>
        <v/>
      </c>
      <c r="B37" s="217" t="str">
        <f>IF(足元帳!AU37="","",足元帳!C37)</f>
        <v/>
      </c>
      <c r="C37" s="217" t="str">
        <f>IFERROR(VLOOKUP(IF(足元帳!AU37="","",足元帳!BJ37),管理シート!$CA$4:$CB$23,2,FALSE),"")</f>
        <v/>
      </c>
      <c r="D37" s="217" t="str">
        <f>IF(足元帳!AU37="","",足元帳!K37)</f>
        <v/>
      </c>
      <c r="E37" s="217" t="str">
        <f>IFERROR(VLOOKUP(IF(足元帳!AU37="","",足元帳!BB37),管理シート!$R$4:$W$12,4),"")</f>
        <v/>
      </c>
      <c r="F37" s="217" t="str">
        <f t="shared" si="1"/>
        <v/>
      </c>
      <c r="G37" s="217" t="str">
        <f>IF(足元帳!AU37="","",足元帳!AU37)</f>
        <v/>
      </c>
      <c r="H37" s="217" t="str">
        <f>IF(足元帳!AV37="","",足元帳!AV37)</f>
        <v/>
      </c>
      <c r="I37" s="217" t="str">
        <f>IF(B37="","",IF(IF(足元帳!AU37="","",足元帳!BB37)=1,精算表!$C$14,IF(IF(足元帳!AU37="","",足元帳!BB37)=2,精算表!$E$14,IF(IF(足元帳!AU37="","",足元帳!BB37)=3,精算表!$G$14,IF(IF(足元帳!AU37="","",足元帳!BB37)=4,精算表!$I$14,IF(IF(足元帳!AU37="","",足元帳!BB37)=5,精算表!$K$14,))))))</f>
        <v/>
      </c>
      <c r="J37" s="217" t="str">
        <f>IFERROR(VLOOKUP(VLOOKUP(IF(足元帳!AU37="","",足元帳!BJ37),管理シート!$CA$4:$CI$13,2,FALSE),精算表!$BL$20:$BS$29,MATCH(E37&amp;"分",精算表!$BL$20:$BS$20,0),FALSE),"")</f>
        <v/>
      </c>
      <c r="K37" s="220" t="str">
        <f>IF(足元帳!AU37="","",足元帳!CC37)</f>
        <v/>
      </c>
      <c r="L37" s="217" t="str">
        <f>IF(足元帳!AU37="","",IF(足元帳!AL37="●","カード利用",""))</f>
        <v/>
      </c>
    </row>
    <row r="38" spans="1:12">
      <c r="A38" t="str">
        <f>IF(B38="","",
    COUNTA($B$2:B38)-COUNTIFS($B$2:B38,"",$B$2:B38,"=*"))</f>
        <v/>
      </c>
      <c r="B38" s="217" t="str">
        <f>IF(足元帳!AU38="","",足元帳!C38)</f>
        <v/>
      </c>
      <c r="C38" s="217" t="str">
        <f>IFERROR(VLOOKUP(IF(足元帳!AU38="","",足元帳!BJ38),管理シート!$CA$4:$CB$23,2,FALSE),"")</f>
        <v/>
      </c>
      <c r="D38" s="217" t="str">
        <f>IF(足元帳!AU38="","",足元帳!K38)</f>
        <v/>
      </c>
      <c r="E38" s="217" t="str">
        <f>IFERROR(VLOOKUP(IF(足元帳!AU38="","",足元帳!BB38),管理シート!$R$4:$W$12,4),"")</f>
        <v/>
      </c>
      <c r="F38" s="217" t="str">
        <f t="shared" si="1"/>
        <v/>
      </c>
      <c r="G38" s="217" t="str">
        <f>IF(足元帳!AU38="","",足元帳!AU38)</f>
        <v/>
      </c>
      <c r="H38" s="217" t="str">
        <f>IF(足元帳!AV38="","",足元帳!AV38)</f>
        <v/>
      </c>
      <c r="I38" s="217" t="str">
        <f>IF(B38="","",IF(IF(足元帳!AU38="","",足元帳!BB38)=1,精算表!$C$14,IF(IF(足元帳!AU38="","",足元帳!BB38)=2,精算表!$E$14,IF(IF(足元帳!AU38="","",足元帳!BB38)=3,精算表!$G$14,IF(IF(足元帳!AU38="","",足元帳!BB38)=4,精算表!$I$14,IF(IF(足元帳!AU38="","",足元帳!BB38)=5,精算表!$K$14,))))))</f>
        <v/>
      </c>
      <c r="J38" s="217" t="str">
        <f>IFERROR(VLOOKUP(VLOOKUP(IF(足元帳!AU38="","",足元帳!BJ38),管理シート!$CA$4:$CI$13,2,FALSE),精算表!$BL$20:$BS$29,MATCH(E38&amp;"分",精算表!$BL$20:$BS$20,0),FALSE),"")</f>
        <v/>
      </c>
      <c r="K38" s="220" t="str">
        <f>IF(足元帳!AU38="","",足元帳!CC38)</f>
        <v/>
      </c>
      <c r="L38" s="217" t="str">
        <f>IF(足元帳!AU38="","",IF(足元帳!AL38="●","カード利用",""))</f>
        <v/>
      </c>
    </row>
    <row r="39" spans="1:12">
      <c r="A39" t="str">
        <f>IF(B39="","",
    COUNTA($B$2:B39)-COUNTIFS($B$2:B39,"",$B$2:B39,"=*"))</f>
        <v/>
      </c>
      <c r="B39" s="217" t="str">
        <f>IF(足元帳!AU39="","",足元帳!C39)</f>
        <v/>
      </c>
      <c r="C39" s="217" t="str">
        <f>IFERROR(VLOOKUP(IF(足元帳!AU39="","",足元帳!BJ39),管理シート!$CA$4:$CB$23,2,FALSE),"")</f>
        <v/>
      </c>
      <c r="D39" s="217" t="str">
        <f>IF(足元帳!AU39="","",足元帳!K39)</f>
        <v/>
      </c>
      <c r="E39" s="217" t="str">
        <f>IFERROR(VLOOKUP(IF(足元帳!AU39="","",足元帳!BB39),管理シート!$R$4:$W$12,4),"")</f>
        <v/>
      </c>
      <c r="F39" s="217" t="str">
        <f t="shared" si="1"/>
        <v/>
      </c>
      <c r="G39" s="217" t="str">
        <f>IF(足元帳!AU39="","",足元帳!AU39)</f>
        <v/>
      </c>
      <c r="H39" s="217" t="str">
        <f>IF(足元帳!AV39="","",足元帳!AV39)</f>
        <v/>
      </c>
      <c r="I39" s="217" t="str">
        <f>IF(B39="","",IF(IF(足元帳!AU39="","",足元帳!BB39)=1,精算表!$C$14,IF(IF(足元帳!AU39="","",足元帳!BB39)=2,精算表!$E$14,IF(IF(足元帳!AU39="","",足元帳!BB39)=3,精算表!$G$14,IF(IF(足元帳!AU39="","",足元帳!BB39)=4,精算表!$I$14,IF(IF(足元帳!AU39="","",足元帳!BB39)=5,精算表!$K$14,))))))</f>
        <v/>
      </c>
      <c r="J39" s="217" t="str">
        <f>IFERROR(VLOOKUP(VLOOKUP(IF(足元帳!AU39="","",足元帳!BJ39),管理シート!$CA$4:$CI$13,2,FALSE),精算表!$BL$20:$BS$29,MATCH(E39&amp;"分",精算表!$BL$20:$BS$20,0),FALSE),"")</f>
        <v/>
      </c>
      <c r="K39" s="220" t="str">
        <f>IF(足元帳!AU39="","",足元帳!CC39)</f>
        <v/>
      </c>
      <c r="L39" s="217" t="str">
        <f>IF(足元帳!AU39="","",IF(足元帳!AL39="●","カード利用",""))</f>
        <v/>
      </c>
    </row>
    <row r="40" spans="1:12">
      <c r="A40" t="str">
        <f>IF(B40="","",
    COUNTA($B$2:B40)-COUNTIFS($B$2:B40,"",$B$2:B40,"=*"))</f>
        <v/>
      </c>
      <c r="B40" s="217" t="str">
        <f>IF(足元帳!AU40="","",足元帳!C40)</f>
        <v/>
      </c>
      <c r="C40" s="217" t="str">
        <f>IFERROR(VLOOKUP(IF(足元帳!AU40="","",足元帳!BJ40),管理シート!$CA$4:$CB$23,2,FALSE),"")</f>
        <v/>
      </c>
      <c r="D40" s="217" t="str">
        <f>IF(足元帳!AU40="","",足元帳!K40)</f>
        <v/>
      </c>
      <c r="E40" s="217" t="str">
        <f>IFERROR(VLOOKUP(IF(足元帳!AU40="","",足元帳!BB40),管理シート!$R$4:$W$12,4),"")</f>
        <v/>
      </c>
      <c r="F40" s="217" t="str">
        <f t="shared" si="1"/>
        <v/>
      </c>
      <c r="G40" s="217" t="str">
        <f>IF(足元帳!AU40="","",足元帳!AU40)</f>
        <v/>
      </c>
      <c r="H40" s="217" t="str">
        <f>IF(足元帳!AV40="","",足元帳!AV40)</f>
        <v/>
      </c>
      <c r="I40" s="217" t="str">
        <f>IF(B40="","",IF(IF(足元帳!AU40="","",足元帳!BB40)=1,精算表!$C$14,IF(IF(足元帳!AU40="","",足元帳!BB40)=2,精算表!$E$14,IF(IF(足元帳!AU40="","",足元帳!BB40)=3,精算表!$G$14,IF(IF(足元帳!AU40="","",足元帳!BB40)=4,精算表!$I$14,IF(IF(足元帳!AU40="","",足元帳!BB40)=5,精算表!$K$14,))))))</f>
        <v/>
      </c>
      <c r="J40" s="217" t="str">
        <f>IFERROR(VLOOKUP(VLOOKUP(IF(足元帳!AU40="","",足元帳!BJ40),管理シート!$CA$4:$CI$13,2,FALSE),精算表!$BL$20:$BS$29,MATCH(E40&amp;"分",精算表!$BL$20:$BS$20,0),FALSE),"")</f>
        <v/>
      </c>
      <c r="K40" s="220" t="str">
        <f>IF(足元帳!AU40="","",足元帳!CC40)</f>
        <v/>
      </c>
      <c r="L40" s="217" t="str">
        <f>IF(足元帳!AU40="","",IF(足元帳!AL40="●","カード利用",""))</f>
        <v/>
      </c>
    </row>
    <row r="41" spans="1:12">
      <c r="A41" t="str">
        <f>IF(B41="","",
    COUNTA($B$2:B41)-COUNTIFS($B$2:B41,"",$B$2:B41,"=*"))</f>
        <v/>
      </c>
      <c r="B41" s="217" t="str">
        <f>IF(足元帳!AU41="","",足元帳!C41)</f>
        <v/>
      </c>
      <c r="C41" s="217" t="str">
        <f>IFERROR(VLOOKUP(IF(足元帳!AU41="","",足元帳!BJ41),管理シート!$CA$4:$CB$23,2,FALSE),"")</f>
        <v/>
      </c>
      <c r="D41" s="217" t="str">
        <f>IF(足元帳!AU41="","",足元帳!K41)</f>
        <v/>
      </c>
      <c r="E41" s="217" t="str">
        <f>IFERROR(VLOOKUP(IF(足元帳!AU41="","",足元帳!BB41),管理シート!$R$4:$W$12,4),"")</f>
        <v/>
      </c>
      <c r="F41" s="217" t="str">
        <f t="shared" si="1"/>
        <v/>
      </c>
      <c r="G41" s="217" t="str">
        <f>IF(足元帳!AU41="","",足元帳!AU41)</f>
        <v/>
      </c>
      <c r="H41" s="217" t="str">
        <f>IF(足元帳!AV41="","",足元帳!AV41)</f>
        <v/>
      </c>
      <c r="I41" s="217" t="str">
        <f>IF(B41="","",IF(IF(足元帳!AU41="","",足元帳!BB41)=1,精算表!$C$14,IF(IF(足元帳!AU41="","",足元帳!BB41)=2,精算表!$E$14,IF(IF(足元帳!AU41="","",足元帳!BB41)=3,精算表!$G$14,IF(IF(足元帳!AU41="","",足元帳!BB41)=4,精算表!$I$14,IF(IF(足元帳!AU41="","",足元帳!BB41)=5,精算表!$K$14,))))))</f>
        <v/>
      </c>
      <c r="J41" s="217" t="str">
        <f>IFERROR(VLOOKUP(VLOOKUP(IF(足元帳!AU41="","",足元帳!BJ41),管理シート!$CA$4:$CI$13,2,FALSE),精算表!$BL$20:$BS$29,MATCH(E41&amp;"分",精算表!$BL$20:$BS$20,0),FALSE),"")</f>
        <v/>
      </c>
      <c r="K41" s="220" t="str">
        <f>IF(足元帳!AU41="","",足元帳!CC41)</f>
        <v/>
      </c>
      <c r="L41" s="217" t="str">
        <f>IF(足元帳!AU41="","",IF(足元帳!AL41="●","カード利用",""))</f>
        <v/>
      </c>
    </row>
    <row r="42" spans="1:12">
      <c r="A42" t="str">
        <f>IF(B42="","",
    COUNTA($B$2:B42)-COUNTIFS($B$2:B42,"",$B$2:B42,"=*"))</f>
        <v/>
      </c>
      <c r="B42" s="217" t="str">
        <f>IF(足元帳!AU42="","",足元帳!C42)</f>
        <v/>
      </c>
      <c r="C42" s="217" t="str">
        <f>IFERROR(VLOOKUP(IF(足元帳!AU42="","",足元帳!BJ42),管理シート!$CA$4:$CB$23,2,FALSE),"")</f>
        <v/>
      </c>
      <c r="D42" s="217" t="str">
        <f>IF(足元帳!AU42="","",足元帳!K42)</f>
        <v/>
      </c>
      <c r="E42" s="217" t="str">
        <f>IFERROR(VLOOKUP(IF(足元帳!AU42="","",足元帳!BB42),管理シート!$R$4:$W$12,4),"")</f>
        <v/>
      </c>
      <c r="F42" s="217" t="str">
        <f t="shared" si="1"/>
        <v/>
      </c>
      <c r="G42" s="217" t="str">
        <f>IF(足元帳!AU42="","",足元帳!AU42)</f>
        <v/>
      </c>
      <c r="H42" s="217" t="str">
        <f>IF(足元帳!AV42="","",足元帳!AV42)</f>
        <v/>
      </c>
      <c r="I42" s="217" t="str">
        <f>IF(B42="","",IF(IF(足元帳!AU42="","",足元帳!BB42)=1,精算表!$C$14,IF(IF(足元帳!AU42="","",足元帳!BB42)=2,精算表!$E$14,IF(IF(足元帳!AU42="","",足元帳!BB42)=3,精算表!$G$14,IF(IF(足元帳!AU42="","",足元帳!BB42)=4,精算表!$I$14,IF(IF(足元帳!AU42="","",足元帳!BB42)=5,精算表!$K$14,))))))</f>
        <v/>
      </c>
      <c r="J42" s="217" t="str">
        <f>IFERROR(VLOOKUP(VLOOKUP(IF(足元帳!AU42="","",足元帳!BJ42),管理シート!$CA$4:$CI$13,2,FALSE),精算表!$BL$20:$BS$29,MATCH(E42&amp;"分",精算表!$BL$20:$BS$20,0),FALSE),"")</f>
        <v/>
      </c>
      <c r="K42" s="220" t="str">
        <f>IF(足元帳!AU42="","",足元帳!CC42)</f>
        <v/>
      </c>
      <c r="L42" s="217" t="str">
        <f>IF(足元帳!AU42="","",IF(足元帳!AL42="●","カード利用",""))</f>
        <v/>
      </c>
    </row>
    <row r="43" spans="1:12">
      <c r="A43" t="str">
        <f>IF(B43="","",
    COUNTA($B$2:B43)-COUNTIFS($B$2:B43,"",$B$2:B43,"=*"))</f>
        <v/>
      </c>
      <c r="B43" s="217" t="str">
        <f>IF(足元帳!AU43="","",足元帳!C43)</f>
        <v/>
      </c>
      <c r="C43" s="217" t="str">
        <f>IFERROR(VLOOKUP(IF(足元帳!AU43="","",足元帳!BJ43),管理シート!$CA$4:$CB$23,2,FALSE),"")</f>
        <v/>
      </c>
      <c r="D43" s="217" t="str">
        <f>IF(足元帳!AU43="","",足元帳!K43)</f>
        <v/>
      </c>
      <c r="E43" s="217" t="str">
        <f>IFERROR(VLOOKUP(IF(足元帳!AU43="","",足元帳!BB43),管理シート!$R$4:$W$12,4),"")</f>
        <v/>
      </c>
      <c r="F43" s="217" t="str">
        <f t="shared" si="1"/>
        <v/>
      </c>
      <c r="G43" s="217" t="str">
        <f>IF(足元帳!AU43="","",足元帳!AU43)</f>
        <v/>
      </c>
      <c r="H43" s="217" t="str">
        <f>IF(足元帳!AV43="","",足元帳!AV43)</f>
        <v/>
      </c>
      <c r="I43" s="217" t="str">
        <f>IF(B43="","",IF(IF(足元帳!AU43="","",足元帳!BB43)=1,精算表!$C$14,IF(IF(足元帳!AU43="","",足元帳!BB43)=2,精算表!$E$14,IF(IF(足元帳!AU43="","",足元帳!BB43)=3,精算表!$G$14,IF(IF(足元帳!AU43="","",足元帳!BB43)=4,精算表!$I$14,IF(IF(足元帳!AU43="","",足元帳!BB43)=5,精算表!$K$14,))))))</f>
        <v/>
      </c>
      <c r="J43" s="217" t="str">
        <f>IFERROR(VLOOKUP(VLOOKUP(IF(足元帳!AU43="","",足元帳!BJ43),管理シート!$CA$4:$CI$13,2,FALSE),精算表!$BL$20:$BS$29,MATCH(E43&amp;"分",精算表!$BL$20:$BS$20,0),FALSE),"")</f>
        <v/>
      </c>
      <c r="K43" s="220" t="str">
        <f>IF(足元帳!AU43="","",足元帳!CC43)</f>
        <v/>
      </c>
      <c r="L43" s="217" t="str">
        <f>IF(足元帳!AU43="","",IF(足元帳!AL43="●","カード利用",""))</f>
        <v/>
      </c>
    </row>
    <row r="44" spans="1:12">
      <c r="A44" t="str">
        <f>IF(B44="","",
    COUNTA($B$2:B44)-COUNTIFS($B$2:B44,"",$B$2:B44,"=*"))</f>
        <v/>
      </c>
      <c r="B44" s="217" t="str">
        <f>IF(足元帳!AU44="","",足元帳!C44)</f>
        <v/>
      </c>
      <c r="C44" s="217" t="str">
        <f>IFERROR(VLOOKUP(IF(足元帳!AU44="","",足元帳!BJ44),管理シート!$CA$4:$CB$23,2,FALSE),"")</f>
        <v/>
      </c>
      <c r="D44" s="217" t="str">
        <f>IF(足元帳!AU44="","",足元帳!K44)</f>
        <v/>
      </c>
      <c r="E44" s="217" t="str">
        <f>IFERROR(VLOOKUP(IF(足元帳!AU44="","",足元帳!BB44),管理シート!$R$4:$W$12,4),"")</f>
        <v/>
      </c>
      <c r="F44" s="217" t="str">
        <f t="shared" si="1"/>
        <v/>
      </c>
      <c r="G44" s="217" t="str">
        <f>IF(足元帳!AU44="","",足元帳!AU44)</f>
        <v/>
      </c>
      <c r="H44" s="217" t="str">
        <f>IF(足元帳!AV44="","",足元帳!AV44)</f>
        <v/>
      </c>
      <c r="I44" s="217" t="str">
        <f>IF(B44="","",IF(IF(足元帳!AU44="","",足元帳!BB44)=1,精算表!$C$14,IF(IF(足元帳!AU44="","",足元帳!BB44)=2,精算表!$E$14,IF(IF(足元帳!AU44="","",足元帳!BB44)=3,精算表!$G$14,IF(IF(足元帳!AU44="","",足元帳!BB44)=4,精算表!$I$14,IF(IF(足元帳!AU44="","",足元帳!BB44)=5,精算表!$K$14,))))))</f>
        <v/>
      </c>
      <c r="J44" s="217" t="str">
        <f>IFERROR(VLOOKUP(VLOOKUP(IF(足元帳!AU44="","",足元帳!BJ44),管理シート!$CA$4:$CI$13,2,FALSE),精算表!$BL$20:$BS$29,MATCH(E44&amp;"分",精算表!$BL$20:$BS$20,0),FALSE),"")</f>
        <v/>
      </c>
      <c r="K44" s="220" t="str">
        <f>IF(足元帳!AU44="","",足元帳!CC44)</f>
        <v/>
      </c>
      <c r="L44" s="217" t="str">
        <f>IF(足元帳!AU44="","",IF(足元帳!AL44="●","カード利用",""))</f>
        <v/>
      </c>
    </row>
    <row r="45" spans="1:12">
      <c r="A45" t="str">
        <f>IF(B45="","",
    COUNTA($B$2:B45)-COUNTIFS($B$2:B45,"",$B$2:B45,"=*"))</f>
        <v/>
      </c>
      <c r="B45" s="217" t="str">
        <f>IF(足元帳!AU45="","",足元帳!C45)</f>
        <v/>
      </c>
      <c r="C45" s="217" t="str">
        <f>IFERROR(VLOOKUP(IF(足元帳!AU45="","",足元帳!BJ45),管理シート!$CA$4:$CB$23,2,FALSE),"")</f>
        <v/>
      </c>
      <c r="D45" s="217" t="str">
        <f>IF(足元帳!AU45="","",足元帳!K45)</f>
        <v/>
      </c>
      <c r="E45" s="217" t="str">
        <f>IFERROR(VLOOKUP(IF(足元帳!AU45="","",足元帳!BB45),管理シート!$R$4:$W$12,4),"")</f>
        <v/>
      </c>
      <c r="F45" s="217" t="str">
        <f t="shared" si="1"/>
        <v/>
      </c>
      <c r="G45" s="217" t="str">
        <f>IF(足元帳!AU45="","",足元帳!AU45)</f>
        <v/>
      </c>
      <c r="H45" s="217" t="str">
        <f>IF(足元帳!AV45="","",足元帳!AV45)</f>
        <v/>
      </c>
      <c r="I45" s="217" t="str">
        <f>IF(B45="","",IF(IF(足元帳!AU45="","",足元帳!BB45)=1,精算表!$C$14,IF(IF(足元帳!AU45="","",足元帳!BB45)=2,精算表!$E$14,IF(IF(足元帳!AU45="","",足元帳!BB45)=3,精算表!$G$14,IF(IF(足元帳!AU45="","",足元帳!BB45)=4,精算表!$I$14,IF(IF(足元帳!AU45="","",足元帳!BB45)=5,精算表!$K$14,))))))</f>
        <v/>
      </c>
      <c r="J45" s="217" t="str">
        <f>IFERROR(VLOOKUP(VLOOKUP(IF(足元帳!AU45="","",足元帳!BJ45),管理シート!$CA$4:$CI$13,2,FALSE),精算表!$BL$20:$BS$29,MATCH(E45&amp;"分",精算表!$BL$20:$BS$20,0),FALSE),"")</f>
        <v/>
      </c>
      <c r="K45" s="220" t="str">
        <f>IF(足元帳!AU45="","",足元帳!CC45)</f>
        <v/>
      </c>
      <c r="L45" s="217" t="str">
        <f>IF(足元帳!AU45="","",IF(足元帳!AL45="●","カード利用",""))</f>
        <v/>
      </c>
    </row>
    <row r="46" spans="1:12">
      <c r="A46" t="str">
        <f>IF(B46="","",
    COUNTA($B$2:B46)-COUNTIFS($B$2:B46,"",$B$2:B46,"=*"))</f>
        <v/>
      </c>
      <c r="B46" s="217" t="str">
        <f>IF(足元帳!AU46="","",足元帳!C46)</f>
        <v/>
      </c>
      <c r="C46" s="217" t="str">
        <f>IFERROR(VLOOKUP(IF(足元帳!AU46="","",足元帳!BJ46),管理シート!$CA$4:$CB$23,2,FALSE),"")</f>
        <v/>
      </c>
      <c r="D46" s="217" t="str">
        <f>IF(足元帳!AU46="","",足元帳!K46)</f>
        <v/>
      </c>
      <c r="E46" s="217" t="str">
        <f>IFERROR(VLOOKUP(IF(足元帳!AU46="","",足元帳!BB46),管理シート!$R$4:$W$12,4),"")</f>
        <v/>
      </c>
      <c r="F46" s="217" t="str">
        <f t="shared" si="1"/>
        <v/>
      </c>
      <c r="G46" s="217" t="str">
        <f>IF(足元帳!AU46="","",足元帳!AU46)</f>
        <v/>
      </c>
      <c r="H46" s="217" t="str">
        <f>IF(足元帳!AV46="","",足元帳!AV46)</f>
        <v/>
      </c>
      <c r="I46" s="217" t="str">
        <f>IF(B46="","",IF(IF(足元帳!AU46="","",足元帳!BB46)=1,精算表!$C$14,IF(IF(足元帳!AU46="","",足元帳!BB46)=2,精算表!$E$14,IF(IF(足元帳!AU46="","",足元帳!BB46)=3,精算表!$G$14,IF(IF(足元帳!AU46="","",足元帳!BB46)=4,精算表!$I$14,IF(IF(足元帳!AU46="","",足元帳!BB46)=5,精算表!$K$14,))))))</f>
        <v/>
      </c>
      <c r="J46" s="217" t="str">
        <f>IFERROR(VLOOKUP(VLOOKUP(IF(足元帳!AU46="","",足元帳!BJ46),管理シート!$CA$4:$CI$13,2,FALSE),精算表!$BL$20:$BS$29,MATCH(E46&amp;"分",精算表!$BL$20:$BS$20,0),FALSE),"")</f>
        <v/>
      </c>
      <c r="K46" s="220" t="str">
        <f>IF(足元帳!AU46="","",足元帳!CC46)</f>
        <v/>
      </c>
      <c r="L46" s="217" t="str">
        <f>IF(足元帳!AU46="","",IF(足元帳!AL46="●","カード利用",""))</f>
        <v/>
      </c>
    </row>
    <row r="47" spans="1:12">
      <c r="A47" t="str">
        <f>IF(B47="","",
    COUNTA($B$2:B47)-COUNTIFS($B$2:B47,"",$B$2:B47,"=*"))</f>
        <v/>
      </c>
      <c r="B47" s="217" t="str">
        <f>IF(足元帳!AU47="","",足元帳!C47)</f>
        <v/>
      </c>
      <c r="C47" s="217" t="str">
        <f>IFERROR(VLOOKUP(IF(足元帳!AU47="","",足元帳!BJ47),管理シート!$CA$4:$CB$23,2,FALSE),"")</f>
        <v/>
      </c>
      <c r="D47" s="217" t="str">
        <f>IF(足元帳!AU47="","",足元帳!K47)</f>
        <v/>
      </c>
      <c r="E47" s="217" t="str">
        <f>IFERROR(VLOOKUP(IF(足元帳!AU47="","",足元帳!BB47),管理シート!$R$4:$W$12,4),"")</f>
        <v/>
      </c>
      <c r="F47" s="217" t="str">
        <f t="shared" si="1"/>
        <v/>
      </c>
      <c r="G47" s="217" t="str">
        <f>IF(足元帳!AU47="","",足元帳!AU47)</f>
        <v/>
      </c>
      <c r="H47" s="217" t="str">
        <f>IF(足元帳!AV47="","",足元帳!AV47)</f>
        <v/>
      </c>
      <c r="I47" s="217" t="str">
        <f>IF(B47="","",IF(IF(足元帳!AU47="","",足元帳!BB47)=1,精算表!$C$14,IF(IF(足元帳!AU47="","",足元帳!BB47)=2,精算表!$E$14,IF(IF(足元帳!AU47="","",足元帳!BB47)=3,精算表!$G$14,IF(IF(足元帳!AU47="","",足元帳!BB47)=4,精算表!$I$14,IF(IF(足元帳!AU47="","",足元帳!BB47)=5,精算表!$K$14,))))))</f>
        <v/>
      </c>
      <c r="J47" s="217" t="str">
        <f>IFERROR(VLOOKUP(VLOOKUP(IF(足元帳!AU47="","",足元帳!BJ47),管理シート!$CA$4:$CI$13,2,FALSE),精算表!$BL$20:$BS$29,MATCH(E47&amp;"分",精算表!$BL$20:$BS$20,0),FALSE),"")</f>
        <v/>
      </c>
      <c r="K47" s="220" t="str">
        <f>IF(足元帳!AU47="","",足元帳!CC47)</f>
        <v/>
      </c>
      <c r="L47" s="217" t="str">
        <f>IF(足元帳!AU47="","",IF(足元帳!AL47="●","カード利用",""))</f>
        <v/>
      </c>
    </row>
    <row r="48" spans="1:12">
      <c r="A48" t="str">
        <f>IF(B48="","",
    COUNTA($B$2:B48)-COUNTIFS($B$2:B48,"",$B$2:B48,"=*"))</f>
        <v/>
      </c>
      <c r="B48" s="217" t="str">
        <f>IF(足元帳!AU48="","",足元帳!C48)</f>
        <v/>
      </c>
      <c r="C48" s="217" t="str">
        <f>IFERROR(VLOOKUP(IF(足元帳!AU48="","",足元帳!BJ48),管理シート!$CA$4:$CB$23,2,FALSE),"")</f>
        <v/>
      </c>
      <c r="D48" s="217" t="str">
        <f>IF(足元帳!AU48="","",足元帳!K48)</f>
        <v/>
      </c>
      <c r="E48" s="217" t="str">
        <f>IFERROR(VLOOKUP(IF(足元帳!AU48="","",足元帳!BB48),管理シート!$R$4:$W$12,4),"")</f>
        <v/>
      </c>
      <c r="F48" s="217" t="str">
        <f t="shared" si="1"/>
        <v/>
      </c>
      <c r="G48" s="217" t="str">
        <f>IF(足元帳!AU48="","",足元帳!AU48)</f>
        <v/>
      </c>
      <c r="H48" s="217" t="str">
        <f>IF(足元帳!AV48="","",足元帳!AV48)</f>
        <v/>
      </c>
      <c r="I48" s="217" t="str">
        <f>IF(B48="","",IF(IF(足元帳!AU48="","",足元帳!BB48)=1,精算表!$C$14,IF(IF(足元帳!AU48="","",足元帳!BB48)=2,精算表!$E$14,IF(IF(足元帳!AU48="","",足元帳!BB48)=3,精算表!$G$14,IF(IF(足元帳!AU48="","",足元帳!BB48)=4,精算表!$I$14,IF(IF(足元帳!AU48="","",足元帳!BB48)=5,精算表!$K$14,))))))</f>
        <v/>
      </c>
      <c r="J48" s="217" t="str">
        <f>IFERROR(VLOOKUP(VLOOKUP(IF(足元帳!AU48="","",足元帳!BJ48),管理シート!$CA$4:$CI$13,2,FALSE),精算表!$BL$20:$BS$29,MATCH(E48&amp;"分",精算表!$BL$20:$BS$20,0),FALSE),"")</f>
        <v/>
      </c>
      <c r="K48" s="220" t="str">
        <f>IF(足元帳!AU48="","",足元帳!CC48)</f>
        <v/>
      </c>
      <c r="L48" s="217" t="str">
        <f>IF(足元帳!AU48="","",IF(足元帳!AL48="●","カード利用",""))</f>
        <v/>
      </c>
    </row>
    <row r="49" spans="1:12">
      <c r="A49" t="str">
        <f>IF(B49="","",
    COUNTA($B$2:B49)-COUNTIFS($B$2:B49,"",$B$2:B49,"=*"))</f>
        <v/>
      </c>
      <c r="B49" s="217" t="str">
        <f>IF(足元帳!AU49="","",足元帳!C49)</f>
        <v/>
      </c>
      <c r="C49" s="217" t="str">
        <f>IFERROR(VLOOKUP(IF(足元帳!AU49="","",足元帳!BJ49),管理シート!$CA$4:$CB$23,2,FALSE),"")</f>
        <v/>
      </c>
      <c r="D49" s="217" t="str">
        <f>IF(足元帳!AU49="","",足元帳!K49)</f>
        <v/>
      </c>
      <c r="E49" s="217" t="str">
        <f>IFERROR(VLOOKUP(IF(足元帳!AU49="","",足元帳!BB49),管理シート!$R$4:$W$12,4),"")</f>
        <v/>
      </c>
      <c r="F49" s="217" t="str">
        <f t="shared" si="1"/>
        <v/>
      </c>
      <c r="G49" s="217" t="str">
        <f>IF(足元帳!AU49="","",足元帳!AU49)</f>
        <v/>
      </c>
      <c r="H49" s="217" t="str">
        <f>IF(足元帳!AV49="","",足元帳!AV49)</f>
        <v/>
      </c>
      <c r="I49" s="217" t="str">
        <f>IF(B49="","",IF(IF(足元帳!AU49="","",足元帳!BB49)=1,精算表!$C$14,IF(IF(足元帳!AU49="","",足元帳!BB49)=2,精算表!$E$14,IF(IF(足元帳!AU49="","",足元帳!BB49)=3,精算表!$G$14,IF(IF(足元帳!AU49="","",足元帳!BB49)=4,精算表!$I$14,IF(IF(足元帳!AU49="","",足元帳!BB49)=5,精算表!$K$14,))))))</f>
        <v/>
      </c>
      <c r="J49" s="217" t="str">
        <f>IFERROR(VLOOKUP(VLOOKUP(IF(足元帳!AU49="","",足元帳!BJ49),管理シート!$CA$4:$CI$13,2,FALSE),精算表!$BL$20:$BS$29,MATCH(E49&amp;"分",精算表!$BL$20:$BS$20,0),FALSE),"")</f>
        <v/>
      </c>
      <c r="K49" s="220" t="str">
        <f>IF(足元帳!AU49="","",足元帳!CC49)</f>
        <v/>
      </c>
      <c r="L49" s="217" t="str">
        <f>IF(足元帳!AU49="","",IF(足元帳!AL49="●","カード利用",""))</f>
        <v/>
      </c>
    </row>
    <row r="50" spans="1:12">
      <c r="A50" t="str">
        <f>IF(B50="","",
    COUNTA($B$2:B50)-COUNTIFS($B$2:B50,"",$B$2:B50,"=*"))</f>
        <v/>
      </c>
      <c r="B50" s="217" t="str">
        <f>IF(足元帳!AU50="","",足元帳!C50)</f>
        <v/>
      </c>
      <c r="C50" s="217" t="str">
        <f>IFERROR(VLOOKUP(IF(足元帳!AU50="","",足元帳!BJ50),管理シート!$CA$4:$CB$23,2,FALSE),"")</f>
        <v/>
      </c>
      <c r="D50" s="217" t="str">
        <f>IF(足元帳!AU50="","",足元帳!K50)</f>
        <v/>
      </c>
      <c r="E50" s="217" t="str">
        <f>IFERROR(VLOOKUP(IF(足元帳!AU50="","",足元帳!BB50),管理シート!$R$4:$W$12,4),"")</f>
        <v/>
      </c>
      <c r="F50" s="217" t="str">
        <f t="shared" si="1"/>
        <v/>
      </c>
      <c r="G50" s="217" t="str">
        <f>IF(足元帳!AU50="","",足元帳!AU50)</f>
        <v/>
      </c>
      <c r="H50" s="217" t="str">
        <f>IF(足元帳!AV50="","",足元帳!AV50)</f>
        <v/>
      </c>
      <c r="I50" s="217" t="str">
        <f>IF(B50="","",IF(IF(足元帳!AU50="","",足元帳!BB50)=1,精算表!$C$14,IF(IF(足元帳!AU50="","",足元帳!BB50)=2,精算表!$E$14,IF(IF(足元帳!AU50="","",足元帳!BB50)=3,精算表!$G$14,IF(IF(足元帳!AU50="","",足元帳!BB50)=4,精算表!$I$14,IF(IF(足元帳!AU50="","",足元帳!BB50)=5,精算表!$K$14,))))))</f>
        <v/>
      </c>
      <c r="J50" s="217" t="str">
        <f>IFERROR(VLOOKUP(VLOOKUP(IF(足元帳!AU50="","",足元帳!BJ50),管理シート!$CA$4:$CI$13,2,FALSE),精算表!$BL$20:$BS$29,MATCH(E50&amp;"分",精算表!$BL$20:$BS$20,0),FALSE),"")</f>
        <v/>
      </c>
      <c r="K50" s="220" t="str">
        <f>IF(足元帳!AU50="","",足元帳!CC50)</f>
        <v/>
      </c>
      <c r="L50" s="217" t="str">
        <f>IF(足元帳!AU50="","",IF(足元帳!AL50="●","カード利用",""))</f>
        <v/>
      </c>
    </row>
    <row r="51" spans="1:12">
      <c r="A51" t="str">
        <f>IF(B51="","",
    COUNTA($B$2:B51)-COUNTIFS($B$2:B51,"",$B$2:B51,"=*"))</f>
        <v/>
      </c>
      <c r="B51" s="217" t="str">
        <f>IF(足元帳!AU51="","",足元帳!C51)</f>
        <v/>
      </c>
      <c r="C51" s="217" t="str">
        <f>IFERROR(VLOOKUP(IF(足元帳!AU51="","",足元帳!BJ51),管理シート!$CA$4:$CB$23,2,FALSE),"")</f>
        <v/>
      </c>
      <c r="D51" s="217" t="str">
        <f>IF(足元帳!AU51="","",足元帳!K51)</f>
        <v/>
      </c>
      <c r="E51" s="217" t="str">
        <f>IFERROR(VLOOKUP(IF(足元帳!AU51="","",足元帳!BB51),管理シート!$R$4:$W$12,4),"")</f>
        <v/>
      </c>
      <c r="F51" s="217" t="str">
        <f t="shared" si="1"/>
        <v/>
      </c>
      <c r="G51" s="217" t="str">
        <f>IF(足元帳!AU51="","",足元帳!AU51)</f>
        <v/>
      </c>
      <c r="H51" s="217" t="str">
        <f>IF(足元帳!AV51="","",足元帳!AV51)</f>
        <v/>
      </c>
      <c r="I51" s="217" t="str">
        <f>IF(B51="","",IF(IF(足元帳!AU51="","",足元帳!BB51)=1,精算表!$C$14,IF(IF(足元帳!AU51="","",足元帳!BB51)=2,精算表!$E$14,IF(IF(足元帳!AU51="","",足元帳!BB51)=3,精算表!$G$14,IF(IF(足元帳!AU51="","",足元帳!BB51)=4,精算表!$I$14,IF(IF(足元帳!AU51="","",足元帳!BB51)=5,精算表!$K$14,))))))</f>
        <v/>
      </c>
      <c r="J51" s="217" t="str">
        <f>IFERROR(VLOOKUP(VLOOKUP(IF(足元帳!AU51="","",足元帳!BJ51),管理シート!$CA$4:$CI$13,2,FALSE),精算表!$BL$20:$BS$29,MATCH(E51&amp;"分",精算表!$BL$20:$BS$20,0),FALSE),"")</f>
        <v/>
      </c>
      <c r="K51" s="220" t="str">
        <f>IF(足元帳!AU51="","",足元帳!CC51)</f>
        <v/>
      </c>
      <c r="L51" s="217" t="str">
        <f>IF(足元帳!AU51="","",IF(足元帳!AL51="●","カード利用",""))</f>
        <v/>
      </c>
    </row>
    <row r="52" spans="1:12">
      <c r="A52" t="str">
        <f>IF(B52="","",
    COUNTA($B$2:B52)-COUNTIFS($B$2:B52,"",$B$2:B52,"=*"))</f>
        <v/>
      </c>
      <c r="B52" s="217" t="str">
        <f>IF(足元帳!AU52="","",足元帳!C52)</f>
        <v/>
      </c>
      <c r="C52" s="217" t="str">
        <f>IFERROR(VLOOKUP(IF(足元帳!AU52="","",足元帳!BJ52),管理シート!$CA$4:$CB$23,2,FALSE),"")</f>
        <v/>
      </c>
      <c r="D52" s="217" t="str">
        <f>IF(足元帳!AU52="","",足元帳!K52)</f>
        <v/>
      </c>
      <c r="E52" s="217" t="str">
        <f>IFERROR(VLOOKUP(IF(足元帳!AU52="","",足元帳!BB52),管理シート!$R$4:$W$12,4),"")</f>
        <v/>
      </c>
      <c r="F52" s="217" t="str">
        <f t="shared" si="1"/>
        <v/>
      </c>
      <c r="G52" s="217" t="str">
        <f>IF(足元帳!AU52="","",足元帳!AU52)</f>
        <v/>
      </c>
      <c r="H52" s="217" t="str">
        <f>IF(足元帳!AV52="","",足元帳!AV52)</f>
        <v/>
      </c>
      <c r="I52" s="217" t="str">
        <f>IF(B52="","",IF(IF(足元帳!AU52="","",足元帳!BB52)=1,精算表!$C$14,IF(IF(足元帳!AU52="","",足元帳!BB52)=2,精算表!$E$14,IF(IF(足元帳!AU52="","",足元帳!BB52)=3,精算表!$G$14,IF(IF(足元帳!AU52="","",足元帳!BB52)=4,精算表!$I$14,IF(IF(足元帳!AU52="","",足元帳!BB52)=5,精算表!$K$14,))))))</f>
        <v/>
      </c>
      <c r="J52" s="217" t="str">
        <f>IFERROR(VLOOKUP(VLOOKUP(IF(足元帳!AU52="","",足元帳!BJ52),管理シート!$CA$4:$CI$13,2,FALSE),精算表!$BL$20:$BS$29,MATCH(E52&amp;"分",精算表!$BL$20:$BS$20,0),FALSE),"")</f>
        <v/>
      </c>
      <c r="K52" s="220" t="str">
        <f>IF(足元帳!AU52="","",足元帳!CC52)</f>
        <v/>
      </c>
      <c r="L52" s="217" t="str">
        <f>IF(足元帳!AU52="","",IF(足元帳!AL52="●","カード利用",""))</f>
        <v/>
      </c>
    </row>
    <row r="53" spans="1:12">
      <c r="A53" t="str">
        <f>IF(B53="","",
    COUNTA($B$2:B53)-COUNTIFS($B$2:B53,"",$B$2:B53,"=*"))</f>
        <v/>
      </c>
      <c r="B53" s="217" t="str">
        <f>IF(足元帳!AU53="","",足元帳!C53)</f>
        <v/>
      </c>
      <c r="C53" s="217" t="str">
        <f>IFERROR(VLOOKUP(IF(足元帳!AU53="","",足元帳!BJ53),管理シート!$CA$4:$CB$23,2,FALSE),"")</f>
        <v/>
      </c>
      <c r="D53" s="217" t="str">
        <f>IF(足元帳!AU53="","",足元帳!K53)</f>
        <v/>
      </c>
      <c r="E53" s="217" t="str">
        <f>IFERROR(VLOOKUP(IF(足元帳!AU53="","",足元帳!BB53),管理シート!$R$4:$W$12,4),"")</f>
        <v/>
      </c>
      <c r="F53" s="217" t="str">
        <f t="shared" si="1"/>
        <v/>
      </c>
      <c r="G53" s="217" t="str">
        <f>IF(足元帳!AU53="","",足元帳!AU53)</f>
        <v/>
      </c>
      <c r="H53" s="217" t="str">
        <f>IF(足元帳!AV53="","",足元帳!AV53)</f>
        <v/>
      </c>
      <c r="I53" s="217" t="str">
        <f>IF(B53="","",IF(IF(足元帳!AU53="","",足元帳!BB53)=1,精算表!$C$14,IF(IF(足元帳!AU53="","",足元帳!BB53)=2,精算表!$E$14,IF(IF(足元帳!AU53="","",足元帳!BB53)=3,精算表!$G$14,IF(IF(足元帳!AU53="","",足元帳!BB53)=4,精算表!$I$14,IF(IF(足元帳!AU53="","",足元帳!BB53)=5,精算表!$K$14,))))))</f>
        <v/>
      </c>
      <c r="J53" s="217" t="str">
        <f>IFERROR(VLOOKUP(VLOOKUP(IF(足元帳!AU53="","",足元帳!BJ53),管理シート!$CA$4:$CI$13,2,FALSE),精算表!$BL$20:$BS$29,MATCH(E53&amp;"分",精算表!$BL$20:$BS$20,0),FALSE),"")</f>
        <v/>
      </c>
      <c r="K53" s="220" t="str">
        <f>IF(足元帳!AU53="","",足元帳!CC53)</f>
        <v/>
      </c>
      <c r="L53" s="217" t="str">
        <f>IF(足元帳!AU53="","",IF(足元帳!AL53="●","カード利用",""))</f>
        <v/>
      </c>
    </row>
    <row r="54" spans="1:12">
      <c r="A54" t="str">
        <f>IF(B54="","",
    COUNTA($B$2:B54)-COUNTIFS($B$2:B54,"",$B$2:B54,"=*"))</f>
        <v/>
      </c>
      <c r="B54" s="217" t="str">
        <f>IF(足元帳!AU54="","",足元帳!C54)</f>
        <v/>
      </c>
      <c r="C54" s="217" t="str">
        <f>IFERROR(VLOOKUP(IF(足元帳!AU54="","",足元帳!BJ54),管理シート!$CA$4:$CB$23,2,FALSE),"")</f>
        <v/>
      </c>
      <c r="D54" s="217" t="str">
        <f>IF(足元帳!AU54="","",足元帳!K54)</f>
        <v/>
      </c>
      <c r="E54" s="217" t="str">
        <f>IFERROR(VLOOKUP(IF(足元帳!AU54="","",足元帳!BB54),管理シート!$R$4:$W$12,4),"")</f>
        <v/>
      </c>
      <c r="F54" s="217" t="str">
        <f t="shared" si="1"/>
        <v/>
      </c>
      <c r="G54" s="217" t="str">
        <f>IF(足元帳!AU54="","",足元帳!AU54)</f>
        <v/>
      </c>
      <c r="H54" s="217" t="str">
        <f>IF(足元帳!AV54="","",足元帳!AV54)</f>
        <v/>
      </c>
      <c r="I54" s="217" t="str">
        <f>IF(B54="","",IF(IF(足元帳!AU54="","",足元帳!BB54)=1,精算表!$C$14,IF(IF(足元帳!AU54="","",足元帳!BB54)=2,精算表!$E$14,IF(IF(足元帳!AU54="","",足元帳!BB54)=3,精算表!$G$14,IF(IF(足元帳!AU54="","",足元帳!BB54)=4,精算表!$I$14,IF(IF(足元帳!AU54="","",足元帳!BB54)=5,精算表!$K$14,))))))</f>
        <v/>
      </c>
      <c r="J54" s="217" t="str">
        <f>IFERROR(VLOOKUP(VLOOKUP(IF(足元帳!AU54="","",足元帳!BJ54),管理シート!$CA$4:$CI$13,2,FALSE),精算表!$BL$20:$BS$29,MATCH(E54&amp;"分",精算表!$BL$20:$BS$20,0),FALSE),"")</f>
        <v/>
      </c>
      <c r="K54" s="220" t="str">
        <f>IF(足元帳!AU54="","",足元帳!CC54)</f>
        <v/>
      </c>
      <c r="L54" s="217" t="str">
        <f>IF(足元帳!AU54="","",IF(足元帳!AL54="●","カード利用",""))</f>
        <v/>
      </c>
    </row>
    <row r="55" spans="1:12">
      <c r="A55" t="str">
        <f>IF(B55="","",
    COUNTA($B$2:B55)-COUNTIFS($B$2:B55,"",$B$2:B55,"=*"))</f>
        <v/>
      </c>
      <c r="B55" s="217" t="str">
        <f>IF(足元帳!AU55="","",足元帳!C55)</f>
        <v/>
      </c>
      <c r="C55" s="217" t="str">
        <f>IFERROR(VLOOKUP(IF(足元帳!AU55="","",足元帳!BJ55),管理シート!$CA$4:$CB$23,2,FALSE),"")</f>
        <v/>
      </c>
      <c r="D55" s="217" t="str">
        <f>IF(足元帳!AU55="","",足元帳!K55)</f>
        <v/>
      </c>
      <c r="E55" s="217" t="str">
        <f>IFERROR(VLOOKUP(IF(足元帳!AU55="","",足元帳!BB55),管理シート!$R$4:$W$12,4),"")</f>
        <v/>
      </c>
      <c r="F55" s="217" t="str">
        <f t="shared" si="1"/>
        <v/>
      </c>
      <c r="G55" s="217" t="str">
        <f>IF(足元帳!AU55="","",足元帳!AU55)</f>
        <v/>
      </c>
      <c r="H55" s="217" t="str">
        <f>IF(足元帳!AV55="","",足元帳!AV55)</f>
        <v/>
      </c>
      <c r="I55" s="217" t="str">
        <f>IF(B55="","",IF(IF(足元帳!AU55="","",足元帳!BB55)=1,精算表!$C$14,IF(IF(足元帳!AU55="","",足元帳!BB55)=2,精算表!$E$14,IF(IF(足元帳!AU55="","",足元帳!BB55)=3,精算表!$G$14,IF(IF(足元帳!AU55="","",足元帳!BB55)=4,精算表!$I$14,IF(IF(足元帳!AU55="","",足元帳!BB55)=5,精算表!$K$14,))))))</f>
        <v/>
      </c>
      <c r="J55" s="217" t="str">
        <f>IFERROR(VLOOKUP(VLOOKUP(IF(足元帳!AU55="","",足元帳!BJ55),管理シート!$CA$4:$CI$13,2,FALSE),精算表!$BL$20:$BS$29,MATCH(E55&amp;"分",精算表!$BL$20:$BS$20,0),FALSE),"")</f>
        <v/>
      </c>
      <c r="K55" s="220" t="str">
        <f>IF(足元帳!AU55="","",足元帳!CC55)</f>
        <v/>
      </c>
      <c r="L55" s="217" t="str">
        <f>IF(足元帳!AU55="","",IF(足元帳!AL55="●","カード利用",""))</f>
        <v/>
      </c>
    </row>
    <row r="56" spans="1:12">
      <c r="A56" t="str">
        <f>IF(B56="","",
    COUNTA($B$2:B56)-COUNTIFS($B$2:B56,"",$B$2:B56,"=*"))</f>
        <v/>
      </c>
      <c r="B56" s="217" t="str">
        <f>IF(足元帳!AU56="","",足元帳!C56)</f>
        <v/>
      </c>
      <c r="C56" s="217" t="str">
        <f>IFERROR(VLOOKUP(IF(足元帳!AU56="","",足元帳!BJ56),管理シート!$CA$4:$CB$23,2,FALSE),"")</f>
        <v/>
      </c>
      <c r="D56" s="217" t="str">
        <f>IF(足元帳!AU56="","",足元帳!K56)</f>
        <v/>
      </c>
      <c r="E56" s="217" t="str">
        <f>IFERROR(VLOOKUP(IF(足元帳!AU56="","",足元帳!BB56),管理シート!$R$4:$W$12,4),"")</f>
        <v/>
      </c>
      <c r="F56" s="217" t="str">
        <f t="shared" si="1"/>
        <v/>
      </c>
      <c r="G56" s="217" t="str">
        <f>IF(足元帳!AU56="","",足元帳!AU56)</f>
        <v/>
      </c>
      <c r="H56" s="217" t="str">
        <f>IF(足元帳!AV56="","",足元帳!AV56)</f>
        <v/>
      </c>
      <c r="I56" s="217" t="str">
        <f>IF(B56="","",IF(IF(足元帳!AU56="","",足元帳!BB56)=1,精算表!$C$14,IF(IF(足元帳!AU56="","",足元帳!BB56)=2,精算表!$E$14,IF(IF(足元帳!AU56="","",足元帳!BB56)=3,精算表!$G$14,IF(IF(足元帳!AU56="","",足元帳!BB56)=4,精算表!$I$14,IF(IF(足元帳!AU56="","",足元帳!BB56)=5,精算表!$K$14,))))))</f>
        <v/>
      </c>
      <c r="J56" s="217" t="str">
        <f>IFERROR(VLOOKUP(VLOOKUP(IF(足元帳!AU56="","",足元帳!BJ56),管理シート!$CA$4:$CI$13,2,FALSE),精算表!$BL$20:$BS$29,MATCH(E56&amp;"分",精算表!$BL$20:$BS$20,0),FALSE),"")</f>
        <v/>
      </c>
      <c r="K56" s="220" t="str">
        <f>IF(足元帳!AU56="","",足元帳!CC56)</f>
        <v/>
      </c>
      <c r="L56" s="217" t="str">
        <f>IF(足元帳!AU56="","",IF(足元帳!AL56="●","カード利用",""))</f>
        <v/>
      </c>
    </row>
    <row r="57" spans="1:12">
      <c r="A57" t="str">
        <f>IF(B57="","",
    COUNTA($B$2:B57)-COUNTIFS($B$2:B57,"",$B$2:B57,"=*"))</f>
        <v/>
      </c>
      <c r="B57" s="217" t="str">
        <f>IF(足元帳!AU57="","",足元帳!C57)</f>
        <v/>
      </c>
      <c r="C57" s="217" t="str">
        <f>IFERROR(VLOOKUP(IF(足元帳!AU57="","",足元帳!BJ57),管理シート!$CA$4:$CB$23,2,FALSE),"")</f>
        <v/>
      </c>
      <c r="D57" s="217" t="str">
        <f>IF(足元帳!AU57="","",足元帳!K57)</f>
        <v/>
      </c>
      <c r="E57" s="217" t="str">
        <f>IFERROR(VLOOKUP(IF(足元帳!AU57="","",足元帳!BB57),管理シート!$R$4:$W$12,4),"")</f>
        <v/>
      </c>
      <c r="F57" s="217" t="str">
        <f t="shared" si="1"/>
        <v/>
      </c>
      <c r="G57" s="217" t="str">
        <f>IF(足元帳!AU57="","",足元帳!AU57)</f>
        <v/>
      </c>
      <c r="H57" s="217" t="str">
        <f>IF(足元帳!AV57="","",足元帳!AV57)</f>
        <v/>
      </c>
      <c r="I57" s="217" t="str">
        <f>IF(B57="","",IF(IF(足元帳!AU57="","",足元帳!BB57)=1,精算表!$C$14,IF(IF(足元帳!AU57="","",足元帳!BB57)=2,精算表!$E$14,IF(IF(足元帳!AU57="","",足元帳!BB57)=3,精算表!$G$14,IF(IF(足元帳!AU57="","",足元帳!BB57)=4,精算表!$I$14,IF(IF(足元帳!AU57="","",足元帳!BB57)=5,精算表!$K$14,))))))</f>
        <v/>
      </c>
      <c r="J57" s="217" t="str">
        <f>IFERROR(VLOOKUP(VLOOKUP(IF(足元帳!AU57="","",足元帳!BJ57),管理シート!$CA$4:$CI$13,2,FALSE),精算表!$BL$20:$BS$29,MATCH(E57&amp;"分",精算表!$BL$20:$BS$20,0),FALSE),"")</f>
        <v/>
      </c>
      <c r="K57" s="220" t="str">
        <f>IF(足元帳!AU57="","",足元帳!CC57)</f>
        <v/>
      </c>
      <c r="L57" s="217" t="str">
        <f>IF(足元帳!AU57="","",IF(足元帳!AL57="●","カード利用",""))</f>
        <v/>
      </c>
    </row>
    <row r="58" spans="1:12">
      <c r="A58" t="str">
        <f>IF(B58="","",
    COUNTA($B$2:B58)-COUNTIFS($B$2:B58,"",$B$2:B58,"=*"))</f>
        <v/>
      </c>
      <c r="B58" s="217" t="str">
        <f>IF(足元帳!AU58="","",足元帳!C58)</f>
        <v/>
      </c>
      <c r="C58" s="217" t="str">
        <f>IFERROR(VLOOKUP(IF(足元帳!AU58="","",足元帳!BJ58),管理シート!$CA$4:$CB$23,2,FALSE),"")</f>
        <v/>
      </c>
      <c r="D58" s="217" t="str">
        <f>IF(足元帳!AU58="","",足元帳!K58)</f>
        <v/>
      </c>
      <c r="E58" s="217" t="str">
        <f>IFERROR(VLOOKUP(IF(足元帳!AU58="","",足元帳!BB58),管理シート!$R$4:$W$12,4),"")</f>
        <v/>
      </c>
      <c r="F58" s="217" t="str">
        <f t="shared" si="1"/>
        <v/>
      </c>
      <c r="G58" s="217" t="str">
        <f>IF(足元帳!AU58="","",足元帳!AU58)</f>
        <v/>
      </c>
      <c r="H58" s="217" t="str">
        <f>IF(足元帳!AV58="","",足元帳!AV58)</f>
        <v/>
      </c>
      <c r="I58" s="217" t="str">
        <f>IF(B58="","",IF(IF(足元帳!AU58="","",足元帳!BB58)=1,精算表!$C$14,IF(IF(足元帳!AU58="","",足元帳!BB58)=2,精算表!$E$14,IF(IF(足元帳!AU58="","",足元帳!BB58)=3,精算表!$G$14,IF(IF(足元帳!AU58="","",足元帳!BB58)=4,精算表!$I$14,IF(IF(足元帳!AU58="","",足元帳!BB58)=5,精算表!$K$14,))))))</f>
        <v/>
      </c>
      <c r="J58" s="217" t="str">
        <f>IFERROR(VLOOKUP(VLOOKUP(IF(足元帳!AU58="","",足元帳!BJ58),管理シート!$CA$4:$CI$13,2,FALSE),精算表!$BL$20:$BS$29,MATCH(E58&amp;"分",精算表!$BL$20:$BS$20,0),FALSE),"")</f>
        <v/>
      </c>
      <c r="K58" s="220" t="str">
        <f>IF(足元帳!AU58="","",足元帳!CC58)</f>
        <v/>
      </c>
      <c r="L58" s="217" t="str">
        <f>IF(足元帳!AU58="","",IF(足元帳!AL58="●","カード利用",""))</f>
        <v/>
      </c>
    </row>
    <row r="59" spans="1:12">
      <c r="A59" t="str">
        <f>IF(B59="","",
    COUNTA($B$2:B59)-COUNTIFS($B$2:B59,"",$B$2:B59,"=*"))</f>
        <v/>
      </c>
      <c r="B59" s="217" t="str">
        <f>IF(足元帳!AU59="","",足元帳!C59)</f>
        <v/>
      </c>
      <c r="C59" s="217" t="str">
        <f>IFERROR(VLOOKUP(IF(足元帳!AU59="","",足元帳!BJ59),管理シート!$CA$4:$CB$23,2,FALSE),"")</f>
        <v/>
      </c>
      <c r="D59" s="217" t="str">
        <f>IF(足元帳!AU59="","",足元帳!K59)</f>
        <v/>
      </c>
      <c r="E59" s="217" t="str">
        <f>IFERROR(VLOOKUP(IF(足元帳!AU59="","",足元帳!BB59),管理シート!$R$4:$W$12,4),"")</f>
        <v/>
      </c>
      <c r="F59" s="217" t="str">
        <f t="shared" si="1"/>
        <v/>
      </c>
      <c r="G59" s="217" t="str">
        <f>IF(足元帳!AU59="","",足元帳!AU59)</f>
        <v/>
      </c>
      <c r="H59" s="217" t="str">
        <f>IF(足元帳!AV59="","",足元帳!AV59)</f>
        <v/>
      </c>
      <c r="I59" s="217" t="str">
        <f>IF(B59="","",IF(IF(足元帳!AU59="","",足元帳!BB59)=1,精算表!$C$14,IF(IF(足元帳!AU59="","",足元帳!BB59)=2,精算表!$E$14,IF(IF(足元帳!AU59="","",足元帳!BB59)=3,精算表!$G$14,IF(IF(足元帳!AU59="","",足元帳!BB59)=4,精算表!$I$14,IF(IF(足元帳!AU59="","",足元帳!BB59)=5,精算表!$K$14,))))))</f>
        <v/>
      </c>
      <c r="J59" s="217" t="str">
        <f>IFERROR(VLOOKUP(VLOOKUP(IF(足元帳!AU59="","",足元帳!BJ59),管理シート!$CA$4:$CI$13,2,FALSE),精算表!$BL$20:$BS$29,MATCH(E59&amp;"分",精算表!$BL$20:$BS$20,0),FALSE),"")</f>
        <v/>
      </c>
      <c r="K59" s="220" t="str">
        <f>IF(足元帳!AU59="","",足元帳!CC59)</f>
        <v/>
      </c>
      <c r="L59" s="217" t="str">
        <f>IF(足元帳!AU59="","",IF(足元帳!AL59="●","カード利用",""))</f>
        <v/>
      </c>
    </row>
    <row r="60" spans="1:12">
      <c r="A60" t="str">
        <f>IF(B60="","",
    COUNTA($B$2:B60)-COUNTIFS($B$2:B60,"",$B$2:B60,"=*"))</f>
        <v/>
      </c>
      <c r="B60" s="217" t="str">
        <f>IF(足元帳!AU60="","",足元帳!C60)</f>
        <v/>
      </c>
      <c r="C60" s="217" t="str">
        <f>IFERROR(VLOOKUP(IF(足元帳!AU60="","",足元帳!BJ60),管理シート!$CA$4:$CB$23,2,FALSE),"")</f>
        <v/>
      </c>
      <c r="D60" s="217" t="str">
        <f>IF(足元帳!AU60="","",足元帳!K60)</f>
        <v/>
      </c>
      <c r="E60" s="217" t="str">
        <f>IFERROR(VLOOKUP(IF(足元帳!AU60="","",足元帳!BB60),管理シート!$R$4:$W$12,4),"")</f>
        <v/>
      </c>
      <c r="F60" s="217" t="str">
        <f t="shared" si="1"/>
        <v/>
      </c>
      <c r="G60" s="217" t="str">
        <f>IF(足元帳!AU60="","",足元帳!AU60)</f>
        <v/>
      </c>
      <c r="H60" s="217" t="str">
        <f>IF(足元帳!AV60="","",足元帳!AV60)</f>
        <v/>
      </c>
      <c r="I60" s="217" t="str">
        <f>IF(B60="","",IF(IF(足元帳!AU60="","",足元帳!BB60)=1,精算表!$C$14,IF(IF(足元帳!AU60="","",足元帳!BB60)=2,精算表!$E$14,IF(IF(足元帳!AU60="","",足元帳!BB60)=3,精算表!$G$14,IF(IF(足元帳!AU60="","",足元帳!BB60)=4,精算表!$I$14,IF(IF(足元帳!AU60="","",足元帳!BB60)=5,精算表!$K$14,))))))</f>
        <v/>
      </c>
      <c r="J60" s="217" t="str">
        <f>IFERROR(VLOOKUP(VLOOKUP(IF(足元帳!AU60="","",足元帳!BJ60),管理シート!$CA$4:$CI$13,2,FALSE),精算表!$BL$20:$BS$29,MATCH(E60&amp;"分",精算表!$BL$20:$BS$20,0),FALSE),"")</f>
        <v/>
      </c>
      <c r="K60" s="220" t="str">
        <f>IF(足元帳!AU60="","",足元帳!CC60)</f>
        <v/>
      </c>
      <c r="L60" s="217" t="str">
        <f>IF(足元帳!AU60="","",IF(足元帳!AL60="●","カード利用",""))</f>
        <v/>
      </c>
    </row>
    <row r="61" spans="1:12">
      <c r="A61" t="str">
        <f>IF(B61="","",
    COUNTA($B$2:B61)-COUNTIFS($B$2:B61,"",$B$2:B61,"=*"))</f>
        <v/>
      </c>
      <c r="B61" s="217" t="str">
        <f>IF(足元帳!AU61="","",足元帳!C61)</f>
        <v/>
      </c>
      <c r="C61" s="217" t="str">
        <f>IFERROR(VLOOKUP(IF(足元帳!AU61="","",足元帳!BJ61),管理シート!$CA$4:$CB$23,2,FALSE),"")</f>
        <v/>
      </c>
      <c r="D61" s="217" t="str">
        <f>IF(足元帳!AU61="","",足元帳!K61)</f>
        <v/>
      </c>
      <c r="E61" s="217" t="str">
        <f>IFERROR(VLOOKUP(IF(足元帳!AU61="","",足元帳!BB61),管理シート!$R$4:$W$12,4),"")</f>
        <v/>
      </c>
      <c r="F61" s="217" t="str">
        <f t="shared" si="1"/>
        <v/>
      </c>
      <c r="G61" s="217" t="str">
        <f>IF(足元帳!AU61="","",足元帳!AU61)</f>
        <v/>
      </c>
      <c r="H61" s="217" t="str">
        <f>IF(足元帳!AV61="","",足元帳!AV61)</f>
        <v/>
      </c>
      <c r="I61" s="217" t="str">
        <f>IF(B61="","",IF(IF(足元帳!AU61="","",足元帳!BB61)=1,精算表!$C$14,IF(IF(足元帳!AU61="","",足元帳!BB61)=2,精算表!$E$14,IF(IF(足元帳!AU61="","",足元帳!BB61)=3,精算表!$G$14,IF(IF(足元帳!AU61="","",足元帳!BB61)=4,精算表!$I$14,IF(IF(足元帳!AU61="","",足元帳!BB61)=5,精算表!$K$14,))))))</f>
        <v/>
      </c>
      <c r="J61" s="217" t="str">
        <f>IFERROR(VLOOKUP(VLOOKUP(IF(足元帳!AU61="","",足元帳!BJ61),管理シート!$CA$4:$CI$13,2,FALSE),精算表!$BL$20:$BS$29,MATCH(E61&amp;"分",精算表!$BL$20:$BS$20,0),FALSE),"")</f>
        <v/>
      </c>
      <c r="K61" s="220" t="str">
        <f>IF(足元帳!AU61="","",足元帳!CC61)</f>
        <v/>
      </c>
      <c r="L61" s="217" t="str">
        <f>IF(足元帳!AU61="","",IF(足元帳!AL61="●","カード利用",""))</f>
        <v/>
      </c>
    </row>
    <row r="62" spans="1:12">
      <c r="A62" t="str">
        <f>IF(B62="","",
    COUNTA($B$2:B62)-COUNTIFS($B$2:B62,"",$B$2:B62,"=*"))</f>
        <v/>
      </c>
      <c r="B62" s="217" t="str">
        <f>IF(足元帳!AU62="","",足元帳!C62)</f>
        <v/>
      </c>
      <c r="C62" s="217" t="str">
        <f>IFERROR(VLOOKUP(IF(足元帳!AU62="","",足元帳!BJ62),管理シート!$CA$4:$CB$23,2,FALSE),"")</f>
        <v/>
      </c>
      <c r="D62" s="217" t="str">
        <f>IF(足元帳!AU62="","",足元帳!K62)</f>
        <v/>
      </c>
      <c r="E62" s="217" t="str">
        <f>IFERROR(VLOOKUP(IF(足元帳!AU62="","",足元帳!BB62),管理シート!$R$4:$W$12,4),"")</f>
        <v/>
      </c>
      <c r="F62" s="217" t="str">
        <f t="shared" si="1"/>
        <v/>
      </c>
      <c r="G62" s="217" t="str">
        <f>IF(足元帳!AU62="","",足元帳!AU62)</f>
        <v/>
      </c>
      <c r="H62" s="217" t="str">
        <f>IF(足元帳!AV62="","",足元帳!AV62)</f>
        <v/>
      </c>
      <c r="I62" s="217" t="str">
        <f>IF(B62="","",IF(IF(足元帳!AU62="","",足元帳!BB62)=1,精算表!$C$14,IF(IF(足元帳!AU62="","",足元帳!BB62)=2,精算表!$E$14,IF(IF(足元帳!AU62="","",足元帳!BB62)=3,精算表!$G$14,IF(IF(足元帳!AU62="","",足元帳!BB62)=4,精算表!$I$14,IF(IF(足元帳!AU62="","",足元帳!BB62)=5,精算表!$K$14,))))))</f>
        <v/>
      </c>
      <c r="J62" s="217" t="str">
        <f>IFERROR(VLOOKUP(VLOOKUP(IF(足元帳!AU62="","",足元帳!BJ62),管理シート!$CA$4:$CI$13,2,FALSE),精算表!$BL$20:$BS$29,MATCH(E62&amp;"分",精算表!$BL$20:$BS$20,0),FALSE),"")</f>
        <v/>
      </c>
      <c r="K62" s="220" t="str">
        <f>IF(足元帳!AU62="","",足元帳!CC62)</f>
        <v/>
      </c>
      <c r="L62" s="217" t="str">
        <f>IF(足元帳!AU62="","",IF(足元帳!AL62="●","カード利用",""))</f>
        <v/>
      </c>
    </row>
    <row r="63" spans="1:12">
      <c r="A63" t="str">
        <f>IF(B63="","",
    COUNTA($B$2:B63)-COUNTIFS($B$2:B63,"",$B$2:B63,"=*"))</f>
        <v/>
      </c>
      <c r="B63" s="217" t="str">
        <f>IF(足元帳!AU63="","",足元帳!C63)</f>
        <v/>
      </c>
      <c r="C63" s="217" t="str">
        <f>IFERROR(VLOOKUP(IF(足元帳!AU63="","",足元帳!BJ63),管理シート!$CA$4:$CB$23,2,FALSE),"")</f>
        <v/>
      </c>
      <c r="D63" s="217" t="str">
        <f>IF(足元帳!AU63="","",足元帳!K63)</f>
        <v/>
      </c>
      <c r="E63" s="217" t="str">
        <f>IFERROR(VLOOKUP(IF(足元帳!AU63="","",足元帳!BB63),管理シート!$R$4:$W$12,4),"")</f>
        <v/>
      </c>
      <c r="F63" s="217" t="str">
        <f t="shared" si="1"/>
        <v/>
      </c>
      <c r="G63" s="217" t="str">
        <f>IF(足元帳!AU63="","",足元帳!AU63)</f>
        <v/>
      </c>
      <c r="H63" s="217" t="str">
        <f>IF(足元帳!AV63="","",足元帳!AV63)</f>
        <v/>
      </c>
      <c r="I63" s="217" t="str">
        <f>IF(B63="","",IF(IF(足元帳!AU63="","",足元帳!BB63)=1,精算表!$C$14,IF(IF(足元帳!AU63="","",足元帳!BB63)=2,精算表!$E$14,IF(IF(足元帳!AU63="","",足元帳!BB63)=3,精算表!$G$14,IF(IF(足元帳!AU63="","",足元帳!BB63)=4,精算表!$I$14,IF(IF(足元帳!AU63="","",足元帳!BB63)=5,精算表!$K$14,))))))</f>
        <v/>
      </c>
      <c r="J63" s="217" t="str">
        <f>IFERROR(VLOOKUP(VLOOKUP(IF(足元帳!AU63="","",足元帳!BJ63),管理シート!$CA$4:$CI$13,2,FALSE),精算表!$BL$20:$BS$29,MATCH(E63&amp;"分",精算表!$BL$20:$BS$20,0),FALSE),"")</f>
        <v/>
      </c>
      <c r="K63" s="220" t="str">
        <f>IF(足元帳!AU63="","",足元帳!CC63)</f>
        <v/>
      </c>
      <c r="L63" s="217" t="str">
        <f>IF(足元帳!AU63="","",IF(足元帳!AL63="●","カード利用",""))</f>
        <v/>
      </c>
    </row>
    <row r="64" spans="1:12">
      <c r="A64" t="str">
        <f>IF(B64="","",
    COUNTA($B$2:B64)-COUNTIFS($B$2:B64,"",$B$2:B64,"=*"))</f>
        <v/>
      </c>
      <c r="B64" s="217" t="str">
        <f>IF(足元帳!AU64="","",足元帳!C64)</f>
        <v/>
      </c>
      <c r="C64" s="217" t="str">
        <f>IFERROR(VLOOKUP(IF(足元帳!AU64="","",足元帳!BJ64),管理シート!$CA$4:$CB$23,2,FALSE),"")</f>
        <v/>
      </c>
      <c r="D64" s="217" t="str">
        <f>IF(足元帳!AU64="","",足元帳!K64)</f>
        <v/>
      </c>
      <c r="E64" s="217" t="str">
        <f>IFERROR(VLOOKUP(IF(足元帳!AU64="","",足元帳!BB64),管理シート!$R$4:$W$12,4),"")</f>
        <v/>
      </c>
      <c r="F64" s="217" t="str">
        <f t="shared" si="1"/>
        <v/>
      </c>
      <c r="G64" s="217" t="str">
        <f>IF(足元帳!AU64="","",足元帳!AU64)</f>
        <v/>
      </c>
      <c r="H64" s="217" t="str">
        <f>IF(足元帳!AV64="","",足元帳!AV64)</f>
        <v/>
      </c>
      <c r="I64" s="217" t="str">
        <f>IF(B64="","",IF(IF(足元帳!AU64="","",足元帳!BB64)=1,精算表!$C$14,IF(IF(足元帳!AU64="","",足元帳!BB64)=2,精算表!$E$14,IF(IF(足元帳!AU64="","",足元帳!BB64)=3,精算表!$G$14,IF(IF(足元帳!AU64="","",足元帳!BB64)=4,精算表!$I$14,IF(IF(足元帳!AU64="","",足元帳!BB64)=5,精算表!$K$14,))))))</f>
        <v/>
      </c>
      <c r="J64" s="217" t="str">
        <f>IFERROR(VLOOKUP(VLOOKUP(IF(足元帳!AU64="","",足元帳!BJ64),管理シート!$CA$4:$CI$13,2,FALSE),精算表!$BL$20:$BS$29,MATCH(E64&amp;"分",精算表!$BL$20:$BS$20,0),FALSE),"")</f>
        <v/>
      </c>
      <c r="K64" s="220" t="str">
        <f>IF(足元帳!AU64="","",足元帳!CC64)</f>
        <v/>
      </c>
      <c r="L64" s="217" t="str">
        <f>IF(足元帳!AU64="","",IF(足元帳!AL64="●","カード利用",""))</f>
        <v/>
      </c>
    </row>
    <row r="65" spans="1:12">
      <c r="A65" t="str">
        <f>IF(B65="","",
    COUNTA($B$2:B65)-COUNTIFS($B$2:B65,"",$B$2:B65,"=*"))</f>
        <v/>
      </c>
      <c r="B65" s="217" t="str">
        <f>IF(足元帳!AU65="","",足元帳!C65)</f>
        <v/>
      </c>
      <c r="C65" s="217" t="str">
        <f>IFERROR(VLOOKUP(IF(足元帳!AU65="","",足元帳!BJ65),管理シート!$CA$4:$CB$23,2,FALSE),"")</f>
        <v/>
      </c>
      <c r="D65" s="217" t="str">
        <f>IF(足元帳!AU65="","",足元帳!K65)</f>
        <v/>
      </c>
      <c r="E65" s="217" t="str">
        <f>IFERROR(VLOOKUP(IF(足元帳!AU65="","",足元帳!BB65),管理シート!$R$4:$W$12,4),"")</f>
        <v/>
      </c>
      <c r="F65" s="217" t="str">
        <f t="shared" si="1"/>
        <v/>
      </c>
      <c r="G65" s="217" t="str">
        <f>IF(足元帳!AU65="","",足元帳!AU65)</f>
        <v/>
      </c>
      <c r="H65" s="217" t="str">
        <f>IF(足元帳!AV65="","",足元帳!AV65)</f>
        <v/>
      </c>
      <c r="I65" s="217" t="str">
        <f>IF(B65="","",IF(IF(足元帳!AU65="","",足元帳!BB65)=1,精算表!$C$14,IF(IF(足元帳!AU65="","",足元帳!BB65)=2,精算表!$E$14,IF(IF(足元帳!AU65="","",足元帳!BB65)=3,精算表!$G$14,IF(IF(足元帳!AU65="","",足元帳!BB65)=4,精算表!$I$14,IF(IF(足元帳!AU65="","",足元帳!BB65)=5,精算表!$K$14,))))))</f>
        <v/>
      </c>
      <c r="J65" s="217" t="str">
        <f>IFERROR(VLOOKUP(VLOOKUP(IF(足元帳!AU65="","",足元帳!BJ65),管理シート!$CA$4:$CI$13,2,FALSE),精算表!$BL$20:$BS$29,MATCH(E65&amp;"分",精算表!$BL$20:$BS$20,0),FALSE),"")</f>
        <v/>
      </c>
      <c r="K65" s="220" t="str">
        <f>IF(足元帳!AU65="","",足元帳!CC65)</f>
        <v/>
      </c>
      <c r="L65" s="217" t="str">
        <f>IF(足元帳!AU65="","",IF(足元帳!AL65="●","カード利用",""))</f>
        <v/>
      </c>
    </row>
    <row r="66" spans="1:12">
      <c r="A66" t="str">
        <f>IF(B66="","",
    COUNTA($B$2:B66)-COUNTIFS($B$2:B66,"",$B$2:B66,"=*"))</f>
        <v/>
      </c>
      <c r="B66" s="217" t="str">
        <f>IF(足元帳!AU66="","",足元帳!C66)</f>
        <v/>
      </c>
      <c r="C66" s="217" t="str">
        <f>IFERROR(VLOOKUP(IF(足元帳!AU66="","",足元帳!BJ66),管理シート!$CA$4:$CB$23,2,FALSE),"")</f>
        <v/>
      </c>
      <c r="D66" s="217" t="str">
        <f>IF(足元帳!AU66="","",足元帳!K66)</f>
        <v/>
      </c>
      <c r="E66" s="217" t="str">
        <f>IFERROR(VLOOKUP(IF(足元帳!AU66="","",足元帳!BB66),管理シート!$R$4:$W$12,4),"")</f>
        <v/>
      </c>
      <c r="F66" s="217" t="str">
        <f t="shared" si="1"/>
        <v/>
      </c>
      <c r="G66" s="217" t="str">
        <f>IF(足元帳!AU66="","",足元帳!AU66)</f>
        <v/>
      </c>
      <c r="H66" s="217" t="str">
        <f>IF(足元帳!AV66="","",足元帳!AV66)</f>
        <v/>
      </c>
      <c r="I66" s="217" t="str">
        <f>IF(B66="","",IF(IF(足元帳!AU66="","",足元帳!BB66)=1,精算表!$C$14,IF(IF(足元帳!AU66="","",足元帳!BB66)=2,精算表!$E$14,IF(IF(足元帳!AU66="","",足元帳!BB66)=3,精算表!$G$14,IF(IF(足元帳!AU66="","",足元帳!BB66)=4,精算表!$I$14,IF(IF(足元帳!AU66="","",足元帳!BB66)=5,精算表!$K$14,))))))</f>
        <v/>
      </c>
      <c r="J66" s="217" t="str">
        <f>IFERROR(VLOOKUP(VLOOKUP(IF(足元帳!AU66="","",足元帳!BJ66),管理シート!$CA$4:$CI$13,2,FALSE),精算表!$BL$20:$BS$29,MATCH(E66&amp;"分",精算表!$BL$20:$BS$20,0),FALSE),"")</f>
        <v/>
      </c>
      <c r="K66" s="220" t="str">
        <f>IF(足元帳!AU66="","",足元帳!CC66)</f>
        <v/>
      </c>
      <c r="L66" s="217" t="str">
        <f>IF(足元帳!AU66="","",IF(足元帳!AL66="●","カード利用",""))</f>
        <v/>
      </c>
    </row>
    <row r="67" spans="1:12">
      <c r="A67" t="str">
        <f>IF(B67="","",
    COUNTA($B$2:B67)-COUNTIFS($B$2:B67,"",$B$2:B67,"=*"))</f>
        <v/>
      </c>
      <c r="B67" s="217" t="str">
        <f>IF(足元帳!AU67="","",足元帳!C67)</f>
        <v/>
      </c>
      <c r="C67" s="217" t="str">
        <f>IFERROR(VLOOKUP(IF(足元帳!AU67="","",足元帳!BJ67),管理シート!$CA$4:$CB$23,2,FALSE),"")</f>
        <v/>
      </c>
      <c r="D67" s="217" t="str">
        <f>IF(足元帳!AU67="","",足元帳!K67)</f>
        <v/>
      </c>
      <c r="E67" s="217" t="str">
        <f>IFERROR(VLOOKUP(IF(足元帳!AU67="","",足元帳!BB67),管理シート!$R$4:$W$12,4),"")</f>
        <v/>
      </c>
      <c r="F67" s="217" t="str">
        <f t="shared" si="1"/>
        <v/>
      </c>
      <c r="G67" s="217" t="str">
        <f>IF(足元帳!AU67="","",足元帳!AU67)</f>
        <v/>
      </c>
      <c r="H67" s="217" t="str">
        <f>IF(足元帳!AV67="","",足元帳!AV67)</f>
        <v/>
      </c>
      <c r="I67" s="217" t="str">
        <f>IF(B67="","",IF(IF(足元帳!AU67="","",足元帳!BB67)=1,精算表!$C$14,IF(IF(足元帳!AU67="","",足元帳!BB67)=2,精算表!$E$14,IF(IF(足元帳!AU67="","",足元帳!BB67)=3,精算表!$G$14,IF(IF(足元帳!AU67="","",足元帳!BB67)=4,精算表!$I$14,IF(IF(足元帳!AU67="","",足元帳!BB67)=5,精算表!$K$14,))))))</f>
        <v/>
      </c>
      <c r="J67" s="217" t="str">
        <f>IFERROR(VLOOKUP(VLOOKUP(IF(足元帳!AU67="","",足元帳!BJ67),管理シート!$CA$4:$CI$13,2,FALSE),精算表!$BL$20:$BS$29,MATCH(E67&amp;"分",精算表!$BL$20:$BS$20,0),FALSE),"")</f>
        <v/>
      </c>
      <c r="K67" s="220" t="str">
        <f>IF(足元帳!AU67="","",足元帳!CC67)</f>
        <v/>
      </c>
      <c r="L67" s="217" t="str">
        <f>IF(足元帳!AU67="","",IF(足元帳!AL67="●","カード利用",""))</f>
        <v/>
      </c>
    </row>
    <row r="68" spans="1:12">
      <c r="A68" t="str">
        <f>IF(B68="","",
    COUNTA($B$2:B68)-COUNTIFS($B$2:B68,"",$B$2:B68,"=*"))</f>
        <v/>
      </c>
      <c r="B68" s="217" t="str">
        <f>IF(足元帳!AU68="","",足元帳!C68)</f>
        <v/>
      </c>
      <c r="C68" s="217" t="str">
        <f>IFERROR(VLOOKUP(IF(足元帳!AU68="","",足元帳!BJ68),管理シート!$CA$4:$CB$23,2,FALSE),"")</f>
        <v/>
      </c>
      <c r="D68" s="217" t="str">
        <f>IF(足元帳!AU68="","",足元帳!K68)</f>
        <v/>
      </c>
      <c r="E68" s="217" t="str">
        <f>IFERROR(VLOOKUP(IF(足元帳!AU68="","",足元帳!BB68),管理シート!$R$4:$W$12,4),"")</f>
        <v/>
      </c>
      <c r="F68" s="217" t="str">
        <f t="shared" si="1"/>
        <v/>
      </c>
      <c r="G68" s="217" t="str">
        <f>IF(足元帳!AU68="","",足元帳!AU68)</f>
        <v/>
      </c>
      <c r="H68" s="217" t="str">
        <f>IF(足元帳!AV68="","",足元帳!AV68)</f>
        <v/>
      </c>
      <c r="I68" s="217" t="str">
        <f>IF(B68="","",IF(IF(足元帳!AU68="","",足元帳!BB68)=1,精算表!$C$14,IF(IF(足元帳!AU68="","",足元帳!BB68)=2,精算表!$E$14,IF(IF(足元帳!AU68="","",足元帳!BB68)=3,精算表!$G$14,IF(IF(足元帳!AU68="","",足元帳!BB68)=4,精算表!$I$14,IF(IF(足元帳!AU68="","",足元帳!BB68)=5,精算表!$K$14,))))))</f>
        <v/>
      </c>
      <c r="J68" s="217" t="str">
        <f>IFERROR(VLOOKUP(VLOOKUP(IF(足元帳!AU68="","",足元帳!BJ68),管理シート!$CA$4:$CI$13,2,FALSE),精算表!$BL$20:$BS$29,MATCH(E68&amp;"分",精算表!$BL$20:$BS$20,0),FALSE),"")</f>
        <v/>
      </c>
      <c r="K68" s="220" t="str">
        <f>IF(足元帳!AU68="","",足元帳!CC68)</f>
        <v/>
      </c>
      <c r="L68" s="217" t="str">
        <f>IF(足元帳!AU68="","",IF(足元帳!AL68="●","カード利用",""))</f>
        <v/>
      </c>
    </row>
    <row r="69" spans="1:12">
      <c r="A69" t="str">
        <f>IF(B69="","",
    COUNTA($B$2:B69)-COUNTIFS($B$2:B69,"",$B$2:B69,"=*"))</f>
        <v/>
      </c>
      <c r="B69" s="217" t="str">
        <f>IF(足元帳!AU69="","",足元帳!C69)</f>
        <v/>
      </c>
      <c r="C69" s="217" t="str">
        <f>IFERROR(VLOOKUP(IF(足元帳!AU69="","",足元帳!BJ69),管理シート!$CA$4:$CB$23,2,FALSE),"")</f>
        <v/>
      </c>
      <c r="D69" s="217" t="str">
        <f>IF(足元帳!AU69="","",足元帳!K69)</f>
        <v/>
      </c>
      <c r="E69" s="217" t="str">
        <f>IFERROR(VLOOKUP(IF(足元帳!AU69="","",足元帳!BB69),管理シート!$R$4:$W$12,4),"")</f>
        <v/>
      </c>
      <c r="F69" s="217" t="str">
        <f t="shared" si="1"/>
        <v/>
      </c>
      <c r="G69" s="217" t="str">
        <f>IF(足元帳!AU69="","",足元帳!AU69)</f>
        <v/>
      </c>
      <c r="H69" s="217" t="str">
        <f>IF(足元帳!AV69="","",足元帳!AV69)</f>
        <v/>
      </c>
      <c r="I69" s="217" t="str">
        <f>IF(B69="","",IF(IF(足元帳!AU69="","",足元帳!BB69)=1,精算表!$C$14,IF(IF(足元帳!AU69="","",足元帳!BB69)=2,精算表!$E$14,IF(IF(足元帳!AU69="","",足元帳!BB69)=3,精算表!$G$14,IF(IF(足元帳!AU69="","",足元帳!BB69)=4,精算表!$I$14,IF(IF(足元帳!AU69="","",足元帳!BB69)=5,精算表!$K$14,))))))</f>
        <v/>
      </c>
      <c r="J69" s="217" t="str">
        <f>IFERROR(VLOOKUP(VLOOKUP(IF(足元帳!AU69="","",足元帳!BJ69),管理シート!$CA$4:$CI$13,2,FALSE),精算表!$BL$20:$BS$29,MATCH(E69&amp;"分",精算表!$BL$20:$BS$20,0),FALSE),"")</f>
        <v/>
      </c>
      <c r="K69" s="220" t="str">
        <f>IF(足元帳!AU69="","",足元帳!CC69)</f>
        <v/>
      </c>
      <c r="L69" s="217" t="str">
        <f>IF(足元帳!AU69="","",IF(足元帳!AL69="●","カード利用",""))</f>
        <v/>
      </c>
    </row>
    <row r="70" spans="1:12">
      <c r="A70" t="str">
        <f>IF(B70="","",
    COUNTA($B$2:B70)-COUNTIFS($B$2:B70,"",$B$2:B70,"=*"))</f>
        <v/>
      </c>
      <c r="B70" s="217" t="str">
        <f>IF(足元帳!AU70="","",足元帳!C70)</f>
        <v/>
      </c>
      <c r="C70" s="217" t="str">
        <f>IFERROR(VLOOKUP(IF(足元帳!AU70="","",足元帳!BJ70),管理シート!$CA$4:$CB$23,2,FALSE),"")</f>
        <v/>
      </c>
      <c r="D70" s="217" t="str">
        <f>IF(足元帳!AU70="","",足元帳!K70)</f>
        <v/>
      </c>
      <c r="E70" s="217" t="str">
        <f>IFERROR(VLOOKUP(IF(足元帳!AU70="","",足元帳!BB70),管理シート!$R$4:$W$12,4),"")</f>
        <v/>
      </c>
      <c r="F70" s="217" t="str">
        <f t="shared" si="1"/>
        <v/>
      </c>
      <c r="G70" s="217" t="str">
        <f>IF(足元帳!AU70="","",足元帳!AU70)</f>
        <v/>
      </c>
      <c r="H70" s="217" t="str">
        <f>IF(足元帳!AV70="","",足元帳!AV70)</f>
        <v/>
      </c>
      <c r="I70" s="217" t="str">
        <f>IF(B70="","",IF(IF(足元帳!AU70="","",足元帳!BB70)=1,精算表!$C$14,IF(IF(足元帳!AU70="","",足元帳!BB70)=2,精算表!$E$14,IF(IF(足元帳!AU70="","",足元帳!BB70)=3,精算表!$G$14,IF(IF(足元帳!AU70="","",足元帳!BB70)=4,精算表!$I$14,IF(IF(足元帳!AU70="","",足元帳!BB70)=5,精算表!$K$14,))))))</f>
        <v/>
      </c>
      <c r="J70" s="217" t="str">
        <f>IFERROR(VLOOKUP(VLOOKUP(IF(足元帳!AU70="","",足元帳!BJ70),管理シート!$CA$4:$CI$13,2,FALSE),精算表!$BL$20:$BS$29,MATCH(E70&amp;"分",精算表!$BL$20:$BS$20,0),FALSE),"")</f>
        <v/>
      </c>
      <c r="K70" s="220" t="str">
        <f>IF(足元帳!AU70="","",足元帳!CC70)</f>
        <v/>
      </c>
      <c r="L70" s="217" t="str">
        <f>IF(足元帳!AU70="","",IF(足元帳!AL70="●","カード利用",""))</f>
        <v/>
      </c>
    </row>
    <row r="71" spans="1:12">
      <c r="A71" t="str">
        <f>IF(B71="","",
    COUNTA($B$2:B71)-COUNTIFS($B$2:B71,"",$B$2:B71,"=*"))</f>
        <v/>
      </c>
      <c r="B71" s="217" t="str">
        <f>IF(足元帳!AU71="","",足元帳!C71)</f>
        <v/>
      </c>
      <c r="C71" s="217" t="str">
        <f>IFERROR(VLOOKUP(IF(足元帳!AU71="","",足元帳!BJ71),管理シート!$CA$4:$CB$23,2,FALSE),"")</f>
        <v/>
      </c>
      <c r="D71" s="217" t="str">
        <f>IF(足元帳!AU71="","",足元帳!K71)</f>
        <v/>
      </c>
      <c r="E71" s="217" t="str">
        <f>IFERROR(VLOOKUP(IF(足元帳!AU71="","",足元帳!BB71),管理シート!$R$4:$W$12,4),"")</f>
        <v/>
      </c>
      <c r="F71" s="217" t="str">
        <f t="shared" si="1"/>
        <v/>
      </c>
      <c r="G71" s="217" t="str">
        <f>IF(足元帳!AU71="","",足元帳!AU71)</f>
        <v/>
      </c>
      <c r="H71" s="217" t="str">
        <f>IF(足元帳!AV71="","",足元帳!AV71)</f>
        <v/>
      </c>
      <c r="I71" s="217" t="str">
        <f>IF(B71="","",IF(IF(足元帳!AU71="","",足元帳!BB71)=1,精算表!$C$14,IF(IF(足元帳!AU71="","",足元帳!BB71)=2,精算表!$E$14,IF(IF(足元帳!AU71="","",足元帳!BB71)=3,精算表!$G$14,IF(IF(足元帳!AU71="","",足元帳!BB71)=4,精算表!$I$14,IF(IF(足元帳!AU71="","",足元帳!BB71)=5,精算表!$K$14,))))))</f>
        <v/>
      </c>
      <c r="J71" s="217" t="str">
        <f>IFERROR(VLOOKUP(VLOOKUP(IF(足元帳!AU71="","",足元帳!BJ71),管理シート!$CA$4:$CI$13,2,FALSE),精算表!$BL$20:$BS$29,MATCH(E71&amp;"分",精算表!$BL$20:$BS$20,0),FALSE),"")</f>
        <v/>
      </c>
      <c r="K71" s="220" t="str">
        <f>IF(足元帳!AU71="","",足元帳!CC71)</f>
        <v/>
      </c>
      <c r="L71" s="217" t="str">
        <f>IF(足元帳!AU71="","",IF(足元帳!AL71="●","カード利用",""))</f>
        <v/>
      </c>
    </row>
    <row r="72" spans="1:12">
      <c r="A72" t="str">
        <f>IF(B72="","",
    COUNTA($B$2:B72)-COUNTIFS($B$2:B72,"",$B$2:B72,"=*"))</f>
        <v/>
      </c>
      <c r="B72" s="217" t="str">
        <f>IF(足元帳!AU72="","",足元帳!C72)</f>
        <v/>
      </c>
      <c r="C72" s="217" t="str">
        <f>IFERROR(VLOOKUP(IF(足元帳!AU72="","",足元帳!BJ72),管理シート!$CA$4:$CB$23,2,FALSE),"")</f>
        <v/>
      </c>
      <c r="D72" s="217" t="str">
        <f>IF(足元帳!AU72="","",足元帳!K72)</f>
        <v/>
      </c>
      <c r="E72" s="217" t="str">
        <f>IFERROR(VLOOKUP(IF(足元帳!AU72="","",足元帳!BB72),管理シート!$R$4:$W$12,4),"")</f>
        <v/>
      </c>
      <c r="F72" s="217" t="str">
        <f t="shared" si="1"/>
        <v/>
      </c>
      <c r="G72" s="217" t="str">
        <f>IF(足元帳!AU72="","",足元帳!AU72)</f>
        <v/>
      </c>
      <c r="H72" s="217" t="str">
        <f>IF(足元帳!AV72="","",足元帳!AV72)</f>
        <v/>
      </c>
      <c r="I72" s="217" t="str">
        <f>IF(B72="","",IF(IF(足元帳!AU72="","",足元帳!BB72)=1,精算表!$C$14,IF(IF(足元帳!AU72="","",足元帳!BB72)=2,精算表!$E$14,IF(IF(足元帳!AU72="","",足元帳!BB72)=3,精算表!$G$14,IF(IF(足元帳!AU72="","",足元帳!BB72)=4,精算表!$I$14,IF(IF(足元帳!AU72="","",足元帳!BB72)=5,精算表!$K$14,))))))</f>
        <v/>
      </c>
      <c r="J72" s="217" t="str">
        <f>IFERROR(VLOOKUP(VLOOKUP(IF(足元帳!AU72="","",足元帳!BJ72),管理シート!$CA$4:$CI$13,2,FALSE),精算表!$BL$20:$BS$29,MATCH(E72&amp;"分",精算表!$BL$20:$BS$20,0),FALSE),"")</f>
        <v/>
      </c>
      <c r="K72" s="220" t="str">
        <f>IF(足元帳!AU72="","",足元帳!CC72)</f>
        <v/>
      </c>
      <c r="L72" s="217" t="str">
        <f>IF(足元帳!AU72="","",IF(足元帳!AL72="●","カード利用",""))</f>
        <v/>
      </c>
    </row>
    <row r="73" spans="1:12">
      <c r="A73" t="str">
        <f>IF(B73="","",
    COUNTA($B$2:B73)-COUNTIFS($B$2:B73,"",$B$2:B73,"=*"))</f>
        <v/>
      </c>
      <c r="B73" s="217" t="str">
        <f>IF(足元帳!AU73="","",足元帳!C73)</f>
        <v/>
      </c>
      <c r="C73" s="217" t="str">
        <f>IFERROR(VLOOKUP(IF(足元帳!AU73="","",足元帳!BJ73),管理シート!$CA$4:$CB$23,2,FALSE),"")</f>
        <v/>
      </c>
      <c r="D73" s="217" t="str">
        <f>IF(足元帳!AU73="","",足元帳!K73)</f>
        <v/>
      </c>
      <c r="E73" s="217" t="str">
        <f>IFERROR(VLOOKUP(IF(足元帳!AU73="","",足元帳!BB73),管理シート!$R$4:$W$12,4),"")</f>
        <v/>
      </c>
      <c r="F73" s="217" t="str">
        <f t="shared" si="1"/>
        <v/>
      </c>
      <c r="G73" s="217" t="str">
        <f>IF(足元帳!AU73="","",足元帳!AU73)</f>
        <v/>
      </c>
      <c r="H73" s="217" t="str">
        <f>IF(足元帳!AV73="","",足元帳!AV73)</f>
        <v/>
      </c>
      <c r="I73" s="217" t="str">
        <f>IF(B73="","",IF(IF(足元帳!AU73="","",足元帳!BB73)=1,精算表!$C$14,IF(IF(足元帳!AU73="","",足元帳!BB73)=2,精算表!$E$14,IF(IF(足元帳!AU73="","",足元帳!BB73)=3,精算表!$G$14,IF(IF(足元帳!AU73="","",足元帳!BB73)=4,精算表!$I$14,IF(IF(足元帳!AU73="","",足元帳!BB73)=5,精算表!$K$14,))))))</f>
        <v/>
      </c>
      <c r="J73" s="217" t="str">
        <f>IFERROR(VLOOKUP(VLOOKUP(IF(足元帳!AU73="","",足元帳!BJ73),管理シート!$CA$4:$CI$13,2,FALSE),精算表!$BL$20:$BS$29,MATCH(E73&amp;"分",精算表!$BL$20:$BS$20,0),FALSE),"")</f>
        <v/>
      </c>
      <c r="K73" s="220" t="str">
        <f>IF(足元帳!AU73="","",足元帳!CC73)</f>
        <v/>
      </c>
      <c r="L73" s="217" t="str">
        <f>IF(足元帳!AU73="","",IF(足元帳!AL73="●","カード利用",""))</f>
        <v/>
      </c>
    </row>
    <row r="74" spans="1:12">
      <c r="A74" t="str">
        <f>IF(B74="","",
    COUNTA($B$2:B74)-COUNTIFS($B$2:B74,"",$B$2:B74,"=*"))</f>
        <v/>
      </c>
      <c r="B74" s="217" t="str">
        <f>IF(足元帳!AU74="","",足元帳!C74)</f>
        <v/>
      </c>
      <c r="C74" s="217" t="str">
        <f>IFERROR(VLOOKUP(IF(足元帳!AU74="","",足元帳!BJ74),管理シート!$CA$4:$CB$23,2,FALSE),"")</f>
        <v/>
      </c>
      <c r="D74" s="217" t="str">
        <f>IF(足元帳!AU74="","",足元帳!K74)</f>
        <v/>
      </c>
      <c r="E74" s="217" t="str">
        <f>IFERROR(VLOOKUP(IF(足元帳!AU74="","",足元帳!BB74),管理シート!$R$4:$W$12,4),"")</f>
        <v/>
      </c>
      <c r="F74" s="217" t="str">
        <f t="shared" si="1"/>
        <v/>
      </c>
      <c r="G74" s="217" t="str">
        <f>IF(足元帳!AU74="","",足元帳!AU74)</f>
        <v/>
      </c>
      <c r="H74" s="217" t="str">
        <f>IF(足元帳!AV74="","",足元帳!AV74)</f>
        <v/>
      </c>
      <c r="I74" s="217" t="str">
        <f>IF(B74="","",IF(IF(足元帳!AU74="","",足元帳!BB74)=1,精算表!$C$14,IF(IF(足元帳!AU74="","",足元帳!BB74)=2,精算表!$E$14,IF(IF(足元帳!AU74="","",足元帳!BB74)=3,精算表!$G$14,IF(IF(足元帳!AU74="","",足元帳!BB74)=4,精算表!$I$14,IF(IF(足元帳!AU74="","",足元帳!BB74)=5,精算表!$K$14,))))))</f>
        <v/>
      </c>
      <c r="J74" s="217" t="str">
        <f>IFERROR(VLOOKUP(VLOOKUP(IF(足元帳!AU74="","",足元帳!BJ74),管理シート!$CA$4:$CI$13,2,FALSE),精算表!$BL$20:$BS$29,MATCH(E74&amp;"分",精算表!$BL$20:$BS$20,0),FALSE),"")</f>
        <v/>
      </c>
      <c r="K74" s="220" t="str">
        <f>IF(足元帳!AU74="","",足元帳!CC74)</f>
        <v/>
      </c>
      <c r="L74" s="217" t="str">
        <f>IF(足元帳!AU74="","",IF(足元帳!AL74="●","カード利用",""))</f>
        <v/>
      </c>
    </row>
    <row r="75" spans="1:12">
      <c r="A75" t="str">
        <f>IF(B75="","",
    COUNTA($B$2:B75)-COUNTIFS($B$2:B75,"",$B$2:B75,"=*"))</f>
        <v/>
      </c>
      <c r="B75" s="217" t="str">
        <f>IF(足元帳!AU75="","",足元帳!C75)</f>
        <v/>
      </c>
      <c r="C75" s="217" t="str">
        <f>IFERROR(VLOOKUP(IF(足元帳!AU75="","",足元帳!BJ75),管理シート!$CA$4:$CB$23,2,FALSE),"")</f>
        <v/>
      </c>
      <c r="D75" s="217" t="str">
        <f>IF(足元帳!AU75="","",足元帳!K75)</f>
        <v/>
      </c>
      <c r="E75" s="217" t="str">
        <f>IFERROR(VLOOKUP(IF(足元帳!AU75="","",足元帳!BB75),管理シート!$R$4:$W$12,4),"")</f>
        <v/>
      </c>
      <c r="F75" s="217" t="str">
        <f t="shared" si="1"/>
        <v/>
      </c>
      <c r="G75" s="217" t="str">
        <f>IF(足元帳!AU75="","",足元帳!AU75)</f>
        <v/>
      </c>
      <c r="H75" s="217" t="str">
        <f>IF(足元帳!AV75="","",足元帳!AV75)</f>
        <v/>
      </c>
      <c r="I75" s="217" t="str">
        <f>IF(B75="","",IF(IF(足元帳!AU75="","",足元帳!BB75)=1,精算表!$C$14,IF(IF(足元帳!AU75="","",足元帳!BB75)=2,精算表!$E$14,IF(IF(足元帳!AU75="","",足元帳!BB75)=3,精算表!$G$14,IF(IF(足元帳!AU75="","",足元帳!BB75)=4,精算表!$I$14,IF(IF(足元帳!AU75="","",足元帳!BB75)=5,精算表!$K$14,))))))</f>
        <v/>
      </c>
      <c r="J75" s="217" t="str">
        <f>IFERROR(VLOOKUP(VLOOKUP(IF(足元帳!AU75="","",足元帳!BJ75),管理シート!$CA$4:$CI$13,2,FALSE),精算表!$BL$20:$BS$29,MATCH(E75&amp;"分",精算表!$BL$20:$BS$20,0),FALSE),"")</f>
        <v/>
      </c>
      <c r="K75" s="220" t="str">
        <f>IF(足元帳!AU75="","",足元帳!CC75)</f>
        <v/>
      </c>
      <c r="L75" s="217" t="str">
        <f>IF(足元帳!AU75="","",IF(足元帳!AL75="●","カード利用",""))</f>
        <v/>
      </c>
    </row>
    <row r="76" spans="1:12">
      <c r="A76" t="str">
        <f>IF(B76="","",
    COUNTA($B$2:B76)-COUNTIFS($B$2:B76,"",$B$2:B76,"=*"))</f>
        <v/>
      </c>
      <c r="B76" s="217" t="str">
        <f>IF(足元帳!AU76="","",足元帳!C76)</f>
        <v/>
      </c>
      <c r="C76" s="217" t="str">
        <f>IFERROR(VLOOKUP(IF(足元帳!AU76="","",足元帳!BJ76),管理シート!$CA$4:$CB$23,2,FALSE),"")</f>
        <v/>
      </c>
      <c r="D76" s="217" t="str">
        <f>IF(足元帳!AU76="","",足元帳!K76)</f>
        <v/>
      </c>
      <c r="E76" s="217" t="str">
        <f>IFERROR(VLOOKUP(IF(足元帳!AU76="","",足元帳!BB76),管理シート!$R$4:$W$12,4),"")</f>
        <v/>
      </c>
      <c r="F76" s="217" t="str">
        <f t="shared" si="1"/>
        <v/>
      </c>
      <c r="G76" s="217" t="str">
        <f>IF(足元帳!AU76="","",足元帳!AU76)</f>
        <v/>
      </c>
      <c r="H76" s="217" t="str">
        <f>IF(足元帳!AV76="","",足元帳!AV76)</f>
        <v/>
      </c>
      <c r="I76" s="217" t="str">
        <f>IF(B76="","",IF(IF(足元帳!AU76="","",足元帳!BB76)=1,精算表!$C$14,IF(IF(足元帳!AU76="","",足元帳!BB76)=2,精算表!$E$14,IF(IF(足元帳!AU76="","",足元帳!BB76)=3,精算表!$G$14,IF(IF(足元帳!AU76="","",足元帳!BB76)=4,精算表!$I$14,IF(IF(足元帳!AU76="","",足元帳!BB76)=5,精算表!$K$14,))))))</f>
        <v/>
      </c>
      <c r="J76" s="217" t="str">
        <f>IFERROR(VLOOKUP(VLOOKUP(IF(足元帳!AU76="","",足元帳!BJ76),管理シート!$CA$4:$CI$13,2,FALSE),精算表!$BL$20:$BS$29,MATCH(E76&amp;"分",精算表!$BL$20:$BS$20,0),FALSE),"")</f>
        <v/>
      </c>
      <c r="K76" s="220" t="str">
        <f>IF(足元帳!AU76="","",足元帳!CC76)</f>
        <v/>
      </c>
      <c r="L76" s="217" t="str">
        <f>IF(足元帳!AU76="","",IF(足元帳!AL76="●","カード利用",""))</f>
        <v/>
      </c>
    </row>
    <row r="77" spans="1:12">
      <c r="A77" t="str">
        <f>IF(B77="","",
    COUNTA($B$2:B77)-COUNTIFS($B$2:B77,"",$B$2:B77,"=*"))</f>
        <v/>
      </c>
      <c r="B77" s="217" t="str">
        <f>IF(足元帳!AU77="","",足元帳!C77)</f>
        <v/>
      </c>
      <c r="C77" s="217" t="str">
        <f>IFERROR(VLOOKUP(IF(足元帳!AU77="","",足元帳!BJ77),管理シート!$CA$4:$CB$23,2,FALSE),"")</f>
        <v/>
      </c>
      <c r="D77" s="217" t="str">
        <f>IF(足元帳!AU77="","",足元帳!K77)</f>
        <v/>
      </c>
      <c r="E77" s="217" t="str">
        <f>IFERROR(VLOOKUP(IF(足元帳!AU77="","",足元帳!BB77),管理シート!$R$4:$W$12,4),"")</f>
        <v/>
      </c>
      <c r="F77" s="217" t="str">
        <f t="shared" si="1"/>
        <v/>
      </c>
      <c r="G77" s="217" t="str">
        <f>IF(足元帳!AU77="","",足元帳!AU77)</f>
        <v/>
      </c>
      <c r="H77" s="217" t="str">
        <f>IF(足元帳!AV77="","",足元帳!AV77)</f>
        <v/>
      </c>
      <c r="I77" s="217" t="str">
        <f>IF(B77="","",IF(IF(足元帳!AU77="","",足元帳!BB77)=1,精算表!$C$14,IF(IF(足元帳!AU77="","",足元帳!BB77)=2,精算表!$E$14,IF(IF(足元帳!AU77="","",足元帳!BB77)=3,精算表!$G$14,IF(IF(足元帳!AU77="","",足元帳!BB77)=4,精算表!$I$14,IF(IF(足元帳!AU77="","",足元帳!BB77)=5,精算表!$K$14,))))))</f>
        <v/>
      </c>
      <c r="J77" s="217" t="str">
        <f>IFERROR(VLOOKUP(VLOOKUP(IF(足元帳!AU77="","",足元帳!BJ77),管理シート!$CA$4:$CI$13,2,FALSE),精算表!$BL$20:$BS$29,MATCH(E77&amp;"分",精算表!$BL$20:$BS$20,0),FALSE),"")</f>
        <v/>
      </c>
      <c r="K77" s="220" t="str">
        <f>IF(足元帳!AU77="","",足元帳!CC77)</f>
        <v/>
      </c>
      <c r="L77" s="217" t="str">
        <f>IF(足元帳!AU77="","",IF(足元帳!AL77="●","カード利用",""))</f>
        <v/>
      </c>
    </row>
    <row r="78" spans="1:12">
      <c r="A78" t="str">
        <f>IF(B78="","",
    COUNTA($B$2:B78)-COUNTIFS($B$2:B78,"",$B$2:B78,"=*"))</f>
        <v/>
      </c>
      <c r="B78" s="217" t="str">
        <f>IF(足元帳!AU78="","",足元帳!C78)</f>
        <v/>
      </c>
      <c r="C78" s="217" t="str">
        <f>IFERROR(VLOOKUP(IF(足元帳!AU78="","",足元帳!BJ78),管理シート!$CA$4:$CB$23,2,FALSE),"")</f>
        <v/>
      </c>
      <c r="D78" s="217" t="str">
        <f>IF(足元帳!AU78="","",足元帳!K78)</f>
        <v/>
      </c>
      <c r="E78" s="217" t="str">
        <f>IFERROR(VLOOKUP(IF(足元帳!AU78="","",足元帳!BB78),管理シート!$R$4:$W$12,4),"")</f>
        <v/>
      </c>
      <c r="F78" s="217" t="str">
        <f t="shared" si="1"/>
        <v/>
      </c>
      <c r="G78" s="217" t="str">
        <f>IF(足元帳!AU78="","",足元帳!AU78)</f>
        <v/>
      </c>
      <c r="H78" s="217" t="str">
        <f>IF(足元帳!AV78="","",足元帳!AV78)</f>
        <v/>
      </c>
      <c r="I78" s="217" t="str">
        <f>IF(B78="","",IF(IF(足元帳!AU78="","",足元帳!BB78)=1,精算表!$C$14,IF(IF(足元帳!AU78="","",足元帳!BB78)=2,精算表!$E$14,IF(IF(足元帳!AU78="","",足元帳!BB78)=3,精算表!$G$14,IF(IF(足元帳!AU78="","",足元帳!BB78)=4,精算表!$I$14,IF(IF(足元帳!AU78="","",足元帳!BB78)=5,精算表!$K$14,))))))</f>
        <v/>
      </c>
      <c r="J78" s="217" t="str">
        <f>IFERROR(VLOOKUP(VLOOKUP(IF(足元帳!AU78="","",足元帳!BJ78),管理シート!$CA$4:$CI$13,2,FALSE),精算表!$BL$20:$BS$29,MATCH(E78&amp;"分",精算表!$BL$20:$BS$20,0),FALSE),"")</f>
        <v/>
      </c>
      <c r="K78" s="220" t="str">
        <f>IF(足元帳!AU78="","",足元帳!CC78)</f>
        <v/>
      </c>
      <c r="L78" s="217" t="str">
        <f>IF(足元帳!AU78="","",IF(足元帳!AL78="●","カード利用",""))</f>
        <v/>
      </c>
    </row>
    <row r="79" spans="1:12">
      <c r="A79" t="str">
        <f>IF(B79="","",
    COUNTA($B$2:B79)-COUNTIFS($B$2:B79,"",$B$2:B79,"=*"))</f>
        <v/>
      </c>
      <c r="B79" s="217" t="str">
        <f>IF(足元帳!AU79="","",足元帳!C79)</f>
        <v/>
      </c>
      <c r="C79" s="217" t="str">
        <f>IFERROR(VLOOKUP(IF(足元帳!AU79="","",足元帳!BJ79),管理シート!$CA$4:$CB$23,2,FALSE),"")</f>
        <v/>
      </c>
      <c r="D79" s="217" t="str">
        <f>IF(足元帳!AU79="","",足元帳!K79)</f>
        <v/>
      </c>
      <c r="E79" s="217" t="str">
        <f>IFERROR(VLOOKUP(IF(足元帳!AU79="","",足元帳!BB79),管理シート!$R$4:$W$12,4),"")</f>
        <v/>
      </c>
      <c r="F79" s="217" t="str">
        <f t="shared" si="1"/>
        <v/>
      </c>
      <c r="G79" s="217" t="str">
        <f>IF(足元帳!AU79="","",足元帳!AU79)</f>
        <v/>
      </c>
      <c r="H79" s="217" t="str">
        <f>IF(足元帳!AV79="","",足元帳!AV79)</f>
        <v/>
      </c>
      <c r="I79" s="217" t="str">
        <f>IF(B79="","",IF(IF(足元帳!AU79="","",足元帳!BB79)=1,精算表!$C$14,IF(IF(足元帳!AU79="","",足元帳!BB79)=2,精算表!$E$14,IF(IF(足元帳!AU79="","",足元帳!BB79)=3,精算表!$G$14,IF(IF(足元帳!AU79="","",足元帳!BB79)=4,精算表!$I$14,IF(IF(足元帳!AU79="","",足元帳!BB79)=5,精算表!$K$14,))))))</f>
        <v/>
      </c>
      <c r="J79" s="217" t="str">
        <f>IFERROR(VLOOKUP(VLOOKUP(IF(足元帳!AU79="","",足元帳!BJ79),管理シート!$CA$4:$CI$13,2,FALSE),精算表!$BL$20:$BS$29,MATCH(E79&amp;"分",精算表!$BL$20:$BS$20,0),FALSE),"")</f>
        <v/>
      </c>
      <c r="K79" s="220" t="str">
        <f>IF(足元帳!AU79="","",足元帳!CC79)</f>
        <v/>
      </c>
      <c r="L79" s="217" t="str">
        <f>IF(足元帳!AU79="","",IF(足元帳!AL79="●","カード利用",""))</f>
        <v/>
      </c>
    </row>
    <row r="80" spans="1:12">
      <c r="A80" t="str">
        <f>IF(B80="","",
    COUNTA($B$2:B80)-COUNTIFS($B$2:B80,"",$B$2:B80,"=*"))</f>
        <v/>
      </c>
      <c r="B80" s="217" t="str">
        <f>IF(足元帳!AU80="","",足元帳!C80)</f>
        <v/>
      </c>
      <c r="C80" s="217" t="str">
        <f>IFERROR(VLOOKUP(IF(足元帳!AU80="","",足元帳!BJ80),管理シート!$CA$4:$CB$23,2,FALSE),"")</f>
        <v/>
      </c>
      <c r="D80" s="217" t="str">
        <f>IF(足元帳!AU80="","",足元帳!K80)</f>
        <v/>
      </c>
      <c r="E80" s="217" t="str">
        <f>IFERROR(VLOOKUP(IF(足元帳!AU80="","",足元帳!BB80),管理シート!$R$4:$W$12,4),"")</f>
        <v/>
      </c>
      <c r="F80" s="217" t="str">
        <f t="shared" si="1"/>
        <v/>
      </c>
      <c r="G80" s="217" t="str">
        <f>IF(足元帳!AU80="","",足元帳!AU80)</f>
        <v/>
      </c>
      <c r="H80" s="217" t="str">
        <f>IF(足元帳!AV80="","",足元帳!AV80)</f>
        <v/>
      </c>
      <c r="I80" s="217" t="str">
        <f>IF(B80="","",IF(IF(足元帳!AU80="","",足元帳!BB80)=1,精算表!$C$14,IF(IF(足元帳!AU80="","",足元帳!BB80)=2,精算表!$E$14,IF(IF(足元帳!AU80="","",足元帳!BB80)=3,精算表!$G$14,IF(IF(足元帳!AU80="","",足元帳!BB80)=4,精算表!$I$14,IF(IF(足元帳!AU80="","",足元帳!BB80)=5,精算表!$K$14,))))))</f>
        <v/>
      </c>
      <c r="J80" s="217" t="str">
        <f>IFERROR(VLOOKUP(VLOOKUP(IF(足元帳!AU80="","",足元帳!BJ80),管理シート!$CA$4:$CI$13,2,FALSE),精算表!$BL$20:$BS$29,MATCH(E80&amp;"分",精算表!$BL$20:$BS$20,0),FALSE),"")</f>
        <v/>
      </c>
      <c r="K80" s="220" t="str">
        <f>IF(足元帳!AU80="","",足元帳!CC80)</f>
        <v/>
      </c>
      <c r="L80" s="217" t="str">
        <f>IF(足元帳!AU80="","",IF(足元帳!AL80="●","カード利用",""))</f>
        <v/>
      </c>
    </row>
    <row r="81" spans="1:12">
      <c r="A81" t="str">
        <f>IF(B81="","",
    COUNTA($B$2:B81)-COUNTIFS($B$2:B81,"",$B$2:B81,"=*"))</f>
        <v/>
      </c>
      <c r="B81" s="217" t="str">
        <f>IF(足元帳!AU81="","",足元帳!C81)</f>
        <v/>
      </c>
      <c r="C81" s="217" t="str">
        <f>IFERROR(VLOOKUP(IF(足元帳!AU81="","",足元帳!BJ81),管理シート!$CA$4:$CB$23,2,FALSE),"")</f>
        <v/>
      </c>
      <c r="D81" s="217" t="str">
        <f>IF(足元帳!AU81="","",足元帳!K81)</f>
        <v/>
      </c>
      <c r="E81" s="217" t="str">
        <f>IFERROR(VLOOKUP(IF(足元帳!AU81="","",足元帳!BB81),管理シート!$R$4:$W$12,4),"")</f>
        <v/>
      </c>
      <c r="F81" s="217" t="str">
        <f t="shared" si="1"/>
        <v/>
      </c>
      <c r="G81" s="217" t="str">
        <f>IF(足元帳!AU81="","",足元帳!AU81)</f>
        <v/>
      </c>
      <c r="H81" s="217" t="str">
        <f>IF(足元帳!AV81="","",足元帳!AV81)</f>
        <v/>
      </c>
      <c r="I81" s="217" t="str">
        <f>IF(B81="","",IF(IF(足元帳!AU81="","",足元帳!BB81)=1,精算表!$C$14,IF(IF(足元帳!AU81="","",足元帳!BB81)=2,精算表!$E$14,IF(IF(足元帳!AU81="","",足元帳!BB81)=3,精算表!$G$14,IF(IF(足元帳!AU81="","",足元帳!BB81)=4,精算表!$I$14,IF(IF(足元帳!AU81="","",足元帳!BB81)=5,精算表!$K$14,))))))</f>
        <v/>
      </c>
      <c r="J81" s="217" t="str">
        <f>IFERROR(VLOOKUP(VLOOKUP(IF(足元帳!AU81="","",足元帳!BJ81),管理シート!$CA$4:$CI$13,2,FALSE),精算表!$BL$20:$BS$29,MATCH(E81&amp;"分",精算表!$BL$20:$BS$20,0),FALSE),"")</f>
        <v/>
      </c>
      <c r="K81" s="220" t="str">
        <f>IF(足元帳!AU81="","",足元帳!CC81)</f>
        <v/>
      </c>
      <c r="L81" s="217" t="str">
        <f>IF(足元帳!AU81="","",IF(足元帳!AL81="●","カード利用",""))</f>
        <v/>
      </c>
    </row>
    <row r="82" spans="1:12">
      <c r="A82" t="str">
        <f>IF(B82="","",
    COUNTA($B$2:B82)-COUNTIFS($B$2:B82,"",$B$2:B82,"=*"))</f>
        <v/>
      </c>
      <c r="B82" s="217" t="str">
        <f>IF(足元帳!AU82="","",足元帳!C82)</f>
        <v/>
      </c>
      <c r="C82" s="217" t="str">
        <f>IFERROR(VLOOKUP(IF(足元帳!AU82="","",足元帳!BJ82),管理シート!$CA$4:$CB$23,2,FALSE),"")</f>
        <v/>
      </c>
      <c r="D82" s="217" t="str">
        <f>IF(足元帳!AU82="","",足元帳!K82)</f>
        <v/>
      </c>
      <c r="E82" s="217" t="str">
        <f>IFERROR(VLOOKUP(IF(足元帳!AU82="","",足元帳!BB82),管理シート!$R$4:$W$12,4),"")</f>
        <v/>
      </c>
      <c r="F82" s="217" t="str">
        <f t="shared" si="1"/>
        <v/>
      </c>
      <c r="G82" s="217" t="str">
        <f>IF(足元帳!AU82="","",足元帳!AU82)</f>
        <v/>
      </c>
      <c r="H82" s="217" t="str">
        <f>IF(足元帳!AV82="","",足元帳!AV82)</f>
        <v/>
      </c>
      <c r="I82" s="217" t="str">
        <f>IF(B82="","",IF(IF(足元帳!AU82="","",足元帳!BB82)=1,精算表!$C$14,IF(IF(足元帳!AU82="","",足元帳!BB82)=2,精算表!$E$14,IF(IF(足元帳!AU82="","",足元帳!BB82)=3,精算表!$G$14,IF(IF(足元帳!AU82="","",足元帳!BB82)=4,精算表!$I$14,IF(IF(足元帳!AU82="","",足元帳!BB82)=5,精算表!$K$14,))))))</f>
        <v/>
      </c>
      <c r="J82" s="217" t="str">
        <f>IFERROR(VLOOKUP(VLOOKUP(IF(足元帳!AU82="","",足元帳!BJ82),管理シート!$CA$4:$CI$13,2,FALSE),精算表!$BL$20:$BS$29,MATCH(E82&amp;"分",精算表!$BL$20:$BS$20,0),FALSE),"")</f>
        <v/>
      </c>
      <c r="K82" s="220" t="str">
        <f>IF(足元帳!AU82="","",足元帳!CC82)</f>
        <v/>
      </c>
      <c r="L82" s="217" t="str">
        <f>IF(足元帳!AU82="","",IF(足元帳!AL82="●","カード利用",""))</f>
        <v/>
      </c>
    </row>
    <row r="83" spans="1:12">
      <c r="A83" t="str">
        <f>IF(B83="","",
    COUNTA($B$2:B83)-COUNTIFS($B$2:B83,"",$B$2:B83,"=*"))</f>
        <v/>
      </c>
      <c r="B83" s="217" t="str">
        <f>IF(足元帳!AU83="","",足元帳!C83)</f>
        <v/>
      </c>
      <c r="C83" s="217" t="str">
        <f>IFERROR(VLOOKUP(IF(足元帳!AU83="","",足元帳!BJ83),管理シート!$CA$4:$CB$23,2,FALSE),"")</f>
        <v/>
      </c>
      <c r="D83" s="217" t="str">
        <f>IF(足元帳!AU83="","",足元帳!K83)</f>
        <v/>
      </c>
      <c r="E83" s="217" t="str">
        <f>IFERROR(VLOOKUP(IF(足元帳!AU83="","",足元帳!BB83),管理シート!$R$4:$W$12,4),"")</f>
        <v/>
      </c>
      <c r="F83" s="217" t="str">
        <f t="shared" si="1"/>
        <v/>
      </c>
      <c r="G83" s="217" t="str">
        <f>IF(足元帳!AU83="","",足元帳!AU83)</f>
        <v/>
      </c>
      <c r="H83" s="217" t="str">
        <f>IF(足元帳!AV83="","",足元帳!AV83)</f>
        <v/>
      </c>
      <c r="I83" s="217" t="str">
        <f>IF(B83="","",IF(IF(足元帳!AU83="","",足元帳!BB83)=1,精算表!$C$14,IF(IF(足元帳!AU83="","",足元帳!BB83)=2,精算表!$E$14,IF(IF(足元帳!AU83="","",足元帳!BB83)=3,精算表!$G$14,IF(IF(足元帳!AU83="","",足元帳!BB83)=4,精算表!$I$14,IF(IF(足元帳!AU83="","",足元帳!BB83)=5,精算表!$K$14,))))))</f>
        <v/>
      </c>
      <c r="J83" s="217" t="str">
        <f>IFERROR(VLOOKUP(VLOOKUP(IF(足元帳!AU83="","",足元帳!BJ83),管理シート!$CA$4:$CI$13,2,FALSE),精算表!$BL$20:$BS$29,MATCH(E83&amp;"分",精算表!$BL$20:$BS$20,0),FALSE),"")</f>
        <v/>
      </c>
      <c r="K83" s="220" t="str">
        <f>IF(足元帳!AU83="","",足元帳!CC83)</f>
        <v/>
      </c>
      <c r="L83" s="217" t="str">
        <f>IF(足元帳!AU83="","",IF(足元帳!AL83="●","カード利用",""))</f>
        <v/>
      </c>
    </row>
    <row r="84" spans="1:12">
      <c r="A84" t="str">
        <f>IF(B84="","",
    COUNTA($B$2:B84)-COUNTIFS($B$2:B84,"",$B$2:B84,"=*"))</f>
        <v/>
      </c>
      <c r="B84" s="217" t="str">
        <f>IF(足元帳!AU84="","",足元帳!C84)</f>
        <v/>
      </c>
      <c r="C84" s="217" t="str">
        <f>IFERROR(VLOOKUP(IF(足元帳!AU84="","",足元帳!BJ84),管理シート!$CA$4:$CB$23,2,FALSE),"")</f>
        <v/>
      </c>
      <c r="D84" s="217" t="str">
        <f>IF(足元帳!AU84="","",足元帳!K84)</f>
        <v/>
      </c>
      <c r="E84" s="217" t="str">
        <f>IFERROR(VLOOKUP(IF(足元帳!AU84="","",足元帳!BB84),管理シート!$R$4:$W$12,4),"")</f>
        <v/>
      </c>
      <c r="F84" s="217" t="str">
        <f t="shared" si="1"/>
        <v/>
      </c>
      <c r="G84" s="217" t="str">
        <f>IF(足元帳!AU84="","",足元帳!AU84)</f>
        <v/>
      </c>
      <c r="H84" s="217" t="str">
        <f>IF(足元帳!AV84="","",足元帳!AV84)</f>
        <v/>
      </c>
      <c r="I84" s="217" t="str">
        <f>IF(B84="","",IF(IF(足元帳!AU84="","",足元帳!BB84)=1,精算表!$C$14,IF(IF(足元帳!AU84="","",足元帳!BB84)=2,精算表!$E$14,IF(IF(足元帳!AU84="","",足元帳!BB84)=3,精算表!$G$14,IF(IF(足元帳!AU84="","",足元帳!BB84)=4,精算表!$I$14,IF(IF(足元帳!AU84="","",足元帳!BB84)=5,精算表!$K$14,))))))</f>
        <v/>
      </c>
      <c r="J84" s="217" t="str">
        <f>IFERROR(VLOOKUP(VLOOKUP(IF(足元帳!AU84="","",足元帳!BJ84),管理シート!$CA$4:$CI$13,2,FALSE),精算表!$BL$20:$BS$29,MATCH(E84&amp;"分",精算表!$BL$20:$BS$20,0),FALSE),"")</f>
        <v/>
      </c>
      <c r="K84" s="220" t="str">
        <f>IF(足元帳!AU84="","",足元帳!CC84)</f>
        <v/>
      </c>
      <c r="L84" s="217" t="str">
        <f>IF(足元帳!AU84="","",IF(足元帳!AL84="●","カード利用",""))</f>
        <v/>
      </c>
    </row>
    <row r="85" spans="1:12">
      <c r="A85" t="str">
        <f>IF(B85="","",
    COUNTA($B$2:B85)-COUNTIFS($B$2:B85,"",$B$2:B85,"=*"))</f>
        <v/>
      </c>
      <c r="B85" s="217" t="str">
        <f>IF(足元帳!AU85="","",足元帳!C85)</f>
        <v/>
      </c>
      <c r="C85" s="217" t="str">
        <f>IFERROR(VLOOKUP(IF(足元帳!AU85="","",足元帳!BJ85),管理シート!$CA$4:$CB$23,2,FALSE),"")</f>
        <v/>
      </c>
      <c r="D85" s="217" t="str">
        <f>IF(足元帳!AU85="","",足元帳!K85)</f>
        <v/>
      </c>
      <c r="E85" s="217" t="str">
        <f>IFERROR(VLOOKUP(IF(足元帳!AU85="","",足元帳!BB85),管理シート!$R$4:$W$12,4),"")</f>
        <v/>
      </c>
      <c r="F85" s="217" t="str">
        <f t="shared" si="1"/>
        <v/>
      </c>
      <c r="G85" s="217" t="str">
        <f>IF(足元帳!AU85="","",足元帳!AU85)</f>
        <v/>
      </c>
      <c r="H85" s="217" t="str">
        <f>IF(足元帳!AV85="","",足元帳!AV85)</f>
        <v/>
      </c>
      <c r="I85" s="217" t="str">
        <f>IF(B85="","",IF(IF(足元帳!AU85="","",足元帳!BB85)=1,精算表!$C$14,IF(IF(足元帳!AU85="","",足元帳!BB85)=2,精算表!$E$14,IF(IF(足元帳!AU85="","",足元帳!BB85)=3,精算表!$G$14,IF(IF(足元帳!AU85="","",足元帳!BB85)=4,精算表!$I$14,IF(IF(足元帳!AU85="","",足元帳!BB85)=5,精算表!$K$14,))))))</f>
        <v/>
      </c>
      <c r="J85" s="217" t="str">
        <f>IFERROR(VLOOKUP(VLOOKUP(IF(足元帳!AU85="","",足元帳!BJ85),管理シート!$CA$4:$CI$13,2,FALSE),精算表!$BL$20:$BS$29,MATCH(E85&amp;"分",精算表!$BL$20:$BS$20,0),FALSE),"")</f>
        <v/>
      </c>
      <c r="K85" s="220" t="str">
        <f>IF(足元帳!AU85="","",足元帳!CC85)</f>
        <v/>
      </c>
      <c r="L85" s="217" t="str">
        <f>IF(足元帳!AU85="","",IF(足元帳!AL85="●","カード利用",""))</f>
        <v/>
      </c>
    </row>
    <row r="86" spans="1:12">
      <c r="A86" t="str">
        <f>IF(B86="","",
    COUNTA($B$2:B86)-COUNTIFS($B$2:B86,"",$B$2:B86,"=*"))</f>
        <v/>
      </c>
      <c r="B86" s="217" t="str">
        <f>IF(足元帳!AU86="","",足元帳!C86)</f>
        <v/>
      </c>
      <c r="C86" s="217" t="str">
        <f>IFERROR(VLOOKUP(IF(足元帳!AU86="","",足元帳!BJ86),管理シート!$CA$4:$CB$23,2,FALSE),"")</f>
        <v/>
      </c>
      <c r="D86" s="217" t="str">
        <f>IF(足元帳!AU86="","",足元帳!K86)</f>
        <v/>
      </c>
      <c r="E86" s="217" t="str">
        <f>IFERROR(VLOOKUP(IF(足元帳!AU86="","",足元帳!BB86),管理シート!$R$4:$W$12,4),"")</f>
        <v/>
      </c>
      <c r="F86" s="217" t="str">
        <f t="shared" si="1"/>
        <v/>
      </c>
      <c r="G86" s="217" t="str">
        <f>IF(足元帳!AU86="","",足元帳!AU86)</f>
        <v/>
      </c>
      <c r="H86" s="217" t="str">
        <f>IF(足元帳!AV86="","",足元帳!AV86)</f>
        <v/>
      </c>
      <c r="I86" s="217" t="str">
        <f>IF(B86="","",IF(IF(足元帳!AU86="","",足元帳!BB86)=1,精算表!$C$14,IF(IF(足元帳!AU86="","",足元帳!BB86)=2,精算表!$E$14,IF(IF(足元帳!AU86="","",足元帳!BB86)=3,精算表!$G$14,IF(IF(足元帳!AU86="","",足元帳!BB86)=4,精算表!$I$14,IF(IF(足元帳!AU86="","",足元帳!BB86)=5,精算表!$K$14,))))))</f>
        <v/>
      </c>
      <c r="J86" s="217" t="str">
        <f>IFERROR(VLOOKUP(VLOOKUP(IF(足元帳!AU86="","",足元帳!BJ86),管理シート!$CA$4:$CI$13,2,FALSE),精算表!$BL$20:$BS$29,MATCH(E86&amp;"分",精算表!$BL$20:$BS$20,0),FALSE),"")</f>
        <v/>
      </c>
      <c r="K86" s="220" t="str">
        <f>IF(足元帳!AU86="","",足元帳!CC86)</f>
        <v/>
      </c>
      <c r="L86" s="217" t="str">
        <f>IF(足元帳!AU86="","",IF(足元帳!AL86="●","カード利用",""))</f>
        <v/>
      </c>
    </row>
    <row r="87" spans="1:12">
      <c r="A87" t="str">
        <f>IF(B87="","",
    COUNTA($B$2:B87)-COUNTIFS($B$2:B87,"",$B$2:B87,"=*"))</f>
        <v/>
      </c>
      <c r="B87" s="217" t="str">
        <f>IF(足元帳!AU87="","",足元帳!C87)</f>
        <v/>
      </c>
      <c r="C87" s="217" t="str">
        <f>IFERROR(VLOOKUP(IF(足元帳!AU87="","",足元帳!BJ87),管理シート!$CA$4:$CB$23,2,FALSE),"")</f>
        <v/>
      </c>
      <c r="D87" s="217" t="str">
        <f>IF(足元帳!AU87="","",足元帳!K87)</f>
        <v/>
      </c>
      <c r="E87" s="217" t="str">
        <f>IFERROR(VLOOKUP(IF(足元帳!AU87="","",足元帳!BB87),管理シート!$R$4:$W$12,4),"")</f>
        <v/>
      </c>
      <c r="F87" s="217" t="str">
        <f t="shared" si="1"/>
        <v/>
      </c>
      <c r="G87" s="217" t="str">
        <f>IF(足元帳!AU87="","",足元帳!AU87)</f>
        <v/>
      </c>
      <c r="H87" s="217" t="str">
        <f>IF(足元帳!AV87="","",足元帳!AV87)</f>
        <v/>
      </c>
      <c r="I87" s="217" t="str">
        <f>IF(B87="","",IF(IF(足元帳!AU87="","",足元帳!BB87)=1,精算表!$C$14,IF(IF(足元帳!AU87="","",足元帳!BB87)=2,精算表!$E$14,IF(IF(足元帳!AU87="","",足元帳!BB87)=3,精算表!$G$14,IF(IF(足元帳!AU87="","",足元帳!BB87)=4,精算表!$I$14,IF(IF(足元帳!AU87="","",足元帳!BB87)=5,精算表!$K$14,))))))</f>
        <v/>
      </c>
      <c r="J87" s="217" t="str">
        <f>IFERROR(VLOOKUP(VLOOKUP(IF(足元帳!AU87="","",足元帳!BJ87),管理シート!$CA$4:$CI$13,2,FALSE),精算表!$BL$20:$BS$29,MATCH(E87&amp;"分",精算表!$BL$20:$BS$20,0),FALSE),"")</f>
        <v/>
      </c>
      <c r="K87" s="220" t="str">
        <f>IF(足元帳!AU87="","",足元帳!CC87)</f>
        <v/>
      </c>
      <c r="L87" s="217" t="str">
        <f>IF(足元帳!AU87="","",IF(足元帳!AL87="●","カード利用",""))</f>
        <v/>
      </c>
    </row>
    <row r="88" spans="1:12">
      <c r="A88" t="str">
        <f>IF(B88="","",
    COUNTA($B$2:B88)-COUNTIFS($B$2:B88,"",$B$2:B88,"=*"))</f>
        <v/>
      </c>
      <c r="B88" s="217" t="str">
        <f>IF(足元帳!AU88="","",足元帳!C88)</f>
        <v/>
      </c>
      <c r="C88" s="217" t="str">
        <f>IFERROR(VLOOKUP(IF(足元帳!AU88="","",足元帳!BJ88),管理シート!$CA$4:$CB$23,2,FALSE),"")</f>
        <v/>
      </c>
      <c r="D88" s="217" t="str">
        <f>IF(足元帳!AU88="","",足元帳!K88)</f>
        <v/>
      </c>
      <c r="E88" s="217" t="str">
        <f>IFERROR(VLOOKUP(IF(足元帳!AU88="","",足元帳!BB88),管理シート!$R$4:$W$12,4),"")</f>
        <v/>
      </c>
      <c r="F88" s="217" t="str">
        <f t="shared" si="1"/>
        <v/>
      </c>
      <c r="G88" s="217" t="str">
        <f>IF(足元帳!AU88="","",足元帳!AU88)</f>
        <v/>
      </c>
      <c r="H88" s="217" t="str">
        <f>IF(足元帳!AV88="","",足元帳!AV88)</f>
        <v/>
      </c>
      <c r="I88" s="217" t="str">
        <f>IF(B88="","",IF(IF(足元帳!AU88="","",足元帳!BB88)=1,精算表!$C$14,IF(IF(足元帳!AU88="","",足元帳!BB88)=2,精算表!$E$14,IF(IF(足元帳!AU88="","",足元帳!BB88)=3,精算表!$G$14,IF(IF(足元帳!AU88="","",足元帳!BB88)=4,精算表!$I$14,IF(IF(足元帳!AU88="","",足元帳!BB88)=5,精算表!$K$14,))))))</f>
        <v/>
      </c>
      <c r="J88" s="217" t="str">
        <f>IFERROR(VLOOKUP(VLOOKUP(IF(足元帳!AU88="","",足元帳!BJ88),管理シート!$CA$4:$CI$13,2,FALSE),精算表!$BL$20:$BS$29,MATCH(E88&amp;"分",精算表!$BL$20:$BS$20,0),FALSE),"")</f>
        <v/>
      </c>
      <c r="K88" s="220" t="str">
        <f>IF(足元帳!AU88="","",足元帳!CC88)</f>
        <v/>
      </c>
      <c r="L88" s="217" t="str">
        <f>IF(足元帳!AU88="","",IF(足元帳!AL88="●","カード利用",""))</f>
        <v/>
      </c>
    </row>
    <row r="89" spans="1:12">
      <c r="A89" t="str">
        <f>IF(B89="","",
    COUNTA($B$2:B89)-COUNTIFS($B$2:B89,"",$B$2:B89,"=*"))</f>
        <v/>
      </c>
      <c r="B89" s="217" t="str">
        <f>IF(足元帳!AU89="","",足元帳!C89)</f>
        <v/>
      </c>
      <c r="C89" s="217" t="str">
        <f>IFERROR(VLOOKUP(IF(足元帳!AU89="","",足元帳!BJ89),管理シート!$CA$4:$CB$23,2,FALSE),"")</f>
        <v/>
      </c>
      <c r="D89" s="217" t="str">
        <f>IF(足元帳!AU89="","",足元帳!K89)</f>
        <v/>
      </c>
      <c r="E89" s="217" t="str">
        <f>IFERROR(VLOOKUP(IF(足元帳!AU89="","",足元帳!BB89),管理シート!$R$4:$W$12,4),"")</f>
        <v/>
      </c>
      <c r="F89" s="217" t="str">
        <f t="shared" si="1"/>
        <v/>
      </c>
      <c r="G89" s="217" t="str">
        <f>IF(足元帳!AU89="","",足元帳!AU89)</f>
        <v/>
      </c>
      <c r="H89" s="217" t="str">
        <f>IF(足元帳!AV89="","",足元帳!AV89)</f>
        <v/>
      </c>
      <c r="I89" s="217" t="str">
        <f>IF(B89="","",IF(IF(足元帳!AU89="","",足元帳!BB89)=1,精算表!$C$14,IF(IF(足元帳!AU89="","",足元帳!BB89)=2,精算表!$E$14,IF(IF(足元帳!AU89="","",足元帳!BB89)=3,精算表!$G$14,IF(IF(足元帳!AU89="","",足元帳!BB89)=4,精算表!$I$14,IF(IF(足元帳!AU89="","",足元帳!BB89)=5,精算表!$K$14,))))))</f>
        <v/>
      </c>
      <c r="J89" s="217" t="str">
        <f>IFERROR(VLOOKUP(VLOOKUP(IF(足元帳!AU89="","",足元帳!BJ89),管理シート!$CA$4:$CI$13,2,FALSE),精算表!$BL$20:$BS$29,MATCH(E89&amp;"分",精算表!$BL$20:$BS$20,0),FALSE),"")</f>
        <v/>
      </c>
      <c r="K89" s="220" t="str">
        <f>IF(足元帳!AU89="","",足元帳!CC89)</f>
        <v/>
      </c>
      <c r="L89" s="217" t="str">
        <f>IF(足元帳!AU89="","",IF(足元帳!AL89="●","カード利用",""))</f>
        <v/>
      </c>
    </row>
    <row r="90" spans="1:12">
      <c r="A90" t="str">
        <f>IF(B90="","",
    COUNTA($B$2:B90)-COUNTIFS($B$2:B90,"",$B$2:B90,"=*"))</f>
        <v/>
      </c>
      <c r="B90" s="217" t="str">
        <f>IF(足元帳!AU90="","",足元帳!C90)</f>
        <v/>
      </c>
      <c r="C90" s="217" t="str">
        <f>IFERROR(VLOOKUP(IF(足元帳!AU90="","",足元帳!BJ90),管理シート!$CA$4:$CB$23,2,FALSE),"")</f>
        <v/>
      </c>
      <c r="D90" s="217" t="str">
        <f>IF(足元帳!AU90="","",足元帳!K90)</f>
        <v/>
      </c>
      <c r="E90" s="217" t="str">
        <f>IFERROR(VLOOKUP(IF(足元帳!AU90="","",足元帳!BB90),管理シート!$R$4:$W$12,4),"")</f>
        <v/>
      </c>
      <c r="F90" s="217" t="str">
        <f t="shared" si="1"/>
        <v/>
      </c>
      <c r="G90" s="217" t="str">
        <f>IF(足元帳!AU90="","",足元帳!AU90)</f>
        <v/>
      </c>
      <c r="H90" s="217" t="str">
        <f>IF(足元帳!AV90="","",足元帳!AV90)</f>
        <v/>
      </c>
      <c r="I90" s="217" t="str">
        <f>IF(B90="","",IF(IF(足元帳!AU90="","",足元帳!BB90)=1,精算表!$C$14,IF(IF(足元帳!AU90="","",足元帳!BB90)=2,精算表!$E$14,IF(IF(足元帳!AU90="","",足元帳!BB90)=3,精算表!$G$14,IF(IF(足元帳!AU90="","",足元帳!BB90)=4,精算表!$I$14,IF(IF(足元帳!AU90="","",足元帳!BB90)=5,精算表!$K$14,))))))</f>
        <v/>
      </c>
      <c r="J90" s="217" t="str">
        <f>IFERROR(VLOOKUP(VLOOKUP(IF(足元帳!AU90="","",足元帳!BJ90),管理シート!$CA$4:$CI$13,2,FALSE),精算表!$BL$20:$BS$29,MATCH(E90&amp;"分",精算表!$BL$20:$BS$20,0),FALSE),"")</f>
        <v/>
      </c>
      <c r="K90" s="220" t="str">
        <f>IF(足元帳!AU90="","",足元帳!CC90)</f>
        <v/>
      </c>
      <c r="L90" s="217" t="str">
        <f>IF(足元帳!AU90="","",IF(足元帳!AL90="●","カード利用",""))</f>
        <v/>
      </c>
    </row>
    <row r="91" spans="1:12">
      <c r="A91" t="str">
        <f>IF(B91="","",
    COUNTA($B$2:B91)-COUNTIFS($B$2:B91,"",$B$2:B91,"=*"))</f>
        <v/>
      </c>
      <c r="B91" s="217" t="str">
        <f>IF(足元帳!AU91="","",足元帳!C91)</f>
        <v/>
      </c>
      <c r="C91" s="217" t="str">
        <f>IFERROR(VLOOKUP(IF(足元帳!AU91="","",足元帳!BJ91),管理シート!$CA$4:$CB$23,2,FALSE),"")</f>
        <v/>
      </c>
      <c r="D91" s="217" t="str">
        <f>IF(足元帳!AU91="","",足元帳!K91)</f>
        <v/>
      </c>
      <c r="E91" s="217" t="str">
        <f>IFERROR(VLOOKUP(IF(足元帳!AU91="","",足元帳!BB91),管理シート!$R$4:$W$12,4),"")</f>
        <v/>
      </c>
      <c r="F91" s="217" t="str">
        <f t="shared" si="1"/>
        <v/>
      </c>
      <c r="G91" s="217" t="str">
        <f>IF(足元帳!AU91="","",足元帳!AU91)</f>
        <v/>
      </c>
      <c r="H91" s="217" t="str">
        <f>IF(足元帳!AV91="","",足元帳!AV91)</f>
        <v/>
      </c>
      <c r="I91" s="217" t="str">
        <f>IF(B91="","",IF(IF(足元帳!AU91="","",足元帳!BB91)=1,精算表!$C$14,IF(IF(足元帳!AU91="","",足元帳!BB91)=2,精算表!$E$14,IF(IF(足元帳!AU91="","",足元帳!BB91)=3,精算表!$G$14,IF(IF(足元帳!AU91="","",足元帳!BB91)=4,精算表!$I$14,IF(IF(足元帳!AU91="","",足元帳!BB91)=5,精算表!$K$14,))))))</f>
        <v/>
      </c>
      <c r="J91" s="217" t="str">
        <f>IFERROR(VLOOKUP(VLOOKUP(IF(足元帳!AU91="","",足元帳!BJ91),管理シート!$CA$4:$CI$13,2,FALSE),精算表!$BL$20:$BS$29,MATCH(E91&amp;"分",精算表!$BL$20:$BS$20,0),FALSE),"")</f>
        <v/>
      </c>
      <c r="K91" s="220" t="str">
        <f>IF(足元帳!AU91="","",足元帳!CC91)</f>
        <v/>
      </c>
      <c r="L91" s="217" t="str">
        <f>IF(足元帳!AU91="","",IF(足元帳!AL91="●","カード利用",""))</f>
        <v/>
      </c>
    </row>
    <row r="92" spans="1:12">
      <c r="A92" t="str">
        <f>IF(B92="","",
    COUNTA($B$2:B92)-COUNTIFS($B$2:B92,"",$B$2:B92,"=*"))</f>
        <v/>
      </c>
      <c r="B92" s="217" t="str">
        <f>IF(足元帳!AU92="","",足元帳!C92)</f>
        <v/>
      </c>
      <c r="C92" s="217" t="str">
        <f>IFERROR(VLOOKUP(IF(足元帳!AU92="","",足元帳!BJ92),管理シート!$CA$4:$CB$23,2,FALSE),"")</f>
        <v/>
      </c>
      <c r="D92" s="217" t="str">
        <f>IF(足元帳!AU92="","",足元帳!K92)</f>
        <v/>
      </c>
      <c r="E92" s="217" t="str">
        <f>IFERROR(VLOOKUP(IF(足元帳!AU92="","",足元帳!BB92),管理シート!$R$4:$W$12,4),"")</f>
        <v/>
      </c>
      <c r="F92" s="217" t="str">
        <f t="shared" ref="F92:F155" si="2">IFERROR(I92-J92,"")</f>
        <v/>
      </c>
      <c r="G92" s="217" t="str">
        <f>IF(足元帳!AU92="","",足元帳!AU92)</f>
        <v/>
      </c>
      <c r="H92" s="217" t="str">
        <f>IF(足元帳!AV92="","",足元帳!AV92)</f>
        <v/>
      </c>
      <c r="I92" s="217" t="str">
        <f>IF(B92="","",IF(IF(足元帳!AU92="","",足元帳!BB92)=1,精算表!$C$14,IF(IF(足元帳!AU92="","",足元帳!BB92)=2,精算表!$E$14,IF(IF(足元帳!AU92="","",足元帳!BB92)=3,精算表!$G$14,IF(IF(足元帳!AU92="","",足元帳!BB92)=4,精算表!$I$14,IF(IF(足元帳!AU92="","",足元帳!BB92)=5,精算表!$K$14,))))))</f>
        <v/>
      </c>
      <c r="J92" s="217" t="str">
        <f>IFERROR(VLOOKUP(VLOOKUP(IF(足元帳!AU92="","",足元帳!BJ92),管理シート!$CA$4:$CI$13,2,FALSE),精算表!$BL$20:$BS$29,MATCH(E92&amp;"分",精算表!$BL$20:$BS$20,0),FALSE),"")</f>
        <v/>
      </c>
      <c r="K92" s="220" t="str">
        <f>IF(足元帳!AU92="","",足元帳!CC92)</f>
        <v/>
      </c>
      <c r="L92" s="217" t="str">
        <f>IF(足元帳!AU92="","",IF(足元帳!AL92="●","カード利用",""))</f>
        <v/>
      </c>
    </row>
    <row r="93" spans="1:12">
      <c r="A93" t="str">
        <f>IF(B93="","",
    COUNTA($B$2:B93)-COUNTIFS($B$2:B93,"",$B$2:B93,"=*"))</f>
        <v/>
      </c>
      <c r="B93" s="217" t="str">
        <f>IF(足元帳!AU93="","",足元帳!C93)</f>
        <v/>
      </c>
      <c r="C93" s="217" t="str">
        <f>IFERROR(VLOOKUP(IF(足元帳!AU93="","",足元帳!BJ93),管理シート!$CA$4:$CB$23,2,FALSE),"")</f>
        <v/>
      </c>
      <c r="D93" s="217" t="str">
        <f>IF(足元帳!AU93="","",足元帳!K93)</f>
        <v/>
      </c>
      <c r="E93" s="217" t="str">
        <f>IFERROR(VLOOKUP(IF(足元帳!AU93="","",足元帳!BB93),管理シート!$R$4:$W$12,4),"")</f>
        <v/>
      </c>
      <c r="F93" s="217" t="str">
        <f t="shared" si="2"/>
        <v/>
      </c>
      <c r="G93" s="217" t="str">
        <f>IF(足元帳!AU93="","",足元帳!AU93)</f>
        <v/>
      </c>
      <c r="H93" s="217" t="str">
        <f>IF(足元帳!AV93="","",足元帳!AV93)</f>
        <v/>
      </c>
      <c r="I93" s="217" t="str">
        <f>IF(B93="","",IF(IF(足元帳!AU93="","",足元帳!BB93)=1,精算表!$C$14,IF(IF(足元帳!AU93="","",足元帳!BB93)=2,精算表!$E$14,IF(IF(足元帳!AU93="","",足元帳!BB93)=3,精算表!$G$14,IF(IF(足元帳!AU93="","",足元帳!BB93)=4,精算表!$I$14,IF(IF(足元帳!AU93="","",足元帳!BB93)=5,精算表!$K$14,))))))</f>
        <v/>
      </c>
      <c r="J93" s="217" t="str">
        <f>IFERROR(VLOOKUP(VLOOKUP(IF(足元帳!AU93="","",足元帳!BJ93),管理シート!$CA$4:$CI$13,2,FALSE),精算表!$BL$20:$BS$29,MATCH(E93&amp;"分",精算表!$BL$20:$BS$20,0),FALSE),"")</f>
        <v/>
      </c>
      <c r="K93" s="220" t="str">
        <f>IF(足元帳!AU93="","",足元帳!CC93)</f>
        <v/>
      </c>
      <c r="L93" s="217" t="str">
        <f>IF(足元帳!AU93="","",IF(足元帳!AL93="●","カード利用",""))</f>
        <v/>
      </c>
    </row>
    <row r="94" spans="1:12">
      <c r="A94" t="str">
        <f>IF(B94="","",
    COUNTA($B$2:B94)-COUNTIFS($B$2:B94,"",$B$2:B94,"=*"))</f>
        <v/>
      </c>
      <c r="B94" s="217" t="str">
        <f>IF(足元帳!AU94="","",足元帳!C94)</f>
        <v/>
      </c>
      <c r="C94" s="217" t="str">
        <f>IFERROR(VLOOKUP(IF(足元帳!AU94="","",足元帳!BJ94),管理シート!$CA$4:$CB$23,2,FALSE),"")</f>
        <v/>
      </c>
      <c r="D94" s="217" t="str">
        <f>IF(足元帳!AU94="","",足元帳!K94)</f>
        <v/>
      </c>
      <c r="E94" s="217" t="str">
        <f>IFERROR(VLOOKUP(IF(足元帳!AU94="","",足元帳!BB94),管理シート!$R$4:$W$12,4),"")</f>
        <v/>
      </c>
      <c r="F94" s="217" t="str">
        <f t="shared" si="2"/>
        <v/>
      </c>
      <c r="G94" s="217" t="str">
        <f>IF(足元帳!AU94="","",足元帳!AU94)</f>
        <v/>
      </c>
      <c r="H94" s="217" t="str">
        <f>IF(足元帳!AV94="","",足元帳!AV94)</f>
        <v/>
      </c>
      <c r="I94" s="217" t="str">
        <f>IF(B94="","",IF(IF(足元帳!AU94="","",足元帳!BB94)=1,精算表!$C$14,IF(IF(足元帳!AU94="","",足元帳!BB94)=2,精算表!$E$14,IF(IF(足元帳!AU94="","",足元帳!BB94)=3,精算表!$G$14,IF(IF(足元帳!AU94="","",足元帳!BB94)=4,精算表!$I$14,IF(IF(足元帳!AU94="","",足元帳!BB94)=5,精算表!$K$14,))))))</f>
        <v/>
      </c>
      <c r="J94" s="217" t="str">
        <f>IFERROR(VLOOKUP(VLOOKUP(IF(足元帳!AU94="","",足元帳!BJ94),管理シート!$CA$4:$CI$13,2,FALSE),精算表!$BL$20:$BS$29,MATCH(E94&amp;"分",精算表!$BL$20:$BS$20,0),FALSE),"")</f>
        <v/>
      </c>
      <c r="K94" s="220" t="str">
        <f>IF(足元帳!AU94="","",足元帳!CC94)</f>
        <v/>
      </c>
      <c r="L94" s="217" t="str">
        <f>IF(足元帳!AU94="","",IF(足元帳!AL94="●","カード利用",""))</f>
        <v/>
      </c>
    </row>
    <row r="95" spans="1:12">
      <c r="A95" t="str">
        <f>IF(B95="","",
    COUNTA($B$2:B95)-COUNTIFS($B$2:B95,"",$B$2:B95,"=*"))</f>
        <v/>
      </c>
      <c r="B95" s="217" t="str">
        <f>IF(足元帳!AU95="","",足元帳!C95)</f>
        <v/>
      </c>
      <c r="C95" s="217" t="str">
        <f>IFERROR(VLOOKUP(IF(足元帳!AU95="","",足元帳!BJ95),管理シート!$CA$4:$CB$23,2,FALSE),"")</f>
        <v/>
      </c>
      <c r="D95" s="217" t="str">
        <f>IF(足元帳!AU95="","",足元帳!K95)</f>
        <v/>
      </c>
      <c r="E95" s="217" t="str">
        <f>IFERROR(VLOOKUP(IF(足元帳!AU95="","",足元帳!BB95),管理シート!$R$4:$W$12,4),"")</f>
        <v/>
      </c>
      <c r="F95" s="217" t="str">
        <f t="shared" si="2"/>
        <v/>
      </c>
      <c r="G95" s="217" t="str">
        <f>IF(足元帳!AU95="","",足元帳!AU95)</f>
        <v/>
      </c>
      <c r="H95" s="217" t="str">
        <f>IF(足元帳!AV95="","",足元帳!AV95)</f>
        <v/>
      </c>
      <c r="I95" s="217" t="str">
        <f>IF(B95="","",IF(IF(足元帳!AU95="","",足元帳!BB95)=1,精算表!$C$14,IF(IF(足元帳!AU95="","",足元帳!BB95)=2,精算表!$E$14,IF(IF(足元帳!AU95="","",足元帳!BB95)=3,精算表!$G$14,IF(IF(足元帳!AU95="","",足元帳!BB95)=4,精算表!$I$14,IF(IF(足元帳!AU95="","",足元帳!BB95)=5,精算表!$K$14,))))))</f>
        <v/>
      </c>
      <c r="J95" s="217" t="str">
        <f>IFERROR(VLOOKUP(VLOOKUP(IF(足元帳!AU95="","",足元帳!BJ95),管理シート!$CA$4:$CI$13,2,FALSE),精算表!$BL$20:$BS$29,MATCH(E95&amp;"分",精算表!$BL$20:$BS$20,0),FALSE),"")</f>
        <v/>
      </c>
      <c r="K95" s="220" t="str">
        <f>IF(足元帳!AU95="","",足元帳!CC95)</f>
        <v/>
      </c>
      <c r="L95" s="217" t="str">
        <f>IF(足元帳!AU95="","",IF(足元帳!AL95="●","カード利用",""))</f>
        <v/>
      </c>
    </row>
    <row r="96" spans="1:12">
      <c r="A96" t="str">
        <f>IF(B96="","",
    COUNTA($B$2:B96)-COUNTIFS($B$2:B96,"",$B$2:B96,"=*"))</f>
        <v/>
      </c>
      <c r="B96" s="217" t="str">
        <f>IF(足元帳!AU96="","",足元帳!C96)</f>
        <v/>
      </c>
      <c r="C96" s="217" t="str">
        <f>IFERROR(VLOOKUP(IF(足元帳!AU96="","",足元帳!BJ96),管理シート!$CA$4:$CB$23,2,FALSE),"")</f>
        <v/>
      </c>
      <c r="D96" s="217" t="str">
        <f>IF(足元帳!AU96="","",足元帳!K96)</f>
        <v/>
      </c>
      <c r="E96" s="217" t="str">
        <f>IFERROR(VLOOKUP(IF(足元帳!AU96="","",足元帳!BB96),管理シート!$R$4:$W$12,4),"")</f>
        <v/>
      </c>
      <c r="F96" s="217" t="str">
        <f t="shared" si="2"/>
        <v/>
      </c>
      <c r="G96" s="217" t="str">
        <f>IF(足元帳!AU96="","",足元帳!AU96)</f>
        <v/>
      </c>
      <c r="H96" s="217" t="str">
        <f>IF(足元帳!AV96="","",足元帳!AV96)</f>
        <v/>
      </c>
      <c r="I96" s="217" t="str">
        <f>IF(B96="","",IF(IF(足元帳!AU96="","",足元帳!BB96)=1,精算表!$C$14,IF(IF(足元帳!AU96="","",足元帳!BB96)=2,精算表!$E$14,IF(IF(足元帳!AU96="","",足元帳!BB96)=3,精算表!$G$14,IF(IF(足元帳!AU96="","",足元帳!BB96)=4,精算表!$I$14,IF(IF(足元帳!AU96="","",足元帳!BB96)=5,精算表!$K$14,))))))</f>
        <v/>
      </c>
      <c r="J96" s="217" t="str">
        <f>IFERROR(VLOOKUP(VLOOKUP(IF(足元帳!AU96="","",足元帳!BJ96),管理シート!$CA$4:$CI$13,2,FALSE),精算表!$BL$20:$BS$29,MATCH(E96&amp;"分",精算表!$BL$20:$BS$20,0),FALSE),"")</f>
        <v/>
      </c>
      <c r="K96" s="220" t="str">
        <f>IF(足元帳!AU96="","",足元帳!CC96)</f>
        <v/>
      </c>
      <c r="L96" s="217" t="str">
        <f>IF(足元帳!AU96="","",IF(足元帳!AL96="●","カード利用",""))</f>
        <v/>
      </c>
    </row>
    <row r="97" spans="1:12">
      <c r="A97" t="str">
        <f>IF(B97="","",
    COUNTA($B$2:B97)-COUNTIFS($B$2:B97,"",$B$2:B97,"=*"))</f>
        <v/>
      </c>
      <c r="B97" s="217" t="str">
        <f>IF(足元帳!AU97="","",足元帳!C97)</f>
        <v/>
      </c>
      <c r="C97" s="217" t="str">
        <f>IFERROR(VLOOKUP(IF(足元帳!AU97="","",足元帳!BJ97),管理シート!$CA$4:$CB$23,2,FALSE),"")</f>
        <v/>
      </c>
      <c r="D97" s="217" t="str">
        <f>IF(足元帳!AU97="","",足元帳!K97)</f>
        <v/>
      </c>
      <c r="E97" s="217" t="str">
        <f>IFERROR(VLOOKUP(IF(足元帳!AU97="","",足元帳!BB97),管理シート!$R$4:$W$12,4),"")</f>
        <v/>
      </c>
      <c r="F97" s="217" t="str">
        <f t="shared" si="2"/>
        <v/>
      </c>
      <c r="G97" s="217" t="str">
        <f>IF(足元帳!AU97="","",足元帳!AU97)</f>
        <v/>
      </c>
      <c r="H97" s="217" t="str">
        <f>IF(足元帳!AV97="","",足元帳!AV97)</f>
        <v/>
      </c>
      <c r="I97" s="217" t="str">
        <f>IF(B97="","",IF(IF(足元帳!AU97="","",足元帳!BB97)=1,精算表!$C$14,IF(IF(足元帳!AU97="","",足元帳!BB97)=2,精算表!$E$14,IF(IF(足元帳!AU97="","",足元帳!BB97)=3,精算表!$G$14,IF(IF(足元帳!AU97="","",足元帳!BB97)=4,精算表!$I$14,IF(IF(足元帳!AU97="","",足元帳!BB97)=5,精算表!$K$14,))))))</f>
        <v/>
      </c>
      <c r="J97" s="217" t="str">
        <f>IFERROR(VLOOKUP(VLOOKUP(IF(足元帳!AU97="","",足元帳!BJ97),管理シート!$CA$4:$CI$13,2,FALSE),精算表!$BL$20:$BS$29,MATCH(E97&amp;"分",精算表!$BL$20:$BS$20,0),FALSE),"")</f>
        <v/>
      </c>
      <c r="K97" s="220" t="str">
        <f>IF(足元帳!AU97="","",足元帳!CC97)</f>
        <v/>
      </c>
      <c r="L97" s="217" t="str">
        <f>IF(足元帳!AU97="","",IF(足元帳!AL97="●","カード利用",""))</f>
        <v/>
      </c>
    </row>
    <row r="98" spans="1:12">
      <c r="A98" t="str">
        <f>IF(B98="","",
    COUNTA($B$2:B98)-COUNTIFS($B$2:B98,"",$B$2:B98,"=*"))</f>
        <v/>
      </c>
      <c r="B98" s="217" t="str">
        <f>IF(足元帳!AU98="","",足元帳!C98)</f>
        <v/>
      </c>
      <c r="C98" s="217" t="str">
        <f>IFERROR(VLOOKUP(IF(足元帳!AU98="","",足元帳!BJ98),管理シート!$CA$4:$CB$23,2,FALSE),"")</f>
        <v/>
      </c>
      <c r="D98" s="217" t="str">
        <f>IF(足元帳!AU98="","",足元帳!K98)</f>
        <v/>
      </c>
      <c r="E98" s="217" t="str">
        <f>IFERROR(VLOOKUP(IF(足元帳!AU98="","",足元帳!BB98),管理シート!$R$4:$W$12,4),"")</f>
        <v/>
      </c>
      <c r="F98" s="217" t="str">
        <f t="shared" si="2"/>
        <v/>
      </c>
      <c r="G98" s="217" t="str">
        <f>IF(足元帳!AU98="","",足元帳!AU98)</f>
        <v/>
      </c>
      <c r="H98" s="217" t="str">
        <f>IF(足元帳!AV98="","",足元帳!AV98)</f>
        <v/>
      </c>
      <c r="I98" s="217" t="str">
        <f>IF(B98="","",IF(IF(足元帳!AU98="","",足元帳!BB98)=1,精算表!$C$14,IF(IF(足元帳!AU98="","",足元帳!BB98)=2,精算表!$E$14,IF(IF(足元帳!AU98="","",足元帳!BB98)=3,精算表!$G$14,IF(IF(足元帳!AU98="","",足元帳!BB98)=4,精算表!$I$14,IF(IF(足元帳!AU98="","",足元帳!BB98)=5,精算表!$K$14,))))))</f>
        <v/>
      </c>
      <c r="J98" s="217" t="str">
        <f>IFERROR(VLOOKUP(VLOOKUP(IF(足元帳!AU98="","",足元帳!BJ98),管理シート!$CA$4:$CI$13,2,FALSE),精算表!$BL$20:$BS$29,MATCH(E98&amp;"分",精算表!$BL$20:$BS$20,0),FALSE),"")</f>
        <v/>
      </c>
      <c r="K98" s="220" t="str">
        <f>IF(足元帳!AU98="","",足元帳!CC98)</f>
        <v/>
      </c>
      <c r="L98" s="217" t="str">
        <f>IF(足元帳!AU98="","",IF(足元帳!AL98="●","カード利用",""))</f>
        <v/>
      </c>
    </row>
    <row r="99" spans="1:12">
      <c r="A99" t="str">
        <f>IF(B99="","",
    COUNTA($B$2:B99)-COUNTIFS($B$2:B99,"",$B$2:B99,"=*"))</f>
        <v/>
      </c>
      <c r="B99" s="217" t="str">
        <f>IF(足元帳!AU99="","",足元帳!C99)</f>
        <v/>
      </c>
      <c r="C99" s="217" t="str">
        <f>IFERROR(VLOOKUP(IF(足元帳!AU99="","",足元帳!BJ99),管理シート!$CA$4:$CB$23,2,FALSE),"")</f>
        <v/>
      </c>
      <c r="D99" s="217" t="str">
        <f>IF(足元帳!AU99="","",足元帳!K99)</f>
        <v/>
      </c>
      <c r="E99" s="217" t="str">
        <f>IFERROR(VLOOKUP(IF(足元帳!AU99="","",足元帳!BB99),管理シート!$R$4:$W$12,4),"")</f>
        <v/>
      </c>
      <c r="F99" s="217" t="str">
        <f t="shared" si="2"/>
        <v/>
      </c>
      <c r="G99" s="217" t="str">
        <f>IF(足元帳!AU99="","",足元帳!AU99)</f>
        <v/>
      </c>
      <c r="H99" s="217" t="str">
        <f>IF(足元帳!AV99="","",足元帳!AV99)</f>
        <v/>
      </c>
      <c r="I99" s="217" t="str">
        <f>IF(B99="","",IF(IF(足元帳!AU99="","",足元帳!BB99)=1,精算表!$C$14,IF(IF(足元帳!AU99="","",足元帳!BB99)=2,精算表!$E$14,IF(IF(足元帳!AU99="","",足元帳!BB99)=3,精算表!$G$14,IF(IF(足元帳!AU99="","",足元帳!BB99)=4,精算表!$I$14,IF(IF(足元帳!AU99="","",足元帳!BB99)=5,精算表!$K$14,))))))</f>
        <v/>
      </c>
      <c r="J99" s="217" t="str">
        <f>IFERROR(VLOOKUP(VLOOKUP(IF(足元帳!AU99="","",足元帳!BJ99),管理シート!$CA$4:$CI$13,2,FALSE),精算表!$BL$20:$BS$29,MATCH(E99&amp;"分",精算表!$BL$20:$BS$20,0),FALSE),"")</f>
        <v/>
      </c>
      <c r="K99" s="220" t="str">
        <f>IF(足元帳!AU99="","",足元帳!CC99)</f>
        <v/>
      </c>
      <c r="L99" s="217" t="str">
        <f>IF(足元帳!AU99="","",IF(足元帳!AL99="●","カード利用",""))</f>
        <v/>
      </c>
    </row>
    <row r="100" spans="1:12">
      <c r="A100" t="str">
        <f>IF(B100="","",
    COUNTA($B$2:B100)-COUNTIFS($B$2:B100,"",$B$2:B100,"=*"))</f>
        <v/>
      </c>
      <c r="B100" s="217" t="str">
        <f>IF(足元帳!AU100="","",足元帳!C100)</f>
        <v/>
      </c>
      <c r="C100" s="217" t="str">
        <f>IFERROR(VLOOKUP(IF(足元帳!AU100="","",足元帳!BJ100),管理シート!$CA$4:$CB$23,2,FALSE),"")</f>
        <v/>
      </c>
      <c r="D100" s="217" t="str">
        <f>IF(足元帳!AU100="","",足元帳!K100)</f>
        <v/>
      </c>
      <c r="E100" s="217" t="str">
        <f>IFERROR(VLOOKUP(IF(足元帳!AU100="","",足元帳!BB100),管理シート!$R$4:$W$12,4),"")</f>
        <v/>
      </c>
      <c r="F100" s="217" t="str">
        <f t="shared" si="2"/>
        <v/>
      </c>
      <c r="G100" s="217" t="str">
        <f>IF(足元帳!AU100="","",足元帳!AU100)</f>
        <v/>
      </c>
      <c r="H100" s="217" t="str">
        <f>IF(足元帳!AV100="","",足元帳!AV100)</f>
        <v/>
      </c>
      <c r="I100" s="217" t="str">
        <f>IF(B100="","",IF(IF(足元帳!AU100="","",足元帳!BB100)=1,精算表!$C$14,IF(IF(足元帳!AU100="","",足元帳!BB100)=2,精算表!$E$14,IF(IF(足元帳!AU100="","",足元帳!BB100)=3,精算表!$G$14,IF(IF(足元帳!AU100="","",足元帳!BB100)=4,精算表!$I$14,IF(IF(足元帳!AU100="","",足元帳!BB100)=5,精算表!$K$14,))))))</f>
        <v/>
      </c>
      <c r="J100" s="217" t="str">
        <f>IFERROR(VLOOKUP(VLOOKUP(IF(足元帳!AU100="","",足元帳!BJ100),管理シート!$CA$4:$CI$13,2,FALSE),精算表!$BL$20:$BS$29,MATCH(E100&amp;"分",精算表!$BL$20:$BS$20,0),FALSE),"")</f>
        <v/>
      </c>
      <c r="K100" s="220" t="str">
        <f>IF(足元帳!AU100="","",足元帳!CC100)</f>
        <v/>
      </c>
      <c r="L100" s="217" t="str">
        <f>IF(足元帳!AU100="","",IF(足元帳!AL100="●","カード利用",""))</f>
        <v/>
      </c>
    </row>
    <row r="101" spans="1:12">
      <c r="A101" t="str">
        <f>IF(B101="","",
    COUNTA($B$2:B101)-COUNTIFS($B$2:B101,"",$B$2:B101,"=*"))</f>
        <v/>
      </c>
      <c r="B101" s="217" t="str">
        <f>IF(足元帳!AU101="","",足元帳!C101)</f>
        <v/>
      </c>
      <c r="C101" s="217" t="str">
        <f>IFERROR(VLOOKUP(IF(足元帳!AU101="","",足元帳!BJ101),管理シート!$CA$4:$CB$23,2,FALSE),"")</f>
        <v/>
      </c>
      <c r="D101" s="217" t="str">
        <f>IF(足元帳!AU101="","",足元帳!K101)</f>
        <v/>
      </c>
      <c r="E101" s="217" t="str">
        <f>IFERROR(VLOOKUP(IF(足元帳!AU101="","",足元帳!BB101),管理シート!$R$4:$W$12,4),"")</f>
        <v/>
      </c>
      <c r="F101" s="217" t="str">
        <f t="shared" si="2"/>
        <v/>
      </c>
      <c r="G101" s="217" t="str">
        <f>IF(足元帳!AU101="","",足元帳!AU101)</f>
        <v/>
      </c>
      <c r="H101" s="217" t="str">
        <f>IF(足元帳!AV101="","",足元帳!AV101)</f>
        <v/>
      </c>
      <c r="I101" s="217" t="str">
        <f>IF(B101="","",IF(IF(足元帳!AU101="","",足元帳!BB101)=1,精算表!$C$14,IF(IF(足元帳!AU101="","",足元帳!BB101)=2,精算表!$E$14,IF(IF(足元帳!AU101="","",足元帳!BB101)=3,精算表!$G$14,IF(IF(足元帳!AU101="","",足元帳!BB101)=4,精算表!$I$14,IF(IF(足元帳!AU101="","",足元帳!BB101)=5,精算表!$K$14,))))))</f>
        <v/>
      </c>
      <c r="J101" s="217" t="str">
        <f>IFERROR(VLOOKUP(VLOOKUP(IF(足元帳!AU101="","",足元帳!BJ101),管理シート!$CA$4:$CI$13,2,FALSE),精算表!$BL$20:$BS$29,MATCH(E101&amp;"分",精算表!$BL$20:$BS$20,0),FALSE),"")</f>
        <v/>
      </c>
      <c r="K101" s="220" t="str">
        <f>IF(足元帳!AU101="","",足元帳!CC101)</f>
        <v/>
      </c>
      <c r="L101" s="217" t="str">
        <f>IF(足元帳!AU101="","",IF(足元帳!AL101="●","カード利用",""))</f>
        <v/>
      </c>
    </row>
    <row r="102" spans="1:12">
      <c r="A102" t="str">
        <f>IF(B102="","",
    COUNTA($B$2:B102)-COUNTIFS($B$2:B102,"",$B$2:B102,"=*"))</f>
        <v/>
      </c>
      <c r="B102" s="217" t="str">
        <f>IF(足元帳!AU102="","",足元帳!C102)</f>
        <v/>
      </c>
      <c r="C102" s="217" t="str">
        <f>IFERROR(VLOOKUP(IF(足元帳!AU102="","",足元帳!BJ102),管理シート!$CA$4:$CB$23,2,FALSE),"")</f>
        <v/>
      </c>
      <c r="D102" s="217" t="str">
        <f>IF(足元帳!AU102="","",足元帳!K102)</f>
        <v/>
      </c>
      <c r="E102" s="217" t="str">
        <f>IFERROR(VLOOKUP(IF(足元帳!AU102="","",足元帳!BB102),管理シート!$R$4:$W$12,4),"")</f>
        <v/>
      </c>
      <c r="F102" s="217" t="str">
        <f t="shared" si="2"/>
        <v/>
      </c>
      <c r="G102" s="217" t="str">
        <f>IF(足元帳!AU102="","",足元帳!AU102)</f>
        <v/>
      </c>
      <c r="H102" s="217" t="str">
        <f>IF(足元帳!AV102="","",足元帳!AV102)</f>
        <v/>
      </c>
      <c r="I102" s="217" t="str">
        <f>IF(B102="","",IF(IF(足元帳!AU102="","",足元帳!BB102)=1,精算表!$C$14,IF(IF(足元帳!AU102="","",足元帳!BB102)=2,精算表!$E$14,IF(IF(足元帳!AU102="","",足元帳!BB102)=3,精算表!$G$14,IF(IF(足元帳!AU102="","",足元帳!BB102)=4,精算表!$I$14,IF(IF(足元帳!AU102="","",足元帳!BB102)=5,精算表!$K$14,))))))</f>
        <v/>
      </c>
      <c r="J102" s="217" t="str">
        <f>IFERROR(VLOOKUP(VLOOKUP(IF(足元帳!AU102="","",足元帳!BJ102),管理シート!$CA$4:$CI$13,2,FALSE),精算表!$BL$20:$BS$29,MATCH(E102&amp;"分",精算表!$BL$20:$BS$20,0),FALSE),"")</f>
        <v/>
      </c>
      <c r="K102" s="220" t="str">
        <f>IF(足元帳!AU102="","",足元帳!CC102)</f>
        <v/>
      </c>
      <c r="L102" s="217" t="str">
        <f>IF(足元帳!AU102="","",IF(足元帳!AL102="●","カード利用",""))</f>
        <v/>
      </c>
    </row>
    <row r="103" spans="1:12">
      <c r="A103" t="str">
        <f>IF(B103="","",
    COUNTA($B$2:B103)-COUNTIFS($B$2:B103,"",$B$2:B103,"=*"))</f>
        <v/>
      </c>
      <c r="B103" s="217" t="str">
        <f>IF(足元帳!AU103="","",足元帳!C103)</f>
        <v/>
      </c>
      <c r="C103" s="217" t="str">
        <f>IFERROR(VLOOKUP(IF(足元帳!AU103="","",足元帳!BJ103),管理シート!$CA$4:$CB$23,2,FALSE),"")</f>
        <v/>
      </c>
      <c r="D103" s="217" t="str">
        <f>IF(足元帳!AU103="","",足元帳!K103)</f>
        <v/>
      </c>
      <c r="E103" s="217" t="str">
        <f>IFERROR(VLOOKUP(IF(足元帳!AU103="","",足元帳!BB103),管理シート!$R$4:$W$12,4),"")</f>
        <v/>
      </c>
      <c r="F103" s="217" t="str">
        <f t="shared" si="2"/>
        <v/>
      </c>
      <c r="G103" s="217" t="str">
        <f>IF(足元帳!AU103="","",足元帳!AU103)</f>
        <v/>
      </c>
      <c r="H103" s="217" t="str">
        <f>IF(足元帳!AV103="","",足元帳!AV103)</f>
        <v/>
      </c>
      <c r="I103" s="217" t="str">
        <f>IF(B103="","",IF(IF(足元帳!AU103="","",足元帳!BB103)=1,精算表!$C$14,IF(IF(足元帳!AU103="","",足元帳!BB103)=2,精算表!$E$14,IF(IF(足元帳!AU103="","",足元帳!BB103)=3,精算表!$G$14,IF(IF(足元帳!AU103="","",足元帳!BB103)=4,精算表!$I$14,IF(IF(足元帳!AU103="","",足元帳!BB103)=5,精算表!$K$14,))))))</f>
        <v/>
      </c>
      <c r="J103" s="217" t="str">
        <f>IFERROR(VLOOKUP(VLOOKUP(IF(足元帳!AU103="","",足元帳!BJ103),管理シート!$CA$4:$CI$13,2,FALSE),精算表!$BL$20:$BS$29,MATCH(E103&amp;"分",精算表!$BL$20:$BS$20,0),FALSE),"")</f>
        <v/>
      </c>
      <c r="K103" s="220" t="str">
        <f>IF(足元帳!AU103="","",足元帳!CC103)</f>
        <v/>
      </c>
      <c r="L103" s="217" t="str">
        <f>IF(足元帳!AU103="","",IF(足元帳!AL103="●","カード利用",""))</f>
        <v/>
      </c>
    </row>
    <row r="104" spans="1:12">
      <c r="A104" t="str">
        <f>IF(B104="","",
    COUNTA($B$2:B104)-COUNTIFS($B$2:B104,"",$B$2:B104,"=*"))</f>
        <v/>
      </c>
      <c r="B104" s="217" t="str">
        <f>IF(足元帳!AU104="","",足元帳!C104)</f>
        <v/>
      </c>
      <c r="C104" s="217" t="str">
        <f>IFERROR(VLOOKUP(IF(足元帳!AU104="","",足元帳!BJ104),管理シート!$CA$4:$CB$23,2,FALSE),"")</f>
        <v/>
      </c>
      <c r="D104" s="217" t="str">
        <f>IF(足元帳!AU104="","",足元帳!K104)</f>
        <v/>
      </c>
      <c r="E104" s="217" t="str">
        <f>IFERROR(VLOOKUP(IF(足元帳!AU104="","",足元帳!BB104),管理シート!$R$4:$W$12,4),"")</f>
        <v/>
      </c>
      <c r="F104" s="217" t="str">
        <f t="shared" si="2"/>
        <v/>
      </c>
      <c r="G104" s="217" t="str">
        <f>IF(足元帳!AU104="","",足元帳!AU104)</f>
        <v/>
      </c>
      <c r="H104" s="217" t="str">
        <f>IF(足元帳!AV104="","",足元帳!AV104)</f>
        <v/>
      </c>
      <c r="I104" s="217" t="str">
        <f>IF(B104="","",IF(IF(足元帳!AU104="","",足元帳!BB104)=1,精算表!$C$14,IF(IF(足元帳!AU104="","",足元帳!BB104)=2,精算表!$E$14,IF(IF(足元帳!AU104="","",足元帳!BB104)=3,精算表!$G$14,IF(IF(足元帳!AU104="","",足元帳!BB104)=4,精算表!$I$14,IF(IF(足元帳!AU104="","",足元帳!BB104)=5,精算表!$K$14,))))))</f>
        <v/>
      </c>
      <c r="J104" s="217" t="str">
        <f>IFERROR(VLOOKUP(VLOOKUP(IF(足元帳!AU104="","",足元帳!BJ104),管理シート!$CA$4:$CI$13,2,FALSE),精算表!$BL$20:$BS$29,MATCH(E104&amp;"分",精算表!$BL$20:$BS$20,0),FALSE),"")</f>
        <v/>
      </c>
      <c r="K104" s="220" t="str">
        <f>IF(足元帳!AU104="","",足元帳!CC104)</f>
        <v/>
      </c>
      <c r="L104" s="217" t="str">
        <f>IF(足元帳!AU104="","",IF(足元帳!AL104="●","カード利用",""))</f>
        <v/>
      </c>
    </row>
    <row r="105" spans="1:12">
      <c r="A105" t="str">
        <f>IF(B105="","",
    COUNTA($B$2:B105)-COUNTIFS($B$2:B105,"",$B$2:B105,"=*"))</f>
        <v/>
      </c>
      <c r="B105" s="217" t="str">
        <f>IF(足元帳!AU105="","",足元帳!C105)</f>
        <v/>
      </c>
      <c r="C105" s="217" t="str">
        <f>IFERROR(VLOOKUP(IF(足元帳!AU105="","",足元帳!BJ105),管理シート!$CA$4:$CB$23,2,FALSE),"")</f>
        <v/>
      </c>
      <c r="D105" s="217" t="str">
        <f>IF(足元帳!AU105="","",足元帳!K105)</f>
        <v/>
      </c>
      <c r="E105" s="217" t="str">
        <f>IFERROR(VLOOKUP(IF(足元帳!AU105="","",足元帳!BB105),管理シート!$R$4:$W$12,4),"")</f>
        <v/>
      </c>
      <c r="F105" s="217" t="str">
        <f t="shared" si="2"/>
        <v/>
      </c>
      <c r="G105" s="217" t="str">
        <f>IF(足元帳!AU105="","",足元帳!AU105)</f>
        <v/>
      </c>
      <c r="H105" s="217" t="str">
        <f>IF(足元帳!AV105="","",足元帳!AV105)</f>
        <v/>
      </c>
      <c r="I105" s="217" t="str">
        <f>IF(B105="","",IF(IF(足元帳!AU105="","",足元帳!BB105)=1,精算表!$C$14,IF(IF(足元帳!AU105="","",足元帳!BB105)=2,精算表!$E$14,IF(IF(足元帳!AU105="","",足元帳!BB105)=3,精算表!$G$14,IF(IF(足元帳!AU105="","",足元帳!BB105)=4,精算表!$I$14,IF(IF(足元帳!AU105="","",足元帳!BB105)=5,精算表!$K$14,))))))</f>
        <v/>
      </c>
      <c r="J105" s="217" t="str">
        <f>IFERROR(VLOOKUP(VLOOKUP(IF(足元帳!AU105="","",足元帳!BJ105),管理シート!$CA$4:$CI$13,2,FALSE),精算表!$BL$20:$BS$29,MATCH(E105&amp;"分",精算表!$BL$20:$BS$20,0),FALSE),"")</f>
        <v/>
      </c>
      <c r="K105" s="220" t="str">
        <f>IF(足元帳!AU105="","",足元帳!CC105)</f>
        <v/>
      </c>
      <c r="L105" s="217" t="str">
        <f>IF(足元帳!AU105="","",IF(足元帳!AL105="●","カード利用",""))</f>
        <v/>
      </c>
    </row>
    <row r="106" spans="1:12">
      <c r="A106" t="str">
        <f>IF(B106="","",
    COUNTA($B$2:B106)-COUNTIFS($B$2:B106,"",$B$2:B106,"=*"))</f>
        <v/>
      </c>
      <c r="B106" s="217" t="str">
        <f>IF(足元帳!AU106="","",足元帳!C106)</f>
        <v/>
      </c>
      <c r="C106" s="217" t="str">
        <f>IFERROR(VLOOKUP(IF(足元帳!AU106="","",足元帳!BJ106),管理シート!$CA$4:$CB$23,2,FALSE),"")</f>
        <v/>
      </c>
      <c r="D106" s="217" t="str">
        <f>IF(足元帳!AU106="","",足元帳!K106)</f>
        <v/>
      </c>
      <c r="E106" s="217" t="str">
        <f>IFERROR(VLOOKUP(IF(足元帳!AU106="","",足元帳!BB106),管理シート!$R$4:$W$12,4),"")</f>
        <v/>
      </c>
      <c r="F106" s="217" t="str">
        <f t="shared" si="2"/>
        <v/>
      </c>
      <c r="G106" s="217" t="str">
        <f>IF(足元帳!AU106="","",足元帳!AU106)</f>
        <v/>
      </c>
      <c r="H106" s="217" t="str">
        <f>IF(足元帳!AV106="","",足元帳!AV106)</f>
        <v/>
      </c>
      <c r="I106" s="217" t="str">
        <f>IF(B106="","",IF(IF(足元帳!AU106="","",足元帳!BB106)=1,精算表!$C$14,IF(IF(足元帳!AU106="","",足元帳!BB106)=2,精算表!$E$14,IF(IF(足元帳!AU106="","",足元帳!BB106)=3,精算表!$G$14,IF(IF(足元帳!AU106="","",足元帳!BB106)=4,精算表!$I$14,IF(IF(足元帳!AU106="","",足元帳!BB106)=5,精算表!$K$14,))))))</f>
        <v/>
      </c>
      <c r="J106" s="217" t="str">
        <f>IFERROR(VLOOKUP(VLOOKUP(IF(足元帳!AU106="","",足元帳!BJ106),管理シート!$CA$4:$CI$13,2,FALSE),精算表!$BL$20:$BS$29,MATCH(E106&amp;"分",精算表!$BL$20:$BS$20,0),FALSE),"")</f>
        <v/>
      </c>
      <c r="K106" s="220" t="str">
        <f>IF(足元帳!AU106="","",足元帳!CC106)</f>
        <v/>
      </c>
      <c r="L106" s="217" t="str">
        <f>IF(足元帳!AU106="","",IF(足元帳!AL106="●","カード利用",""))</f>
        <v/>
      </c>
    </row>
    <row r="107" spans="1:12">
      <c r="A107" t="str">
        <f>IF(B107="","",
    COUNTA($B$2:B107)-COUNTIFS($B$2:B107,"",$B$2:B107,"=*"))</f>
        <v/>
      </c>
      <c r="B107" s="217" t="str">
        <f>IF(足元帳!AU107="","",足元帳!C107)</f>
        <v/>
      </c>
      <c r="C107" s="217" t="str">
        <f>IFERROR(VLOOKUP(IF(足元帳!AU107="","",足元帳!BJ107),管理シート!$CA$4:$CB$23,2,FALSE),"")</f>
        <v/>
      </c>
      <c r="D107" s="217" t="str">
        <f>IF(足元帳!AU107="","",足元帳!K107)</f>
        <v/>
      </c>
      <c r="E107" s="217" t="str">
        <f>IFERROR(VLOOKUP(IF(足元帳!AU107="","",足元帳!BB107),管理シート!$R$4:$W$12,4),"")</f>
        <v/>
      </c>
      <c r="F107" s="217" t="str">
        <f t="shared" si="2"/>
        <v/>
      </c>
      <c r="G107" s="217" t="str">
        <f>IF(足元帳!AU107="","",足元帳!AU107)</f>
        <v/>
      </c>
      <c r="H107" s="217" t="str">
        <f>IF(足元帳!AV107="","",足元帳!AV107)</f>
        <v/>
      </c>
      <c r="I107" s="217" t="str">
        <f>IF(B107="","",IF(IF(足元帳!AU107="","",足元帳!BB107)=1,精算表!$C$14,IF(IF(足元帳!AU107="","",足元帳!BB107)=2,精算表!$E$14,IF(IF(足元帳!AU107="","",足元帳!BB107)=3,精算表!$G$14,IF(IF(足元帳!AU107="","",足元帳!BB107)=4,精算表!$I$14,IF(IF(足元帳!AU107="","",足元帳!BB107)=5,精算表!$K$14,))))))</f>
        <v/>
      </c>
      <c r="J107" s="217" t="str">
        <f>IFERROR(VLOOKUP(VLOOKUP(IF(足元帳!AU107="","",足元帳!BJ107),管理シート!$CA$4:$CI$13,2,FALSE),精算表!$BL$20:$BS$29,MATCH(E107&amp;"分",精算表!$BL$20:$BS$20,0),FALSE),"")</f>
        <v/>
      </c>
      <c r="K107" s="220" t="str">
        <f>IF(足元帳!AU107="","",足元帳!CC107)</f>
        <v/>
      </c>
      <c r="L107" s="217" t="str">
        <f>IF(足元帳!AU107="","",IF(足元帳!AL107="●","カード利用",""))</f>
        <v/>
      </c>
    </row>
    <row r="108" spans="1:12">
      <c r="A108" t="str">
        <f>IF(B108="","",
    COUNTA($B$2:B108)-COUNTIFS($B$2:B108,"",$B$2:B108,"=*"))</f>
        <v/>
      </c>
      <c r="B108" s="217" t="str">
        <f>IF(足元帳!AU108="","",足元帳!C108)</f>
        <v/>
      </c>
      <c r="C108" s="217" t="str">
        <f>IFERROR(VLOOKUP(IF(足元帳!AU108="","",足元帳!BJ108),管理シート!$CA$4:$CB$23,2,FALSE),"")</f>
        <v/>
      </c>
      <c r="D108" s="217" t="str">
        <f>IF(足元帳!AU108="","",足元帳!K108)</f>
        <v/>
      </c>
      <c r="E108" s="217" t="str">
        <f>IFERROR(VLOOKUP(IF(足元帳!AU108="","",足元帳!BB108),管理シート!$R$4:$W$12,4),"")</f>
        <v/>
      </c>
      <c r="F108" s="217" t="str">
        <f t="shared" si="2"/>
        <v/>
      </c>
      <c r="G108" s="217" t="str">
        <f>IF(足元帳!AU108="","",足元帳!AU108)</f>
        <v/>
      </c>
      <c r="H108" s="217" t="str">
        <f>IF(足元帳!AV108="","",足元帳!AV108)</f>
        <v/>
      </c>
      <c r="I108" s="217" t="str">
        <f>IF(B108="","",IF(IF(足元帳!AU108="","",足元帳!BB108)=1,精算表!$C$14,IF(IF(足元帳!AU108="","",足元帳!BB108)=2,精算表!$E$14,IF(IF(足元帳!AU108="","",足元帳!BB108)=3,精算表!$G$14,IF(IF(足元帳!AU108="","",足元帳!BB108)=4,精算表!$I$14,IF(IF(足元帳!AU108="","",足元帳!BB108)=5,精算表!$K$14,))))))</f>
        <v/>
      </c>
      <c r="J108" s="217" t="str">
        <f>IFERROR(VLOOKUP(VLOOKUP(IF(足元帳!AU108="","",足元帳!BJ108),管理シート!$CA$4:$CI$13,2,FALSE),精算表!$BL$20:$BS$29,MATCH(E108&amp;"分",精算表!$BL$20:$BS$20,0),FALSE),"")</f>
        <v/>
      </c>
      <c r="K108" s="220" t="str">
        <f>IF(足元帳!AU108="","",足元帳!CC108)</f>
        <v/>
      </c>
      <c r="L108" s="217" t="str">
        <f>IF(足元帳!AU108="","",IF(足元帳!AL108="●","カード利用",""))</f>
        <v/>
      </c>
    </row>
    <row r="109" spans="1:12">
      <c r="A109" t="str">
        <f>IF(B109="","",
    COUNTA($B$2:B109)-COUNTIFS($B$2:B109,"",$B$2:B109,"=*"))</f>
        <v/>
      </c>
      <c r="B109" s="217" t="str">
        <f>IF(足元帳!AU109="","",足元帳!C109)</f>
        <v/>
      </c>
      <c r="C109" s="217" t="str">
        <f>IFERROR(VLOOKUP(IF(足元帳!AU109="","",足元帳!BJ109),管理シート!$CA$4:$CB$23,2,FALSE),"")</f>
        <v/>
      </c>
      <c r="D109" s="217" t="str">
        <f>IF(足元帳!AU109="","",足元帳!K109)</f>
        <v/>
      </c>
      <c r="E109" s="217" t="str">
        <f>IFERROR(VLOOKUP(IF(足元帳!AU109="","",足元帳!BB109),管理シート!$R$4:$W$12,4),"")</f>
        <v/>
      </c>
      <c r="F109" s="217" t="str">
        <f t="shared" si="2"/>
        <v/>
      </c>
      <c r="G109" s="217" t="str">
        <f>IF(足元帳!AU109="","",足元帳!AU109)</f>
        <v/>
      </c>
      <c r="H109" s="217" t="str">
        <f>IF(足元帳!AV109="","",足元帳!AV109)</f>
        <v/>
      </c>
      <c r="I109" s="217" t="str">
        <f>IF(B109="","",IF(IF(足元帳!AU109="","",足元帳!BB109)=1,精算表!$C$14,IF(IF(足元帳!AU109="","",足元帳!BB109)=2,精算表!$E$14,IF(IF(足元帳!AU109="","",足元帳!BB109)=3,精算表!$G$14,IF(IF(足元帳!AU109="","",足元帳!BB109)=4,精算表!$I$14,IF(IF(足元帳!AU109="","",足元帳!BB109)=5,精算表!$K$14,))))))</f>
        <v/>
      </c>
      <c r="J109" s="217" t="str">
        <f>IFERROR(VLOOKUP(VLOOKUP(IF(足元帳!AU109="","",足元帳!BJ109),管理シート!$CA$4:$CI$13,2,FALSE),精算表!$BL$20:$BS$29,MATCH(E109&amp;"分",精算表!$BL$20:$BS$20,0),FALSE),"")</f>
        <v/>
      </c>
      <c r="K109" s="220" t="str">
        <f>IF(足元帳!AU109="","",足元帳!CC109)</f>
        <v/>
      </c>
      <c r="L109" s="217" t="str">
        <f>IF(足元帳!AU109="","",IF(足元帳!AL109="●","カード利用",""))</f>
        <v/>
      </c>
    </row>
    <row r="110" spans="1:12">
      <c r="A110" t="str">
        <f>IF(B110="","",
    COUNTA($B$2:B110)-COUNTIFS($B$2:B110,"",$B$2:B110,"=*"))</f>
        <v/>
      </c>
      <c r="B110" s="217" t="str">
        <f>IF(足元帳!AU110="","",足元帳!C110)</f>
        <v/>
      </c>
      <c r="C110" s="217" t="str">
        <f>IFERROR(VLOOKUP(IF(足元帳!AU110="","",足元帳!BJ110),管理シート!$CA$4:$CB$23,2,FALSE),"")</f>
        <v/>
      </c>
      <c r="D110" s="217" t="str">
        <f>IF(足元帳!AU110="","",足元帳!K110)</f>
        <v/>
      </c>
      <c r="E110" s="217" t="str">
        <f>IFERROR(VLOOKUP(IF(足元帳!AU110="","",足元帳!BB110),管理シート!$R$4:$W$12,4),"")</f>
        <v/>
      </c>
      <c r="F110" s="217" t="str">
        <f t="shared" si="2"/>
        <v/>
      </c>
      <c r="G110" s="217" t="str">
        <f>IF(足元帳!AU110="","",足元帳!AU110)</f>
        <v/>
      </c>
      <c r="H110" s="217" t="str">
        <f>IF(足元帳!AV110="","",足元帳!AV110)</f>
        <v/>
      </c>
      <c r="I110" s="217" t="str">
        <f>IF(B110="","",IF(IF(足元帳!AU110="","",足元帳!BB110)=1,精算表!$C$14,IF(IF(足元帳!AU110="","",足元帳!BB110)=2,精算表!$E$14,IF(IF(足元帳!AU110="","",足元帳!BB110)=3,精算表!$G$14,IF(IF(足元帳!AU110="","",足元帳!BB110)=4,精算表!$I$14,IF(IF(足元帳!AU110="","",足元帳!BB110)=5,精算表!$K$14,))))))</f>
        <v/>
      </c>
      <c r="J110" s="217" t="str">
        <f>IFERROR(VLOOKUP(VLOOKUP(IF(足元帳!AU110="","",足元帳!BJ110),管理シート!$CA$4:$CI$13,2,FALSE),精算表!$BL$20:$BS$29,MATCH(E110&amp;"分",精算表!$BL$20:$BS$20,0),FALSE),"")</f>
        <v/>
      </c>
      <c r="K110" s="220" t="str">
        <f>IF(足元帳!AU110="","",足元帳!CC110)</f>
        <v/>
      </c>
      <c r="L110" s="217" t="str">
        <f>IF(足元帳!AU110="","",IF(足元帳!AL110="●","カード利用",""))</f>
        <v/>
      </c>
    </row>
    <row r="111" spans="1:12">
      <c r="A111" t="str">
        <f>IF(B111="","",
    COUNTA($B$2:B111)-COUNTIFS($B$2:B111,"",$B$2:B111,"=*"))</f>
        <v/>
      </c>
      <c r="B111" s="217" t="str">
        <f>IF(足元帳!AU111="","",足元帳!C111)</f>
        <v/>
      </c>
      <c r="C111" s="217" t="str">
        <f>IFERROR(VLOOKUP(IF(足元帳!AU111="","",足元帳!BJ111),管理シート!$CA$4:$CB$23,2,FALSE),"")</f>
        <v/>
      </c>
      <c r="D111" s="217" t="str">
        <f>IF(足元帳!AU111="","",足元帳!K111)</f>
        <v/>
      </c>
      <c r="E111" s="217" t="str">
        <f>IFERROR(VLOOKUP(IF(足元帳!AU111="","",足元帳!BB111),管理シート!$R$4:$W$12,4),"")</f>
        <v/>
      </c>
      <c r="F111" s="217" t="str">
        <f t="shared" si="2"/>
        <v/>
      </c>
      <c r="G111" s="217" t="str">
        <f>IF(足元帳!AU111="","",足元帳!AU111)</f>
        <v/>
      </c>
      <c r="H111" s="217" t="str">
        <f>IF(足元帳!AV111="","",足元帳!AV111)</f>
        <v/>
      </c>
      <c r="I111" s="217" t="str">
        <f>IF(B111="","",IF(IF(足元帳!AU111="","",足元帳!BB111)=1,精算表!$C$14,IF(IF(足元帳!AU111="","",足元帳!BB111)=2,精算表!$E$14,IF(IF(足元帳!AU111="","",足元帳!BB111)=3,精算表!$G$14,IF(IF(足元帳!AU111="","",足元帳!BB111)=4,精算表!$I$14,IF(IF(足元帳!AU111="","",足元帳!BB111)=5,精算表!$K$14,))))))</f>
        <v/>
      </c>
      <c r="J111" s="217" t="str">
        <f>IFERROR(VLOOKUP(VLOOKUP(IF(足元帳!AU111="","",足元帳!BJ111),管理シート!$CA$4:$CI$13,2,FALSE),精算表!$BL$20:$BS$29,MATCH(E111&amp;"分",精算表!$BL$20:$BS$20,0),FALSE),"")</f>
        <v/>
      </c>
      <c r="K111" s="220" t="str">
        <f>IF(足元帳!AU111="","",足元帳!CC111)</f>
        <v/>
      </c>
      <c r="L111" s="217" t="str">
        <f>IF(足元帳!AU111="","",IF(足元帳!AL111="●","カード利用",""))</f>
        <v/>
      </c>
    </row>
    <row r="112" spans="1:12">
      <c r="A112" t="str">
        <f>IF(B112="","",
    COUNTA($B$2:B112)-COUNTIFS($B$2:B112,"",$B$2:B112,"=*"))</f>
        <v/>
      </c>
      <c r="B112" s="217" t="str">
        <f>IF(足元帳!AU112="","",足元帳!C112)</f>
        <v/>
      </c>
      <c r="C112" s="217" t="str">
        <f>IFERROR(VLOOKUP(IF(足元帳!AU112="","",足元帳!BJ112),管理シート!$CA$4:$CB$23,2,FALSE),"")</f>
        <v/>
      </c>
      <c r="D112" s="217" t="str">
        <f>IF(足元帳!AU112="","",足元帳!K112)</f>
        <v/>
      </c>
      <c r="E112" s="217" t="str">
        <f>IFERROR(VLOOKUP(IF(足元帳!AU112="","",足元帳!BB112),管理シート!$R$4:$W$12,4),"")</f>
        <v/>
      </c>
      <c r="F112" s="217" t="str">
        <f t="shared" si="2"/>
        <v/>
      </c>
      <c r="G112" s="217" t="str">
        <f>IF(足元帳!AU112="","",足元帳!AU112)</f>
        <v/>
      </c>
      <c r="H112" s="217" t="str">
        <f>IF(足元帳!AV112="","",足元帳!AV112)</f>
        <v/>
      </c>
      <c r="I112" s="217" t="str">
        <f>IF(B112="","",IF(IF(足元帳!AU112="","",足元帳!BB112)=1,精算表!$C$14,IF(IF(足元帳!AU112="","",足元帳!BB112)=2,精算表!$E$14,IF(IF(足元帳!AU112="","",足元帳!BB112)=3,精算表!$G$14,IF(IF(足元帳!AU112="","",足元帳!BB112)=4,精算表!$I$14,IF(IF(足元帳!AU112="","",足元帳!BB112)=5,精算表!$K$14,))))))</f>
        <v/>
      </c>
      <c r="J112" s="217" t="str">
        <f>IFERROR(VLOOKUP(VLOOKUP(IF(足元帳!AU112="","",足元帳!BJ112),管理シート!$CA$4:$CI$13,2,FALSE),精算表!$BL$20:$BS$29,MATCH(E112&amp;"分",精算表!$BL$20:$BS$20,0),FALSE),"")</f>
        <v/>
      </c>
      <c r="K112" s="220" t="str">
        <f>IF(足元帳!AU112="","",足元帳!CC112)</f>
        <v/>
      </c>
      <c r="L112" s="217" t="str">
        <f>IF(足元帳!AU112="","",IF(足元帳!AL112="●","カード利用",""))</f>
        <v/>
      </c>
    </row>
    <row r="113" spans="1:12">
      <c r="A113" t="str">
        <f>IF(B113="","",
    COUNTA($B$2:B113)-COUNTIFS($B$2:B113,"",$B$2:B113,"=*"))</f>
        <v/>
      </c>
      <c r="B113" s="217" t="str">
        <f>IF(足元帳!AU113="","",足元帳!C113)</f>
        <v/>
      </c>
      <c r="C113" s="217" t="str">
        <f>IFERROR(VLOOKUP(IF(足元帳!AU113="","",足元帳!BJ113),管理シート!$CA$4:$CB$23,2,FALSE),"")</f>
        <v/>
      </c>
      <c r="D113" s="217" t="str">
        <f>IF(足元帳!AU113="","",足元帳!K113)</f>
        <v/>
      </c>
      <c r="E113" s="217" t="str">
        <f>IFERROR(VLOOKUP(IF(足元帳!AU113="","",足元帳!BB113),管理シート!$R$4:$W$12,4),"")</f>
        <v/>
      </c>
      <c r="F113" s="217" t="str">
        <f t="shared" si="2"/>
        <v/>
      </c>
      <c r="G113" s="217" t="str">
        <f>IF(足元帳!AU113="","",足元帳!AU113)</f>
        <v/>
      </c>
      <c r="H113" s="217" t="str">
        <f>IF(足元帳!AV113="","",足元帳!AV113)</f>
        <v/>
      </c>
      <c r="I113" s="217" t="str">
        <f>IF(B113="","",IF(IF(足元帳!AU113="","",足元帳!BB113)=1,精算表!$C$14,IF(IF(足元帳!AU113="","",足元帳!BB113)=2,精算表!$E$14,IF(IF(足元帳!AU113="","",足元帳!BB113)=3,精算表!$G$14,IF(IF(足元帳!AU113="","",足元帳!BB113)=4,精算表!$I$14,IF(IF(足元帳!AU113="","",足元帳!BB113)=5,精算表!$K$14,))))))</f>
        <v/>
      </c>
      <c r="J113" s="217" t="str">
        <f>IFERROR(VLOOKUP(VLOOKUP(IF(足元帳!AU113="","",足元帳!BJ113),管理シート!$CA$4:$CI$13,2,FALSE),精算表!$BL$20:$BS$29,MATCH(E113&amp;"分",精算表!$BL$20:$BS$20,0),FALSE),"")</f>
        <v/>
      </c>
      <c r="K113" s="220" t="str">
        <f>IF(足元帳!AU113="","",足元帳!CC113)</f>
        <v/>
      </c>
      <c r="L113" s="217" t="str">
        <f>IF(足元帳!AU113="","",IF(足元帳!AL113="●","カード利用",""))</f>
        <v/>
      </c>
    </row>
    <row r="114" spans="1:12">
      <c r="A114" t="str">
        <f>IF(B114="","",
    COUNTA($B$2:B114)-COUNTIFS($B$2:B114,"",$B$2:B114,"=*"))</f>
        <v/>
      </c>
      <c r="B114" s="217" t="str">
        <f>IF(足元帳!AU114="","",足元帳!C114)</f>
        <v/>
      </c>
      <c r="C114" s="217" t="str">
        <f>IFERROR(VLOOKUP(IF(足元帳!AU114="","",足元帳!BJ114),管理シート!$CA$4:$CB$23,2,FALSE),"")</f>
        <v/>
      </c>
      <c r="D114" s="217" t="str">
        <f>IF(足元帳!AU114="","",足元帳!K114)</f>
        <v/>
      </c>
      <c r="E114" s="217" t="str">
        <f>IFERROR(VLOOKUP(IF(足元帳!AU114="","",足元帳!BB114),管理シート!$R$4:$W$12,4),"")</f>
        <v/>
      </c>
      <c r="F114" s="217" t="str">
        <f t="shared" si="2"/>
        <v/>
      </c>
      <c r="G114" s="217" t="str">
        <f>IF(足元帳!AU114="","",足元帳!AU114)</f>
        <v/>
      </c>
      <c r="H114" s="217" t="str">
        <f>IF(足元帳!AV114="","",足元帳!AV114)</f>
        <v/>
      </c>
      <c r="I114" s="217" t="str">
        <f>IF(B114="","",IF(IF(足元帳!AU114="","",足元帳!BB114)=1,精算表!$C$14,IF(IF(足元帳!AU114="","",足元帳!BB114)=2,精算表!$E$14,IF(IF(足元帳!AU114="","",足元帳!BB114)=3,精算表!$G$14,IF(IF(足元帳!AU114="","",足元帳!BB114)=4,精算表!$I$14,IF(IF(足元帳!AU114="","",足元帳!BB114)=5,精算表!$K$14,))))))</f>
        <v/>
      </c>
      <c r="J114" s="217" t="str">
        <f>IFERROR(VLOOKUP(VLOOKUP(IF(足元帳!AU114="","",足元帳!BJ114),管理シート!$CA$4:$CI$13,2,FALSE),精算表!$BL$20:$BS$29,MATCH(E114&amp;"分",精算表!$BL$20:$BS$20,0),FALSE),"")</f>
        <v/>
      </c>
      <c r="K114" s="220" t="str">
        <f>IF(足元帳!AU114="","",足元帳!CC114)</f>
        <v/>
      </c>
      <c r="L114" s="217" t="str">
        <f>IF(足元帳!AU114="","",IF(足元帳!AL114="●","カード利用",""))</f>
        <v/>
      </c>
    </row>
    <row r="115" spans="1:12">
      <c r="A115" t="str">
        <f>IF(B115="","",
    COUNTA($B$2:B115)-COUNTIFS($B$2:B115,"",$B$2:B115,"=*"))</f>
        <v/>
      </c>
      <c r="B115" s="217" t="str">
        <f>IF(足元帳!AU115="","",足元帳!C115)</f>
        <v/>
      </c>
      <c r="C115" s="217" t="str">
        <f>IFERROR(VLOOKUP(IF(足元帳!AU115="","",足元帳!BJ115),管理シート!$CA$4:$CB$23,2,FALSE),"")</f>
        <v/>
      </c>
      <c r="D115" s="217" t="str">
        <f>IF(足元帳!AU115="","",足元帳!K115)</f>
        <v/>
      </c>
      <c r="E115" s="217" t="str">
        <f>IFERROR(VLOOKUP(IF(足元帳!AU115="","",足元帳!BB115),管理シート!$R$4:$W$12,4),"")</f>
        <v/>
      </c>
      <c r="F115" s="217" t="str">
        <f t="shared" si="2"/>
        <v/>
      </c>
      <c r="G115" s="217" t="str">
        <f>IF(足元帳!AU115="","",足元帳!AU115)</f>
        <v/>
      </c>
      <c r="H115" s="217" t="str">
        <f>IF(足元帳!AV115="","",足元帳!AV115)</f>
        <v/>
      </c>
      <c r="I115" s="217" t="str">
        <f>IF(B115="","",IF(IF(足元帳!AU115="","",足元帳!BB115)=1,精算表!$C$14,IF(IF(足元帳!AU115="","",足元帳!BB115)=2,精算表!$E$14,IF(IF(足元帳!AU115="","",足元帳!BB115)=3,精算表!$G$14,IF(IF(足元帳!AU115="","",足元帳!BB115)=4,精算表!$I$14,IF(IF(足元帳!AU115="","",足元帳!BB115)=5,精算表!$K$14,))))))</f>
        <v/>
      </c>
      <c r="J115" s="217" t="str">
        <f>IFERROR(VLOOKUP(VLOOKUP(IF(足元帳!AU115="","",足元帳!BJ115),管理シート!$CA$4:$CI$13,2,FALSE),精算表!$BL$20:$BS$29,MATCH(E115&amp;"分",精算表!$BL$20:$BS$20,0),FALSE),"")</f>
        <v/>
      </c>
      <c r="K115" s="220" t="str">
        <f>IF(足元帳!AU115="","",足元帳!CC115)</f>
        <v/>
      </c>
      <c r="L115" s="217" t="str">
        <f>IF(足元帳!AU115="","",IF(足元帳!AL115="●","カード利用",""))</f>
        <v/>
      </c>
    </row>
    <row r="116" spans="1:12">
      <c r="A116" t="str">
        <f>IF(B116="","",
    COUNTA($B$2:B116)-COUNTIFS($B$2:B116,"",$B$2:B116,"=*"))</f>
        <v/>
      </c>
      <c r="B116" s="217" t="str">
        <f>IF(足元帳!AU116="","",足元帳!C116)</f>
        <v/>
      </c>
      <c r="C116" s="217" t="str">
        <f>IFERROR(VLOOKUP(IF(足元帳!AU116="","",足元帳!BJ116),管理シート!$CA$4:$CB$23,2,FALSE),"")</f>
        <v/>
      </c>
      <c r="D116" s="217" t="str">
        <f>IF(足元帳!AU116="","",足元帳!K116)</f>
        <v/>
      </c>
      <c r="E116" s="217" t="str">
        <f>IFERROR(VLOOKUP(IF(足元帳!AU116="","",足元帳!BB116),管理シート!$R$4:$W$12,4),"")</f>
        <v/>
      </c>
      <c r="F116" s="217" t="str">
        <f t="shared" si="2"/>
        <v/>
      </c>
      <c r="G116" s="217" t="str">
        <f>IF(足元帳!AU116="","",足元帳!AU116)</f>
        <v/>
      </c>
      <c r="H116" s="217" t="str">
        <f>IF(足元帳!AV116="","",足元帳!AV116)</f>
        <v/>
      </c>
      <c r="I116" s="217" t="str">
        <f>IF(B116="","",IF(IF(足元帳!AU116="","",足元帳!BB116)=1,精算表!$C$14,IF(IF(足元帳!AU116="","",足元帳!BB116)=2,精算表!$E$14,IF(IF(足元帳!AU116="","",足元帳!BB116)=3,精算表!$G$14,IF(IF(足元帳!AU116="","",足元帳!BB116)=4,精算表!$I$14,IF(IF(足元帳!AU116="","",足元帳!BB116)=5,精算表!$K$14,))))))</f>
        <v/>
      </c>
      <c r="J116" s="217" t="str">
        <f>IFERROR(VLOOKUP(VLOOKUP(IF(足元帳!AU116="","",足元帳!BJ116),管理シート!$CA$4:$CI$13,2,FALSE),精算表!$BL$20:$BS$29,MATCH(E116&amp;"分",精算表!$BL$20:$BS$20,0),FALSE),"")</f>
        <v/>
      </c>
      <c r="K116" s="220" t="str">
        <f>IF(足元帳!AU116="","",足元帳!CC116)</f>
        <v/>
      </c>
      <c r="L116" s="217" t="str">
        <f>IF(足元帳!AU116="","",IF(足元帳!AL116="●","カード利用",""))</f>
        <v/>
      </c>
    </row>
    <row r="117" spans="1:12">
      <c r="A117" t="str">
        <f>IF(B117="","",
    COUNTA($B$2:B117)-COUNTIFS($B$2:B117,"",$B$2:B117,"=*"))</f>
        <v/>
      </c>
      <c r="B117" s="217" t="str">
        <f>IF(足元帳!AU117="","",足元帳!C117)</f>
        <v/>
      </c>
      <c r="C117" s="217" t="str">
        <f>IFERROR(VLOOKUP(IF(足元帳!AU117="","",足元帳!BJ117),管理シート!$CA$4:$CB$23,2,FALSE),"")</f>
        <v/>
      </c>
      <c r="D117" s="217" t="str">
        <f>IF(足元帳!AU117="","",足元帳!K117)</f>
        <v/>
      </c>
      <c r="E117" s="217" t="str">
        <f>IFERROR(VLOOKUP(IF(足元帳!AU117="","",足元帳!BB117),管理シート!$R$4:$W$12,4),"")</f>
        <v/>
      </c>
      <c r="F117" s="217" t="str">
        <f t="shared" si="2"/>
        <v/>
      </c>
      <c r="G117" s="217" t="str">
        <f>IF(足元帳!AU117="","",足元帳!AU117)</f>
        <v/>
      </c>
      <c r="H117" s="217" t="str">
        <f>IF(足元帳!AV117="","",足元帳!AV117)</f>
        <v/>
      </c>
      <c r="I117" s="217" t="str">
        <f>IF(B117="","",IF(IF(足元帳!AU117="","",足元帳!BB117)=1,精算表!$C$14,IF(IF(足元帳!AU117="","",足元帳!BB117)=2,精算表!$E$14,IF(IF(足元帳!AU117="","",足元帳!BB117)=3,精算表!$G$14,IF(IF(足元帳!AU117="","",足元帳!BB117)=4,精算表!$I$14,IF(IF(足元帳!AU117="","",足元帳!BB117)=5,精算表!$K$14,))))))</f>
        <v/>
      </c>
      <c r="J117" s="217" t="str">
        <f>IFERROR(VLOOKUP(VLOOKUP(IF(足元帳!AU117="","",足元帳!BJ117),管理シート!$CA$4:$CI$13,2,FALSE),精算表!$BL$20:$BS$29,MATCH(E117&amp;"分",精算表!$BL$20:$BS$20,0),FALSE),"")</f>
        <v/>
      </c>
      <c r="K117" s="220" t="str">
        <f>IF(足元帳!AU117="","",足元帳!CC117)</f>
        <v/>
      </c>
      <c r="L117" s="217" t="str">
        <f>IF(足元帳!AU117="","",IF(足元帳!AL117="●","カード利用",""))</f>
        <v/>
      </c>
    </row>
    <row r="118" spans="1:12">
      <c r="A118" t="str">
        <f>IF(B118="","",
    COUNTA($B$2:B118)-COUNTIFS($B$2:B118,"",$B$2:B118,"=*"))</f>
        <v/>
      </c>
      <c r="B118" s="217" t="str">
        <f>IF(足元帳!AU118="","",足元帳!C118)</f>
        <v/>
      </c>
      <c r="C118" s="217" t="str">
        <f>IFERROR(VLOOKUP(IF(足元帳!AU118="","",足元帳!BJ118),管理シート!$CA$4:$CB$23,2,FALSE),"")</f>
        <v/>
      </c>
      <c r="D118" s="217" t="str">
        <f>IF(足元帳!AU118="","",足元帳!K118)</f>
        <v/>
      </c>
      <c r="E118" s="217" t="str">
        <f>IFERROR(VLOOKUP(IF(足元帳!AU118="","",足元帳!BB118),管理シート!$R$4:$W$12,4),"")</f>
        <v/>
      </c>
      <c r="F118" s="217" t="str">
        <f t="shared" si="2"/>
        <v/>
      </c>
      <c r="G118" s="217" t="str">
        <f>IF(足元帳!AU118="","",足元帳!AU118)</f>
        <v/>
      </c>
      <c r="H118" s="217" t="str">
        <f>IF(足元帳!AV118="","",足元帳!AV118)</f>
        <v/>
      </c>
      <c r="I118" s="217" t="str">
        <f>IF(B118="","",IF(IF(足元帳!AU118="","",足元帳!BB118)=1,精算表!$C$14,IF(IF(足元帳!AU118="","",足元帳!BB118)=2,精算表!$E$14,IF(IF(足元帳!AU118="","",足元帳!BB118)=3,精算表!$G$14,IF(IF(足元帳!AU118="","",足元帳!BB118)=4,精算表!$I$14,IF(IF(足元帳!AU118="","",足元帳!BB118)=5,精算表!$K$14,))))))</f>
        <v/>
      </c>
      <c r="J118" s="217" t="str">
        <f>IFERROR(VLOOKUP(VLOOKUP(IF(足元帳!AU118="","",足元帳!BJ118),管理シート!$CA$4:$CI$13,2,FALSE),精算表!$BL$20:$BS$29,MATCH(E118&amp;"分",精算表!$BL$20:$BS$20,0),FALSE),"")</f>
        <v/>
      </c>
      <c r="K118" s="220" t="str">
        <f>IF(足元帳!AU118="","",足元帳!CC118)</f>
        <v/>
      </c>
      <c r="L118" s="217" t="str">
        <f>IF(足元帳!AU118="","",IF(足元帳!AL118="●","カード利用",""))</f>
        <v/>
      </c>
    </row>
    <row r="119" spans="1:12">
      <c r="A119" t="str">
        <f>IF(B119="","",
    COUNTA($B$2:B119)-COUNTIFS($B$2:B119,"",$B$2:B119,"=*"))</f>
        <v/>
      </c>
      <c r="B119" s="217" t="str">
        <f>IF(足元帳!AU119="","",足元帳!C119)</f>
        <v/>
      </c>
      <c r="C119" s="217" t="str">
        <f>IFERROR(VLOOKUP(IF(足元帳!AU119="","",足元帳!BJ119),管理シート!$CA$4:$CB$23,2,FALSE),"")</f>
        <v/>
      </c>
      <c r="D119" s="217" t="str">
        <f>IF(足元帳!AU119="","",足元帳!K119)</f>
        <v/>
      </c>
      <c r="E119" s="217" t="str">
        <f>IFERROR(VLOOKUP(IF(足元帳!AU119="","",足元帳!BB119),管理シート!$R$4:$W$12,4),"")</f>
        <v/>
      </c>
      <c r="F119" s="217" t="str">
        <f t="shared" si="2"/>
        <v/>
      </c>
      <c r="G119" s="217" t="str">
        <f>IF(足元帳!AU119="","",足元帳!AU119)</f>
        <v/>
      </c>
      <c r="H119" s="217" t="str">
        <f>IF(足元帳!AV119="","",足元帳!AV119)</f>
        <v/>
      </c>
      <c r="I119" s="217" t="str">
        <f>IF(B119="","",IF(IF(足元帳!AU119="","",足元帳!BB119)=1,精算表!$C$14,IF(IF(足元帳!AU119="","",足元帳!BB119)=2,精算表!$E$14,IF(IF(足元帳!AU119="","",足元帳!BB119)=3,精算表!$G$14,IF(IF(足元帳!AU119="","",足元帳!BB119)=4,精算表!$I$14,IF(IF(足元帳!AU119="","",足元帳!BB119)=5,精算表!$K$14,))))))</f>
        <v/>
      </c>
      <c r="J119" s="217" t="str">
        <f>IFERROR(VLOOKUP(VLOOKUP(IF(足元帳!AU119="","",足元帳!BJ119),管理シート!$CA$4:$CI$13,2,FALSE),精算表!$BL$20:$BS$29,MATCH(E119&amp;"分",精算表!$BL$20:$BS$20,0),FALSE),"")</f>
        <v/>
      </c>
      <c r="K119" s="220" t="str">
        <f>IF(足元帳!AU119="","",足元帳!CC119)</f>
        <v/>
      </c>
      <c r="L119" s="217" t="str">
        <f>IF(足元帳!AU119="","",IF(足元帳!AL119="●","カード利用",""))</f>
        <v/>
      </c>
    </row>
    <row r="120" spans="1:12">
      <c r="A120" t="str">
        <f>IF(B120="","",
    COUNTA($B$2:B120)-COUNTIFS($B$2:B120,"",$B$2:B120,"=*"))</f>
        <v/>
      </c>
      <c r="B120" s="217" t="str">
        <f>IF(足元帳!AU120="","",足元帳!C120)</f>
        <v/>
      </c>
      <c r="C120" s="217" t="str">
        <f>IFERROR(VLOOKUP(IF(足元帳!AU120="","",足元帳!BJ120),管理シート!$CA$4:$CB$23,2,FALSE),"")</f>
        <v/>
      </c>
      <c r="D120" s="217" t="str">
        <f>IF(足元帳!AU120="","",足元帳!K120)</f>
        <v/>
      </c>
      <c r="E120" s="217" t="str">
        <f>IFERROR(VLOOKUP(IF(足元帳!AU120="","",足元帳!BB120),管理シート!$R$4:$W$12,4),"")</f>
        <v/>
      </c>
      <c r="F120" s="217" t="str">
        <f t="shared" si="2"/>
        <v/>
      </c>
      <c r="G120" s="217" t="str">
        <f>IF(足元帳!AU120="","",足元帳!AU120)</f>
        <v/>
      </c>
      <c r="H120" s="217" t="str">
        <f>IF(足元帳!AV120="","",足元帳!AV120)</f>
        <v/>
      </c>
      <c r="I120" s="217" t="str">
        <f>IF(B120="","",IF(IF(足元帳!AU120="","",足元帳!BB120)=1,精算表!$C$14,IF(IF(足元帳!AU120="","",足元帳!BB120)=2,精算表!$E$14,IF(IF(足元帳!AU120="","",足元帳!BB120)=3,精算表!$G$14,IF(IF(足元帳!AU120="","",足元帳!BB120)=4,精算表!$I$14,IF(IF(足元帳!AU120="","",足元帳!BB120)=5,精算表!$K$14,))))))</f>
        <v/>
      </c>
      <c r="J120" s="217" t="str">
        <f>IFERROR(VLOOKUP(VLOOKUP(IF(足元帳!AU120="","",足元帳!BJ120),管理シート!$CA$4:$CI$13,2,FALSE),精算表!$BL$20:$BS$29,MATCH(E120&amp;"分",精算表!$BL$20:$BS$20,0),FALSE),"")</f>
        <v/>
      </c>
      <c r="K120" s="220" t="str">
        <f>IF(足元帳!AU120="","",足元帳!CC120)</f>
        <v/>
      </c>
      <c r="L120" s="217" t="str">
        <f>IF(足元帳!AU120="","",IF(足元帳!AL120="●","カード利用",""))</f>
        <v/>
      </c>
    </row>
    <row r="121" spans="1:12">
      <c r="A121" t="str">
        <f>IF(B121="","",
    COUNTA($B$2:B121)-COUNTIFS($B$2:B121,"",$B$2:B121,"=*"))</f>
        <v/>
      </c>
      <c r="B121" s="217" t="str">
        <f>IF(足元帳!AU121="","",足元帳!C121)</f>
        <v/>
      </c>
      <c r="C121" s="217" t="str">
        <f>IFERROR(VLOOKUP(IF(足元帳!AU121="","",足元帳!BJ121),管理シート!$CA$4:$CB$23,2,FALSE),"")</f>
        <v/>
      </c>
      <c r="D121" s="217" t="str">
        <f>IF(足元帳!AU121="","",足元帳!K121)</f>
        <v/>
      </c>
      <c r="E121" s="217" t="str">
        <f>IFERROR(VLOOKUP(IF(足元帳!AU121="","",足元帳!BB121),管理シート!$R$4:$W$12,4),"")</f>
        <v/>
      </c>
      <c r="F121" s="217" t="str">
        <f t="shared" si="2"/>
        <v/>
      </c>
      <c r="G121" s="217" t="str">
        <f>IF(足元帳!AU121="","",足元帳!AU121)</f>
        <v/>
      </c>
      <c r="H121" s="217" t="str">
        <f>IF(足元帳!AV121="","",足元帳!AV121)</f>
        <v/>
      </c>
      <c r="I121" s="217" t="str">
        <f>IF(B121="","",IF(IF(足元帳!AU121="","",足元帳!BB121)=1,精算表!$C$14,IF(IF(足元帳!AU121="","",足元帳!BB121)=2,精算表!$E$14,IF(IF(足元帳!AU121="","",足元帳!BB121)=3,精算表!$G$14,IF(IF(足元帳!AU121="","",足元帳!BB121)=4,精算表!$I$14,IF(IF(足元帳!AU121="","",足元帳!BB121)=5,精算表!$K$14,))))))</f>
        <v/>
      </c>
      <c r="J121" s="217" t="str">
        <f>IFERROR(VLOOKUP(VLOOKUP(IF(足元帳!AU121="","",足元帳!BJ121),管理シート!$CA$4:$CI$13,2,FALSE),精算表!$BL$20:$BS$29,MATCH(E121&amp;"分",精算表!$BL$20:$BS$20,0),FALSE),"")</f>
        <v/>
      </c>
      <c r="K121" s="220" t="str">
        <f>IF(足元帳!AU121="","",足元帳!CC121)</f>
        <v/>
      </c>
      <c r="L121" s="217" t="str">
        <f>IF(足元帳!AU121="","",IF(足元帳!AL121="●","カード利用",""))</f>
        <v/>
      </c>
    </row>
    <row r="122" spans="1:12">
      <c r="A122" t="str">
        <f>IF(B122="","",
    COUNTA($B$2:B122)-COUNTIFS($B$2:B122,"",$B$2:B122,"=*"))</f>
        <v/>
      </c>
      <c r="B122" s="217" t="str">
        <f>IF(足元帳!AU122="","",足元帳!C122)</f>
        <v/>
      </c>
      <c r="C122" s="217" t="str">
        <f>IFERROR(VLOOKUP(IF(足元帳!AU122="","",足元帳!BJ122),管理シート!$CA$4:$CB$23,2,FALSE),"")</f>
        <v/>
      </c>
      <c r="D122" s="217" t="str">
        <f>IF(足元帳!AU122="","",足元帳!K122)</f>
        <v/>
      </c>
      <c r="E122" s="217" t="str">
        <f>IFERROR(VLOOKUP(IF(足元帳!AU122="","",足元帳!BB122),管理シート!$R$4:$W$12,4),"")</f>
        <v/>
      </c>
      <c r="F122" s="217" t="str">
        <f t="shared" si="2"/>
        <v/>
      </c>
      <c r="G122" s="217" t="str">
        <f>IF(足元帳!AU122="","",足元帳!AU122)</f>
        <v/>
      </c>
      <c r="H122" s="217" t="str">
        <f>IF(足元帳!AV122="","",足元帳!AV122)</f>
        <v/>
      </c>
      <c r="I122" s="217" t="str">
        <f>IF(B122="","",IF(IF(足元帳!AU122="","",足元帳!BB122)=1,精算表!$C$14,IF(IF(足元帳!AU122="","",足元帳!BB122)=2,精算表!$E$14,IF(IF(足元帳!AU122="","",足元帳!BB122)=3,精算表!$G$14,IF(IF(足元帳!AU122="","",足元帳!BB122)=4,精算表!$I$14,IF(IF(足元帳!AU122="","",足元帳!BB122)=5,精算表!$K$14,))))))</f>
        <v/>
      </c>
      <c r="J122" s="217" t="str">
        <f>IFERROR(VLOOKUP(VLOOKUP(IF(足元帳!AU122="","",足元帳!BJ122),管理シート!$CA$4:$CI$13,2,FALSE),精算表!$BL$20:$BS$29,MATCH(E122&amp;"分",精算表!$BL$20:$BS$20,0),FALSE),"")</f>
        <v/>
      </c>
      <c r="K122" s="220" t="str">
        <f>IF(足元帳!AU122="","",足元帳!CC122)</f>
        <v/>
      </c>
      <c r="L122" s="217" t="str">
        <f>IF(足元帳!AU122="","",IF(足元帳!AL122="●","カード利用",""))</f>
        <v/>
      </c>
    </row>
    <row r="123" spans="1:12">
      <c r="A123" t="str">
        <f>IF(B123="","",
    COUNTA($B$2:B123)-COUNTIFS($B$2:B123,"",$B$2:B123,"=*"))</f>
        <v/>
      </c>
      <c r="B123" s="217" t="str">
        <f>IF(足元帳!AU123="","",足元帳!C123)</f>
        <v/>
      </c>
      <c r="C123" s="217" t="str">
        <f>IFERROR(VLOOKUP(IF(足元帳!AU123="","",足元帳!BJ123),管理シート!$CA$4:$CB$23,2,FALSE),"")</f>
        <v/>
      </c>
      <c r="D123" s="217" t="str">
        <f>IF(足元帳!AU123="","",足元帳!K123)</f>
        <v/>
      </c>
      <c r="E123" s="217" t="str">
        <f>IFERROR(VLOOKUP(IF(足元帳!AU123="","",足元帳!BB123),管理シート!$R$4:$W$12,4),"")</f>
        <v/>
      </c>
      <c r="F123" s="217" t="str">
        <f t="shared" si="2"/>
        <v/>
      </c>
      <c r="G123" s="217" t="str">
        <f>IF(足元帳!AU123="","",足元帳!AU123)</f>
        <v/>
      </c>
      <c r="H123" s="217" t="str">
        <f>IF(足元帳!AV123="","",足元帳!AV123)</f>
        <v/>
      </c>
      <c r="I123" s="217" t="str">
        <f>IF(B123="","",IF(IF(足元帳!AU123="","",足元帳!BB123)=1,精算表!$C$14,IF(IF(足元帳!AU123="","",足元帳!BB123)=2,精算表!$E$14,IF(IF(足元帳!AU123="","",足元帳!BB123)=3,精算表!$G$14,IF(IF(足元帳!AU123="","",足元帳!BB123)=4,精算表!$I$14,IF(IF(足元帳!AU123="","",足元帳!BB123)=5,精算表!$K$14,))))))</f>
        <v/>
      </c>
      <c r="J123" s="217" t="str">
        <f>IFERROR(VLOOKUP(VLOOKUP(IF(足元帳!AU123="","",足元帳!BJ123),管理シート!$CA$4:$CI$13,2,FALSE),精算表!$BL$20:$BS$29,MATCH(E123&amp;"分",精算表!$BL$20:$BS$20,0),FALSE),"")</f>
        <v/>
      </c>
      <c r="K123" s="220" t="str">
        <f>IF(足元帳!AU123="","",足元帳!CC123)</f>
        <v/>
      </c>
      <c r="L123" s="217" t="str">
        <f>IF(足元帳!AU123="","",IF(足元帳!AL123="●","カード利用",""))</f>
        <v/>
      </c>
    </row>
    <row r="124" spans="1:12">
      <c r="A124" t="str">
        <f>IF(B124="","",
    COUNTA($B$2:B124)-COUNTIFS($B$2:B124,"",$B$2:B124,"=*"))</f>
        <v/>
      </c>
      <c r="B124" s="217" t="str">
        <f>IF(足元帳!AU124="","",足元帳!C124)</f>
        <v/>
      </c>
      <c r="C124" s="217" t="str">
        <f>IFERROR(VLOOKUP(IF(足元帳!AU124="","",足元帳!BJ124),管理シート!$CA$4:$CB$23,2,FALSE),"")</f>
        <v/>
      </c>
      <c r="D124" s="217" t="str">
        <f>IF(足元帳!AU124="","",足元帳!K124)</f>
        <v/>
      </c>
      <c r="E124" s="217" t="str">
        <f>IFERROR(VLOOKUP(IF(足元帳!AU124="","",足元帳!BB124),管理シート!$R$4:$W$12,4),"")</f>
        <v/>
      </c>
      <c r="F124" s="217" t="str">
        <f t="shared" si="2"/>
        <v/>
      </c>
      <c r="G124" s="217" t="str">
        <f>IF(足元帳!AU124="","",足元帳!AU124)</f>
        <v/>
      </c>
      <c r="H124" s="217" t="str">
        <f>IF(足元帳!AV124="","",足元帳!AV124)</f>
        <v/>
      </c>
      <c r="I124" s="217" t="str">
        <f>IF(B124="","",IF(IF(足元帳!AU124="","",足元帳!BB124)=1,精算表!$C$14,IF(IF(足元帳!AU124="","",足元帳!BB124)=2,精算表!$E$14,IF(IF(足元帳!AU124="","",足元帳!BB124)=3,精算表!$G$14,IF(IF(足元帳!AU124="","",足元帳!BB124)=4,精算表!$I$14,IF(IF(足元帳!AU124="","",足元帳!BB124)=5,精算表!$K$14,))))))</f>
        <v/>
      </c>
      <c r="J124" s="217" t="str">
        <f>IFERROR(VLOOKUP(VLOOKUP(IF(足元帳!AU124="","",足元帳!BJ124),管理シート!$CA$4:$CI$13,2,FALSE),精算表!$BL$20:$BS$29,MATCH(E124&amp;"分",精算表!$BL$20:$BS$20,0),FALSE),"")</f>
        <v/>
      </c>
      <c r="K124" s="220" t="str">
        <f>IF(足元帳!AU124="","",足元帳!CC124)</f>
        <v/>
      </c>
      <c r="L124" s="217" t="str">
        <f>IF(足元帳!AU124="","",IF(足元帳!AL124="●","カード利用",""))</f>
        <v/>
      </c>
    </row>
    <row r="125" spans="1:12">
      <c r="A125" t="str">
        <f>IF(B125="","",
    COUNTA($B$2:B125)-COUNTIFS($B$2:B125,"",$B$2:B125,"=*"))</f>
        <v/>
      </c>
      <c r="B125" s="217" t="str">
        <f>IF(足元帳!AU125="","",足元帳!C125)</f>
        <v/>
      </c>
      <c r="C125" s="217" t="str">
        <f>IFERROR(VLOOKUP(IF(足元帳!AU125="","",足元帳!BJ125),管理シート!$CA$4:$CB$23,2,FALSE),"")</f>
        <v/>
      </c>
      <c r="D125" s="217" t="str">
        <f>IF(足元帳!AU125="","",足元帳!K125)</f>
        <v/>
      </c>
      <c r="E125" s="217" t="str">
        <f>IFERROR(VLOOKUP(IF(足元帳!AU125="","",足元帳!BB125),管理シート!$R$4:$W$12,4),"")</f>
        <v/>
      </c>
      <c r="F125" s="217" t="str">
        <f t="shared" si="2"/>
        <v/>
      </c>
      <c r="G125" s="217" t="str">
        <f>IF(足元帳!AU125="","",足元帳!AU125)</f>
        <v/>
      </c>
      <c r="H125" s="217" t="str">
        <f>IF(足元帳!AV125="","",足元帳!AV125)</f>
        <v/>
      </c>
      <c r="I125" s="217" t="str">
        <f>IF(B125="","",IF(IF(足元帳!AU125="","",足元帳!BB125)=1,精算表!$C$14,IF(IF(足元帳!AU125="","",足元帳!BB125)=2,精算表!$E$14,IF(IF(足元帳!AU125="","",足元帳!BB125)=3,精算表!$G$14,IF(IF(足元帳!AU125="","",足元帳!BB125)=4,精算表!$I$14,IF(IF(足元帳!AU125="","",足元帳!BB125)=5,精算表!$K$14,))))))</f>
        <v/>
      </c>
      <c r="J125" s="217" t="str">
        <f>IFERROR(VLOOKUP(VLOOKUP(IF(足元帳!AU125="","",足元帳!BJ125),管理シート!$CA$4:$CI$13,2,FALSE),精算表!$BL$20:$BS$29,MATCH(E125&amp;"分",精算表!$BL$20:$BS$20,0),FALSE),"")</f>
        <v/>
      </c>
      <c r="K125" s="220" t="str">
        <f>IF(足元帳!AU125="","",足元帳!CC125)</f>
        <v/>
      </c>
      <c r="L125" s="217" t="str">
        <f>IF(足元帳!AU125="","",IF(足元帳!AL125="●","カード利用",""))</f>
        <v/>
      </c>
    </row>
    <row r="126" spans="1:12">
      <c r="A126" t="str">
        <f>IF(B126="","",
    COUNTA($B$2:B126)-COUNTIFS($B$2:B126,"",$B$2:B126,"=*"))</f>
        <v/>
      </c>
      <c r="B126" s="217" t="str">
        <f>IF(足元帳!AU126="","",足元帳!C126)</f>
        <v/>
      </c>
      <c r="C126" s="217" t="str">
        <f>IFERROR(VLOOKUP(IF(足元帳!AU126="","",足元帳!BJ126),管理シート!$CA$4:$CB$23,2,FALSE),"")</f>
        <v/>
      </c>
      <c r="D126" s="217" t="str">
        <f>IF(足元帳!AU126="","",足元帳!K126)</f>
        <v/>
      </c>
      <c r="E126" s="217" t="str">
        <f>IFERROR(VLOOKUP(IF(足元帳!AU126="","",足元帳!BB126),管理シート!$R$4:$W$12,4),"")</f>
        <v/>
      </c>
      <c r="F126" s="217" t="str">
        <f t="shared" si="2"/>
        <v/>
      </c>
      <c r="G126" s="217" t="str">
        <f>IF(足元帳!AU126="","",足元帳!AU126)</f>
        <v/>
      </c>
      <c r="H126" s="217" t="str">
        <f>IF(足元帳!AV126="","",足元帳!AV126)</f>
        <v/>
      </c>
      <c r="I126" s="217" t="str">
        <f>IF(B126="","",IF(IF(足元帳!AU126="","",足元帳!BB126)=1,精算表!$C$14,IF(IF(足元帳!AU126="","",足元帳!BB126)=2,精算表!$E$14,IF(IF(足元帳!AU126="","",足元帳!BB126)=3,精算表!$G$14,IF(IF(足元帳!AU126="","",足元帳!BB126)=4,精算表!$I$14,IF(IF(足元帳!AU126="","",足元帳!BB126)=5,精算表!$K$14,))))))</f>
        <v/>
      </c>
      <c r="J126" s="217" t="str">
        <f>IFERROR(VLOOKUP(VLOOKUP(IF(足元帳!AU126="","",足元帳!BJ126),管理シート!$CA$4:$CI$13,2,FALSE),精算表!$BL$20:$BS$29,MATCH(E126&amp;"分",精算表!$BL$20:$BS$20,0),FALSE),"")</f>
        <v/>
      </c>
      <c r="K126" s="220" t="str">
        <f>IF(足元帳!AU126="","",足元帳!CC126)</f>
        <v/>
      </c>
      <c r="L126" s="217" t="str">
        <f>IF(足元帳!AU126="","",IF(足元帳!AL126="●","カード利用",""))</f>
        <v/>
      </c>
    </row>
    <row r="127" spans="1:12">
      <c r="A127" t="str">
        <f>IF(B127="","",
    COUNTA($B$2:B127)-COUNTIFS($B$2:B127,"",$B$2:B127,"=*"))</f>
        <v/>
      </c>
      <c r="B127" s="217" t="str">
        <f>IF(足元帳!AU127="","",足元帳!C127)</f>
        <v/>
      </c>
      <c r="C127" s="217" t="str">
        <f>IFERROR(VLOOKUP(IF(足元帳!AU127="","",足元帳!BJ127),管理シート!$CA$4:$CB$23,2,FALSE),"")</f>
        <v/>
      </c>
      <c r="D127" s="217" t="str">
        <f>IF(足元帳!AU127="","",足元帳!K127)</f>
        <v/>
      </c>
      <c r="E127" s="217" t="str">
        <f>IFERROR(VLOOKUP(IF(足元帳!AU127="","",足元帳!BB127),管理シート!$R$4:$W$12,4),"")</f>
        <v/>
      </c>
      <c r="F127" s="217" t="str">
        <f t="shared" si="2"/>
        <v/>
      </c>
      <c r="G127" s="217" t="str">
        <f>IF(足元帳!AU127="","",足元帳!AU127)</f>
        <v/>
      </c>
      <c r="H127" s="217" t="str">
        <f>IF(足元帳!AV127="","",足元帳!AV127)</f>
        <v/>
      </c>
      <c r="I127" s="217" t="str">
        <f>IF(B127="","",IF(IF(足元帳!AU127="","",足元帳!BB127)=1,精算表!$C$14,IF(IF(足元帳!AU127="","",足元帳!BB127)=2,精算表!$E$14,IF(IF(足元帳!AU127="","",足元帳!BB127)=3,精算表!$G$14,IF(IF(足元帳!AU127="","",足元帳!BB127)=4,精算表!$I$14,IF(IF(足元帳!AU127="","",足元帳!BB127)=5,精算表!$K$14,))))))</f>
        <v/>
      </c>
      <c r="J127" s="217" t="str">
        <f>IFERROR(VLOOKUP(VLOOKUP(IF(足元帳!AU127="","",足元帳!BJ127),管理シート!$CA$4:$CI$13,2,FALSE),精算表!$BL$20:$BS$29,MATCH(E127&amp;"分",精算表!$BL$20:$BS$20,0),FALSE),"")</f>
        <v/>
      </c>
      <c r="K127" s="220" t="str">
        <f>IF(足元帳!AU127="","",足元帳!CC127)</f>
        <v/>
      </c>
      <c r="L127" s="217" t="str">
        <f>IF(足元帳!AU127="","",IF(足元帳!AL127="●","カード利用",""))</f>
        <v/>
      </c>
    </row>
    <row r="128" spans="1:12">
      <c r="A128" t="str">
        <f>IF(B128="","",
    COUNTA($B$2:B128)-COUNTIFS($B$2:B128,"",$B$2:B128,"=*"))</f>
        <v/>
      </c>
      <c r="B128" s="217" t="str">
        <f>IF(足元帳!AU128="","",足元帳!C128)</f>
        <v/>
      </c>
      <c r="C128" s="217" t="str">
        <f>IFERROR(VLOOKUP(IF(足元帳!AU128="","",足元帳!BJ128),管理シート!$CA$4:$CB$23,2,FALSE),"")</f>
        <v/>
      </c>
      <c r="D128" s="217" t="str">
        <f>IF(足元帳!AU128="","",足元帳!K128)</f>
        <v/>
      </c>
      <c r="E128" s="217" t="str">
        <f>IFERROR(VLOOKUP(IF(足元帳!AU128="","",足元帳!BB128),管理シート!$R$4:$W$12,4),"")</f>
        <v/>
      </c>
      <c r="F128" s="217" t="str">
        <f t="shared" si="2"/>
        <v/>
      </c>
      <c r="G128" s="217" t="str">
        <f>IF(足元帳!AU128="","",足元帳!AU128)</f>
        <v/>
      </c>
      <c r="H128" s="217" t="str">
        <f>IF(足元帳!AV128="","",足元帳!AV128)</f>
        <v/>
      </c>
      <c r="I128" s="217" t="str">
        <f>IF(B128="","",IF(IF(足元帳!AU128="","",足元帳!BB128)=1,精算表!$C$14,IF(IF(足元帳!AU128="","",足元帳!BB128)=2,精算表!$E$14,IF(IF(足元帳!AU128="","",足元帳!BB128)=3,精算表!$G$14,IF(IF(足元帳!AU128="","",足元帳!BB128)=4,精算表!$I$14,IF(IF(足元帳!AU128="","",足元帳!BB128)=5,精算表!$K$14,))))))</f>
        <v/>
      </c>
      <c r="J128" s="217" t="str">
        <f>IFERROR(VLOOKUP(VLOOKUP(IF(足元帳!AU128="","",足元帳!BJ128),管理シート!$CA$4:$CI$13,2,FALSE),精算表!$BL$20:$BS$29,MATCH(E128&amp;"分",精算表!$BL$20:$BS$20,0),FALSE),"")</f>
        <v/>
      </c>
      <c r="K128" s="220" t="str">
        <f>IF(足元帳!AU128="","",足元帳!CC128)</f>
        <v/>
      </c>
      <c r="L128" s="217" t="str">
        <f>IF(足元帳!AU128="","",IF(足元帳!AL128="●","カード利用",""))</f>
        <v/>
      </c>
    </row>
    <row r="129" spans="1:12">
      <c r="A129" t="str">
        <f>IF(B129="","",
    COUNTA($B$2:B129)-COUNTIFS($B$2:B129,"",$B$2:B129,"=*"))</f>
        <v/>
      </c>
      <c r="B129" s="217" t="str">
        <f>IF(足元帳!AU129="","",足元帳!C129)</f>
        <v/>
      </c>
      <c r="C129" s="217" t="str">
        <f>IFERROR(VLOOKUP(IF(足元帳!AU129="","",足元帳!BJ129),管理シート!$CA$4:$CB$23,2,FALSE),"")</f>
        <v/>
      </c>
      <c r="D129" s="217" t="str">
        <f>IF(足元帳!AU129="","",足元帳!K129)</f>
        <v/>
      </c>
      <c r="E129" s="217" t="str">
        <f>IFERROR(VLOOKUP(IF(足元帳!AU129="","",足元帳!BB129),管理シート!$R$4:$W$12,4),"")</f>
        <v/>
      </c>
      <c r="F129" s="217" t="str">
        <f t="shared" si="2"/>
        <v/>
      </c>
      <c r="G129" s="217" t="str">
        <f>IF(足元帳!AU129="","",足元帳!AU129)</f>
        <v/>
      </c>
      <c r="H129" s="217" t="str">
        <f>IF(足元帳!AV129="","",足元帳!AV129)</f>
        <v/>
      </c>
      <c r="I129" s="217" t="str">
        <f>IF(B129="","",IF(IF(足元帳!AU129="","",足元帳!BB129)=1,精算表!$C$14,IF(IF(足元帳!AU129="","",足元帳!BB129)=2,精算表!$E$14,IF(IF(足元帳!AU129="","",足元帳!BB129)=3,精算表!$G$14,IF(IF(足元帳!AU129="","",足元帳!BB129)=4,精算表!$I$14,IF(IF(足元帳!AU129="","",足元帳!BB129)=5,精算表!$K$14,))))))</f>
        <v/>
      </c>
      <c r="J129" s="217" t="str">
        <f>IFERROR(VLOOKUP(VLOOKUP(IF(足元帳!AU129="","",足元帳!BJ129),管理シート!$CA$4:$CI$13,2,FALSE),精算表!$BL$20:$BS$29,MATCH(E129&amp;"分",精算表!$BL$20:$BS$20,0),FALSE),"")</f>
        <v/>
      </c>
      <c r="K129" s="220" t="str">
        <f>IF(足元帳!AU129="","",足元帳!CC129)</f>
        <v/>
      </c>
      <c r="L129" s="217" t="str">
        <f>IF(足元帳!AU129="","",IF(足元帳!AL129="●","カード利用",""))</f>
        <v/>
      </c>
    </row>
    <row r="130" spans="1:12">
      <c r="A130" t="str">
        <f>IF(B130="","",
    COUNTA($B$2:B130)-COUNTIFS($B$2:B130,"",$B$2:B130,"=*"))</f>
        <v/>
      </c>
      <c r="B130" s="217" t="str">
        <f>IF(足元帳!AU130="","",足元帳!C130)</f>
        <v/>
      </c>
      <c r="C130" s="217" t="str">
        <f>IFERROR(VLOOKUP(IF(足元帳!AU130="","",足元帳!BJ130),管理シート!$CA$4:$CB$23,2,FALSE),"")</f>
        <v/>
      </c>
      <c r="D130" s="217" t="str">
        <f>IF(足元帳!AU130="","",足元帳!K130)</f>
        <v/>
      </c>
      <c r="E130" s="217" t="str">
        <f>IFERROR(VLOOKUP(IF(足元帳!AU130="","",足元帳!BB130),管理シート!$R$4:$W$12,4),"")</f>
        <v/>
      </c>
      <c r="F130" s="217" t="str">
        <f t="shared" si="2"/>
        <v/>
      </c>
      <c r="G130" s="217" t="str">
        <f>IF(足元帳!AU130="","",足元帳!AU130)</f>
        <v/>
      </c>
      <c r="H130" s="217" t="str">
        <f>IF(足元帳!AV130="","",足元帳!AV130)</f>
        <v/>
      </c>
      <c r="I130" s="217" t="str">
        <f>IF(B130="","",IF(IF(足元帳!AU130="","",足元帳!BB130)=1,精算表!$C$14,IF(IF(足元帳!AU130="","",足元帳!BB130)=2,精算表!$E$14,IF(IF(足元帳!AU130="","",足元帳!BB130)=3,精算表!$G$14,IF(IF(足元帳!AU130="","",足元帳!BB130)=4,精算表!$I$14,IF(IF(足元帳!AU130="","",足元帳!BB130)=5,精算表!$K$14,))))))</f>
        <v/>
      </c>
      <c r="J130" s="217" t="str">
        <f>IFERROR(VLOOKUP(VLOOKUP(IF(足元帳!AU130="","",足元帳!BJ130),管理シート!$CA$4:$CI$13,2,FALSE),精算表!$BL$20:$BS$29,MATCH(E130&amp;"分",精算表!$BL$20:$BS$20,0),FALSE),"")</f>
        <v/>
      </c>
      <c r="K130" s="220" t="str">
        <f>IF(足元帳!AU130="","",足元帳!CC130)</f>
        <v/>
      </c>
      <c r="L130" s="217" t="str">
        <f>IF(足元帳!AU130="","",IF(足元帳!AL130="●","カード利用",""))</f>
        <v/>
      </c>
    </row>
    <row r="131" spans="1:12">
      <c r="A131" t="str">
        <f>IF(B131="","",
    COUNTA($B$2:B131)-COUNTIFS($B$2:B131,"",$B$2:B131,"=*"))</f>
        <v/>
      </c>
      <c r="B131" s="217" t="str">
        <f>IF(足元帳!AU131="","",足元帳!C131)</f>
        <v/>
      </c>
      <c r="C131" s="217" t="str">
        <f>IFERROR(VLOOKUP(IF(足元帳!AU131="","",足元帳!BJ131),管理シート!$CA$4:$CB$23,2,FALSE),"")</f>
        <v/>
      </c>
      <c r="D131" s="217" t="str">
        <f>IF(足元帳!AU131="","",足元帳!K131)</f>
        <v/>
      </c>
      <c r="E131" s="217" t="str">
        <f>IFERROR(VLOOKUP(IF(足元帳!AU131="","",足元帳!BB131),管理シート!$R$4:$W$12,4),"")</f>
        <v/>
      </c>
      <c r="F131" s="217" t="str">
        <f t="shared" si="2"/>
        <v/>
      </c>
      <c r="G131" s="217" t="str">
        <f>IF(足元帳!AU131="","",足元帳!AU131)</f>
        <v/>
      </c>
      <c r="H131" s="217" t="str">
        <f>IF(足元帳!AV131="","",足元帳!AV131)</f>
        <v/>
      </c>
      <c r="I131" s="217" t="str">
        <f>IF(B131="","",IF(IF(足元帳!AU131="","",足元帳!BB131)=1,精算表!$C$14,IF(IF(足元帳!AU131="","",足元帳!BB131)=2,精算表!$E$14,IF(IF(足元帳!AU131="","",足元帳!BB131)=3,精算表!$G$14,IF(IF(足元帳!AU131="","",足元帳!BB131)=4,精算表!$I$14,IF(IF(足元帳!AU131="","",足元帳!BB131)=5,精算表!$K$14,))))))</f>
        <v/>
      </c>
      <c r="J131" s="217" t="str">
        <f>IFERROR(VLOOKUP(VLOOKUP(IF(足元帳!AU131="","",足元帳!BJ131),管理シート!$CA$4:$CI$13,2,FALSE),精算表!$BL$20:$BS$29,MATCH(E131&amp;"分",精算表!$BL$20:$BS$20,0),FALSE),"")</f>
        <v/>
      </c>
      <c r="K131" s="220" t="str">
        <f>IF(足元帳!AU131="","",足元帳!CC131)</f>
        <v/>
      </c>
      <c r="L131" s="217" t="str">
        <f>IF(足元帳!AU131="","",IF(足元帳!AL131="●","カード利用",""))</f>
        <v/>
      </c>
    </row>
    <row r="132" spans="1:12">
      <c r="A132" t="str">
        <f>IF(B132="","",
    COUNTA($B$2:B132)-COUNTIFS($B$2:B132,"",$B$2:B132,"=*"))</f>
        <v/>
      </c>
      <c r="B132" s="217" t="str">
        <f>IF(足元帳!AU132="","",足元帳!C132)</f>
        <v/>
      </c>
      <c r="C132" s="217" t="str">
        <f>IFERROR(VLOOKUP(IF(足元帳!AU132="","",足元帳!BJ132),管理シート!$CA$4:$CB$23,2,FALSE),"")</f>
        <v/>
      </c>
      <c r="D132" s="217" t="str">
        <f>IF(足元帳!AU132="","",足元帳!K132)</f>
        <v/>
      </c>
      <c r="E132" s="217" t="str">
        <f>IFERROR(VLOOKUP(IF(足元帳!AU132="","",足元帳!BB132),管理シート!$R$4:$W$12,4),"")</f>
        <v/>
      </c>
      <c r="F132" s="217" t="str">
        <f t="shared" si="2"/>
        <v/>
      </c>
      <c r="G132" s="217" t="str">
        <f>IF(足元帳!AU132="","",足元帳!AU132)</f>
        <v/>
      </c>
      <c r="H132" s="217" t="str">
        <f>IF(足元帳!AV132="","",足元帳!AV132)</f>
        <v/>
      </c>
      <c r="I132" s="217" t="str">
        <f>IF(B132="","",IF(IF(足元帳!AU132="","",足元帳!BB132)=1,精算表!$C$14,IF(IF(足元帳!AU132="","",足元帳!BB132)=2,精算表!$E$14,IF(IF(足元帳!AU132="","",足元帳!BB132)=3,精算表!$G$14,IF(IF(足元帳!AU132="","",足元帳!BB132)=4,精算表!$I$14,IF(IF(足元帳!AU132="","",足元帳!BB132)=5,精算表!$K$14,))))))</f>
        <v/>
      </c>
      <c r="J132" s="217" t="str">
        <f>IFERROR(VLOOKUP(VLOOKUP(IF(足元帳!AU132="","",足元帳!BJ132),管理シート!$CA$4:$CI$13,2,FALSE),精算表!$BL$20:$BS$29,MATCH(E132&amp;"分",精算表!$BL$20:$BS$20,0),FALSE),"")</f>
        <v/>
      </c>
      <c r="K132" s="220" t="str">
        <f>IF(足元帳!AU132="","",足元帳!CC132)</f>
        <v/>
      </c>
      <c r="L132" s="217" t="str">
        <f>IF(足元帳!AU132="","",IF(足元帳!AL132="●","カード利用",""))</f>
        <v/>
      </c>
    </row>
    <row r="133" spans="1:12">
      <c r="A133" t="str">
        <f>IF(B133="","",
    COUNTA($B$2:B133)-COUNTIFS($B$2:B133,"",$B$2:B133,"=*"))</f>
        <v/>
      </c>
      <c r="B133" s="217" t="str">
        <f>IF(足元帳!AU133="","",足元帳!C133)</f>
        <v/>
      </c>
      <c r="C133" s="217" t="str">
        <f>IFERROR(VLOOKUP(IF(足元帳!AU133="","",足元帳!BJ133),管理シート!$CA$4:$CB$23,2,FALSE),"")</f>
        <v/>
      </c>
      <c r="D133" s="217" t="str">
        <f>IF(足元帳!AU133="","",足元帳!K133)</f>
        <v/>
      </c>
      <c r="E133" s="217" t="str">
        <f>IFERROR(VLOOKUP(IF(足元帳!AU133="","",足元帳!BB133),管理シート!$R$4:$W$12,4),"")</f>
        <v/>
      </c>
      <c r="F133" s="217" t="str">
        <f t="shared" si="2"/>
        <v/>
      </c>
      <c r="G133" s="217" t="str">
        <f>IF(足元帳!AU133="","",足元帳!AU133)</f>
        <v/>
      </c>
      <c r="H133" s="217" t="str">
        <f>IF(足元帳!AV133="","",足元帳!AV133)</f>
        <v/>
      </c>
      <c r="I133" s="217" t="str">
        <f>IF(B133="","",IF(IF(足元帳!AU133="","",足元帳!BB133)=1,精算表!$C$14,IF(IF(足元帳!AU133="","",足元帳!BB133)=2,精算表!$E$14,IF(IF(足元帳!AU133="","",足元帳!BB133)=3,精算表!$G$14,IF(IF(足元帳!AU133="","",足元帳!BB133)=4,精算表!$I$14,IF(IF(足元帳!AU133="","",足元帳!BB133)=5,精算表!$K$14,))))))</f>
        <v/>
      </c>
      <c r="J133" s="217" t="str">
        <f>IFERROR(VLOOKUP(VLOOKUP(IF(足元帳!AU133="","",足元帳!BJ133),管理シート!$CA$4:$CI$13,2,FALSE),精算表!$BL$20:$BS$29,MATCH(E133&amp;"分",精算表!$BL$20:$BS$20,0),FALSE),"")</f>
        <v/>
      </c>
      <c r="K133" s="220" t="str">
        <f>IF(足元帳!AU133="","",足元帳!CC133)</f>
        <v/>
      </c>
      <c r="L133" s="217" t="str">
        <f>IF(足元帳!AU133="","",IF(足元帳!AL133="●","カード利用",""))</f>
        <v/>
      </c>
    </row>
    <row r="134" spans="1:12">
      <c r="A134" t="str">
        <f>IF(B134="","",
    COUNTA($B$2:B134)-COUNTIFS($B$2:B134,"",$B$2:B134,"=*"))</f>
        <v/>
      </c>
      <c r="B134" s="217" t="str">
        <f>IF(足元帳!AU134="","",足元帳!C134)</f>
        <v/>
      </c>
      <c r="C134" s="217" t="str">
        <f>IFERROR(VLOOKUP(IF(足元帳!AU134="","",足元帳!BJ134),管理シート!$CA$4:$CB$23,2,FALSE),"")</f>
        <v/>
      </c>
      <c r="D134" s="217" t="str">
        <f>IF(足元帳!AU134="","",足元帳!K134)</f>
        <v/>
      </c>
      <c r="E134" s="217" t="str">
        <f>IFERROR(VLOOKUP(IF(足元帳!AU134="","",足元帳!BB134),管理シート!$R$4:$W$12,4),"")</f>
        <v/>
      </c>
      <c r="F134" s="217" t="str">
        <f t="shared" si="2"/>
        <v/>
      </c>
      <c r="G134" s="217" t="str">
        <f>IF(足元帳!AU134="","",足元帳!AU134)</f>
        <v/>
      </c>
      <c r="H134" s="217" t="str">
        <f>IF(足元帳!AV134="","",足元帳!AV134)</f>
        <v/>
      </c>
      <c r="I134" s="217" t="str">
        <f>IF(B134="","",IF(IF(足元帳!AU134="","",足元帳!BB134)=1,精算表!$C$14,IF(IF(足元帳!AU134="","",足元帳!BB134)=2,精算表!$E$14,IF(IF(足元帳!AU134="","",足元帳!BB134)=3,精算表!$G$14,IF(IF(足元帳!AU134="","",足元帳!BB134)=4,精算表!$I$14,IF(IF(足元帳!AU134="","",足元帳!BB134)=5,精算表!$K$14,))))))</f>
        <v/>
      </c>
      <c r="J134" s="217" t="str">
        <f>IFERROR(VLOOKUP(VLOOKUP(IF(足元帳!AU134="","",足元帳!BJ134),管理シート!$CA$4:$CI$13,2,FALSE),精算表!$BL$20:$BS$29,MATCH(E134&amp;"分",精算表!$BL$20:$BS$20,0),FALSE),"")</f>
        <v/>
      </c>
      <c r="K134" s="220" t="str">
        <f>IF(足元帳!AU134="","",足元帳!CC134)</f>
        <v/>
      </c>
      <c r="L134" s="217" t="str">
        <f>IF(足元帳!AU134="","",IF(足元帳!AL134="●","カード利用",""))</f>
        <v/>
      </c>
    </row>
    <row r="135" spans="1:12">
      <c r="A135" t="str">
        <f>IF(B135="","",
    COUNTA($B$2:B135)-COUNTIFS($B$2:B135,"",$B$2:B135,"=*"))</f>
        <v/>
      </c>
      <c r="B135" s="217" t="str">
        <f>IF(足元帳!AU135="","",足元帳!C135)</f>
        <v/>
      </c>
      <c r="C135" s="217" t="str">
        <f>IFERROR(VLOOKUP(IF(足元帳!AU135="","",足元帳!BJ135),管理シート!$CA$4:$CB$23,2,FALSE),"")</f>
        <v/>
      </c>
      <c r="D135" s="217" t="str">
        <f>IF(足元帳!AU135="","",足元帳!K135)</f>
        <v/>
      </c>
      <c r="E135" s="217" t="str">
        <f>IFERROR(VLOOKUP(IF(足元帳!AU135="","",足元帳!BB135),管理シート!$R$4:$W$12,4),"")</f>
        <v/>
      </c>
      <c r="F135" s="217" t="str">
        <f t="shared" si="2"/>
        <v/>
      </c>
      <c r="G135" s="217" t="str">
        <f>IF(足元帳!AU135="","",足元帳!AU135)</f>
        <v/>
      </c>
      <c r="H135" s="217" t="str">
        <f>IF(足元帳!AV135="","",足元帳!AV135)</f>
        <v/>
      </c>
      <c r="I135" s="217" t="str">
        <f>IF(B135="","",IF(IF(足元帳!AU135="","",足元帳!BB135)=1,精算表!$C$14,IF(IF(足元帳!AU135="","",足元帳!BB135)=2,精算表!$E$14,IF(IF(足元帳!AU135="","",足元帳!BB135)=3,精算表!$G$14,IF(IF(足元帳!AU135="","",足元帳!BB135)=4,精算表!$I$14,IF(IF(足元帳!AU135="","",足元帳!BB135)=5,精算表!$K$14,))))))</f>
        <v/>
      </c>
      <c r="J135" s="217" t="str">
        <f>IFERROR(VLOOKUP(VLOOKUP(IF(足元帳!AU135="","",足元帳!BJ135),管理シート!$CA$4:$CI$13,2,FALSE),精算表!$BL$20:$BS$29,MATCH(E135&amp;"分",精算表!$BL$20:$BS$20,0),FALSE),"")</f>
        <v/>
      </c>
      <c r="K135" s="220" t="str">
        <f>IF(足元帳!AU135="","",足元帳!CC135)</f>
        <v/>
      </c>
      <c r="L135" s="217" t="str">
        <f>IF(足元帳!AU135="","",IF(足元帳!AL135="●","カード利用",""))</f>
        <v/>
      </c>
    </row>
    <row r="136" spans="1:12">
      <c r="A136" t="str">
        <f>IF(B136="","",
    COUNTA($B$2:B136)-COUNTIFS($B$2:B136,"",$B$2:B136,"=*"))</f>
        <v/>
      </c>
      <c r="B136" s="217" t="str">
        <f>IF(足元帳!AU136="","",足元帳!C136)</f>
        <v/>
      </c>
      <c r="C136" s="217" t="str">
        <f>IFERROR(VLOOKUP(IF(足元帳!AU136="","",足元帳!BJ136),管理シート!$CA$4:$CB$23,2,FALSE),"")</f>
        <v/>
      </c>
      <c r="D136" s="217" t="str">
        <f>IF(足元帳!AU136="","",足元帳!K136)</f>
        <v/>
      </c>
      <c r="E136" s="217" t="str">
        <f>IFERROR(VLOOKUP(IF(足元帳!AU136="","",足元帳!BB136),管理シート!$R$4:$W$12,4),"")</f>
        <v/>
      </c>
      <c r="F136" s="217" t="str">
        <f t="shared" si="2"/>
        <v/>
      </c>
      <c r="G136" s="217" t="str">
        <f>IF(足元帳!AU136="","",足元帳!AU136)</f>
        <v/>
      </c>
      <c r="H136" s="217" t="str">
        <f>IF(足元帳!AV136="","",足元帳!AV136)</f>
        <v/>
      </c>
      <c r="I136" s="217" t="str">
        <f>IF(B136="","",IF(IF(足元帳!AU136="","",足元帳!BB136)=1,精算表!$C$14,IF(IF(足元帳!AU136="","",足元帳!BB136)=2,精算表!$E$14,IF(IF(足元帳!AU136="","",足元帳!BB136)=3,精算表!$G$14,IF(IF(足元帳!AU136="","",足元帳!BB136)=4,精算表!$I$14,IF(IF(足元帳!AU136="","",足元帳!BB136)=5,精算表!$K$14,))))))</f>
        <v/>
      </c>
      <c r="J136" s="217" t="str">
        <f>IFERROR(VLOOKUP(VLOOKUP(IF(足元帳!AU136="","",足元帳!BJ136),管理シート!$CA$4:$CI$13,2,FALSE),精算表!$BL$20:$BS$29,MATCH(E136&amp;"分",精算表!$BL$20:$BS$20,0),FALSE),"")</f>
        <v/>
      </c>
      <c r="K136" s="220" t="str">
        <f>IF(足元帳!AU136="","",足元帳!CC136)</f>
        <v/>
      </c>
      <c r="L136" s="217" t="str">
        <f>IF(足元帳!AU136="","",IF(足元帳!AL136="●","カード利用",""))</f>
        <v/>
      </c>
    </row>
    <row r="137" spans="1:12">
      <c r="A137" t="str">
        <f>IF(B137="","",
    COUNTA($B$2:B137)-COUNTIFS($B$2:B137,"",$B$2:B137,"=*"))</f>
        <v/>
      </c>
      <c r="B137" s="217" t="str">
        <f>IF(足元帳!AU137="","",足元帳!C137)</f>
        <v/>
      </c>
      <c r="C137" s="217" t="str">
        <f>IFERROR(VLOOKUP(IF(足元帳!AU137="","",足元帳!BJ137),管理シート!$CA$4:$CB$23,2,FALSE),"")</f>
        <v/>
      </c>
      <c r="D137" s="217" t="str">
        <f>IF(足元帳!AU137="","",足元帳!K137)</f>
        <v/>
      </c>
      <c r="E137" s="217" t="str">
        <f>IFERROR(VLOOKUP(IF(足元帳!AU137="","",足元帳!BB137),管理シート!$R$4:$W$12,4),"")</f>
        <v/>
      </c>
      <c r="F137" s="217" t="str">
        <f t="shared" si="2"/>
        <v/>
      </c>
      <c r="G137" s="217" t="str">
        <f>IF(足元帳!AU137="","",足元帳!AU137)</f>
        <v/>
      </c>
      <c r="H137" s="217" t="str">
        <f>IF(足元帳!AV137="","",足元帳!AV137)</f>
        <v/>
      </c>
      <c r="I137" s="217" t="str">
        <f>IF(B137="","",IF(IF(足元帳!AU137="","",足元帳!BB137)=1,精算表!$C$14,IF(IF(足元帳!AU137="","",足元帳!BB137)=2,精算表!$E$14,IF(IF(足元帳!AU137="","",足元帳!BB137)=3,精算表!$G$14,IF(IF(足元帳!AU137="","",足元帳!BB137)=4,精算表!$I$14,IF(IF(足元帳!AU137="","",足元帳!BB137)=5,精算表!$K$14,))))))</f>
        <v/>
      </c>
      <c r="J137" s="217" t="str">
        <f>IFERROR(VLOOKUP(VLOOKUP(IF(足元帳!AU137="","",足元帳!BJ137),管理シート!$CA$4:$CI$13,2,FALSE),精算表!$BL$20:$BS$29,MATCH(E137&amp;"分",精算表!$BL$20:$BS$20,0),FALSE),"")</f>
        <v/>
      </c>
      <c r="K137" s="220" t="str">
        <f>IF(足元帳!AU137="","",足元帳!CC137)</f>
        <v/>
      </c>
      <c r="L137" s="217" t="str">
        <f>IF(足元帳!AU137="","",IF(足元帳!AL137="●","カード利用",""))</f>
        <v/>
      </c>
    </row>
    <row r="138" spans="1:12">
      <c r="A138" t="str">
        <f>IF(B138="","",
    COUNTA($B$2:B138)-COUNTIFS($B$2:B138,"",$B$2:B138,"=*"))</f>
        <v/>
      </c>
      <c r="B138" s="217" t="str">
        <f>IF(足元帳!AU138="","",足元帳!C138)</f>
        <v/>
      </c>
      <c r="C138" s="217" t="str">
        <f>IFERROR(VLOOKUP(IF(足元帳!AU138="","",足元帳!BJ138),管理シート!$CA$4:$CB$23,2,FALSE),"")</f>
        <v/>
      </c>
      <c r="D138" s="217" t="str">
        <f>IF(足元帳!AU138="","",足元帳!K138)</f>
        <v/>
      </c>
      <c r="E138" s="217" t="str">
        <f>IFERROR(VLOOKUP(IF(足元帳!AU138="","",足元帳!BB138),管理シート!$R$4:$W$12,4),"")</f>
        <v/>
      </c>
      <c r="F138" s="217" t="str">
        <f t="shared" si="2"/>
        <v/>
      </c>
      <c r="G138" s="217" t="str">
        <f>IF(足元帳!AU138="","",足元帳!AU138)</f>
        <v/>
      </c>
      <c r="H138" s="217" t="str">
        <f>IF(足元帳!AV138="","",足元帳!AV138)</f>
        <v/>
      </c>
      <c r="I138" s="217" t="str">
        <f>IF(B138="","",IF(IF(足元帳!AU138="","",足元帳!BB138)=1,精算表!$C$14,IF(IF(足元帳!AU138="","",足元帳!BB138)=2,精算表!$E$14,IF(IF(足元帳!AU138="","",足元帳!BB138)=3,精算表!$G$14,IF(IF(足元帳!AU138="","",足元帳!BB138)=4,精算表!$I$14,IF(IF(足元帳!AU138="","",足元帳!BB138)=5,精算表!$K$14,))))))</f>
        <v/>
      </c>
      <c r="J138" s="217" t="str">
        <f>IFERROR(VLOOKUP(VLOOKUP(IF(足元帳!AU138="","",足元帳!BJ138),管理シート!$CA$4:$CI$13,2,FALSE),精算表!$BL$20:$BS$29,MATCH(E138&amp;"分",精算表!$BL$20:$BS$20,0),FALSE),"")</f>
        <v/>
      </c>
      <c r="K138" s="220" t="str">
        <f>IF(足元帳!AU138="","",足元帳!CC138)</f>
        <v/>
      </c>
      <c r="L138" s="217" t="str">
        <f>IF(足元帳!AU138="","",IF(足元帳!AL138="●","カード利用",""))</f>
        <v/>
      </c>
    </row>
    <row r="139" spans="1:12">
      <c r="A139" t="str">
        <f>IF(B139="","",
    COUNTA($B$2:B139)-COUNTIFS($B$2:B139,"",$B$2:B139,"=*"))</f>
        <v/>
      </c>
      <c r="B139" s="217" t="str">
        <f>IF(足元帳!AU139="","",足元帳!C139)</f>
        <v/>
      </c>
      <c r="C139" s="217" t="str">
        <f>IFERROR(VLOOKUP(IF(足元帳!AU139="","",足元帳!BJ139),管理シート!$CA$4:$CB$23,2,FALSE),"")</f>
        <v/>
      </c>
      <c r="D139" s="217" t="str">
        <f>IF(足元帳!AU139="","",足元帳!K139)</f>
        <v/>
      </c>
      <c r="E139" s="217" t="str">
        <f>IFERROR(VLOOKUP(IF(足元帳!AU139="","",足元帳!BB139),管理シート!$R$4:$W$12,4),"")</f>
        <v/>
      </c>
      <c r="F139" s="217" t="str">
        <f t="shared" si="2"/>
        <v/>
      </c>
      <c r="G139" s="217" t="str">
        <f>IF(足元帳!AU139="","",足元帳!AU139)</f>
        <v/>
      </c>
      <c r="H139" s="217" t="str">
        <f>IF(足元帳!AV139="","",足元帳!AV139)</f>
        <v/>
      </c>
      <c r="I139" s="217" t="str">
        <f>IF(B139="","",IF(IF(足元帳!AU139="","",足元帳!BB139)=1,精算表!$C$14,IF(IF(足元帳!AU139="","",足元帳!BB139)=2,精算表!$E$14,IF(IF(足元帳!AU139="","",足元帳!BB139)=3,精算表!$G$14,IF(IF(足元帳!AU139="","",足元帳!BB139)=4,精算表!$I$14,IF(IF(足元帳!AU139="","",足元帳!BB139)=5,精算表!$K$14,))))))</f>
        <v/>
      </c>
      <c r="J139" s="217" t="str">
        <f>IFERROR(VLOOKUP(VLOOKUP(IF(足元帳!AU139="","",足元帳!BJ139),管理シート!$CA$4:$CI$13,2,FALSE),精算表!$BL$20:$BS$29,MATCH(E139&amp;"分",精算表!$BL$20:$BS$20,0),FALSE),"")</f>
        <v/>
      </c>
      <c r="K139" s="220" t="str">
        <f>IF(足元帳!AU139="","",足元帳!CC139)</f>
        <v/>
      </c>
      <c r="L139" s="217" t="str">
        <f>IF(足元帳!AU139="","",IF(足元帳!AL139="●","カード利用",""))</f>
        <v/>
      </c>
    </row>
    <row r="140" spans="1:12">
      <c r="A140" t="str">
        <f>IF(B140="","",
    COUNTA($B$2:B140)-COUNTIFS($B$2:B140,"",$B$2:B140,"=*"))</f>
        <v/>
      </c>
      <c r="B140" s="217" t="str">
        <f>IF(足元帳!AU140="","",足元帳!C140)</f>
        <v/>
      </c>
      <c r="C140" s="217" t="str">
        <f>IFERROR(VLOOKUP(IF(足元帳!AU140="","",足元帳!BJ140),管理シート!$CA$4:$CB$23,2,FALSE),"")</f>
        <v/>
      </c>
      <c r="D140" s="217" t="str">
        <f>IF(足元帳!AU140="","",足元帳!K140)</f>
        <v/>
      </c>
      <c r="E140" s="217" t="str">
        <f>IFERROR(VLOOKUP(IF(足元帳!AU140="","",足元帳!BB140),管理シート!$R$4:$W$12,4),"")</f>
        <v/>
      </c>
      <c r="F140" s="217" t="str">
        <f t="shared" si="2"/>
        <v/>
      </c>
      <c r="G140" s="217" t="str">
        <f>IF(足元帳!AU140="","",足元帳!AU140)</f>
        <v/>
      </c>
      <c r="H140" s="217" t="str">
        <f>IF(足元帳!AV140="","",足元帳!AV140)</f>
        <v/>
      </c>
      <c r="I140" s="217" t="str">
        <f>IF(B140="","",IF(IF(足元帳!AU140="","",足元帳!BB140)=1,精算表!$C$14,IF(IF(足元帳!AU140="","",足元帳!BB140)=2,精算表!$E$14,IF(IF(足元帳!AU140="","",足元帳!BB140)=3,精算表!$G$14,IF(IF(足元帳!AU140="","",足元帳!BB140)=4,精算表!$I$14,IF(IF(足元帳!AU140="","",足元帳!BB140)=5,精算表!$K$14,))))))</f>
        <v/>
      </c>
      <c r="J140" s="217" t="str">
        <f>IFERROR(VLOOKUP(VLOOKUP(IF(足元帳!AU140="","",足元帳!BJ140),管理シート!$CA$4:$CI$13,2,FALSE),精算表!$BL$20:$BS$29,MATCH(E140&amp;"分",精算表!$BL$20:$BS$20,0),FALSE),"")</f>
        <v/>
      </c>
      <c r="K140" s="220" t="str">
        <f>IF(足元帳!AU140="","",足元帳!CC140)</f>
        <v/>
      </c>
      <c r="L140" s="217" t="str">
        <f>IF(足元帳!AU140="","",IF(足元帳!AL140="●","カード利用",""))</f>
        <v/>
      </c>
    </row>
    <row r="141" spans="1:12">
      <c r="A141" t="str">
        <f>IF(B141="","",
    COUNTA($B$2:B141)-COUNTIFS($B$2:B141,"",$B$2:B141,"=*"))</f>
        <v/>
      </c>
      <c r="B141" s="217" t="str">
        <f>IF(足元帳!AU141="","",足元帳!C141)</f>
        <v/>
      </c>
      <c r="C141" s="217" t="str">
        <f>IFERROR(VLOOKUP(IF(足元帳!AU141="","",足元帳!BJ141),管理シート!$CA$4:$CB$23,2,FALSE),"")</f>
        <v/>
      </c>
      <c r="D141" s="217" t="str">
        <f>IF(足元帳!AU141="","",足元帳!K141)</f>
        <v/>
      </c>
      <c r="E141" s="217" t="str">
        <f>IFERROR(VLOOKUP(IF(足元帳!AU141="","",足元帳!BB141),管理シート!$R$4:$W$12,4),"")</f>
        <v/>
      </c>
      <c r="F141" s="217" t="str">
        <f t="shared" si="2"/>
        <v/>
      </c>
      <c r="G141" s="217" t="str">
        <f>IF(足元帳!AU141="","",足元帳!AU141)</f>
        <v/>
      </c>
      <c r="H141" s="217" t="str">
        <f>IF(足元帳!AV141="","",足元帳!AV141)</f>
        <v/>
      </c>
      <c r="I141" s="217" t="str">
        <f>IF(B141="","",IF(IF(足元帳!AU141="","",足元帳!BB141)=1,精算表!$C$14,IF(IF(足元帳!AU141="","",足元帳!BB141)=2,精算表!$E$14,IF(IF(足元帳!AU141="","",足元帳!BB141)=3,精算表!$G$14,IF(IF(足元帳!AU141="","",足元帳!BB141)=4,精算表!$I$14,IF(IF(足元帳!AU141="","",足元帳!BB141)=5,精算表!$K$14,))))))</f>
        <v/>
      </c>
      <c r="J141" s="217" t="str">
        <f>IFERROR(VLOOKUP(VLOOKUP(IF(足元帳!AU141="","",足元帳!BJ141),管理シート!$CA$4:$CI$13,2,FALSE),精算表!$BL$20:$BS$29,MATCH(E141&amp;"分",精算表!$BL$20:$BS$20,0),FALSE),"")</f>
        <v/>
      </c>
      <c r="K141" s="220" t="str">
        <f>IF(足元帳!AU141="","",足元帳!CC141)</f>
        <v/>
      </c>
      <c r="L141" s="217" t="str">
        <f>IF(足元帳!AU141="","",IF(足元帳!AL141="●","カード利用",""))</f>
        <v/>
      </c>
    </row>
    <row r="142" spans="1:12">
      <c r="A142" t="str">
        <f>IF(B142="","",
    COUNTA($B$2:B142)-COUNTIFS($B$2:B142,"",$B$2:B142,"=*"))</f>
        <v/>
      </c>
      <c r="B142" s="217" t="str">
        <f>IF(足元帳!AU142="","",足元帳!C142)</f>
        <v/>
      </c>
      <c r="C142" s="217" t="str">
        <f>IFERROR(VLOOKUP(IF(足元帳!AU142="","",足元帳!BJ142),管理シート!$CA$4:$CB$23,2,FALSE),"")</f>
        <v/>
      </c>
      <c r="D142" s="217" t="str">
        <f>IF(足元帳!AU142="","",足元帳!K142)</f>
        <v/>
      </c>
      <c r="E142" s="217" t="str">
        <f>IFERROR(VLOOKUP(IF(足元帳!AU142="","",足元帳!BB142),管理シート!$R$4:$W$12,4),"")</f>
        <v/>
      </c>
      <c r="F142" s="217" t="str">
        <f t="shared" si="2"/>
        <v/>
      </c>
      <c r="G142" s="217" t="str">
        <f>IF(足元帳!AU142="","",足元帳!AU142)</f>
        <v/>
      </c>
      <c r="H142" s="217" t="str">
        <f>IF(足元帳!AV142="","",足元帳!AV142)</f>
        <v/>
      </c>
      <c r="I142" s="217" t="str">
        <f>IF(B142="","",IF(IF(足元帳!AU142="","",足元帳!BB142)=1,精算表!$C$14,IF(IF(足元帳!AU142="","",足元帳!BB142)=2,精算表!$E$14,IF(IF(足元帳!AU142="","",足元帳!BB142)=3,精算表!$G$14,IF(IF(足元帳!AU142="","",足元帳!BB142)=4,精算表!$I$14,IF(IF(足元帳!AU142="","",足元帳!BB142)=5,精算表!$K$14,))))))</f>
        <v/>
      </c>
      <c r="J142" s="217" t="str">
        <f>IFERROR(VLOOKUP(VLOOKUP(IF(足元帳!AU142="","",足元帳!BJ142),管理シート!$CA$4:$CI$13,2,FALSE),精算表!$BL$20:$BS$29,MATCH(E142&amp;"分",精算表!$BL$20:$BS$20,0),FALSE),"")</f>
        <v/>
      </c>
      <c r="K142" s="220" t="str">
        <f>IF(足元帳!AU142="","",足元帳!CC142)</f>
        <v/>
      </c>
      <c r="L142" s="217" t="str">
        <f>IF(足元帳!AU142="","",IF(足元帳!AL142="●","カード利用",""))</f>
        <v/>
      </c>
    </row>
    <row r="143" spans="1:12">
      <c r="A143" t="str">
        <f>IF(B143="","",
    COUNTA($B$2:B143)-COUNTIFS($B$2:B143,"",$B$2:B143,"=*"))</f>
        <v/>
      </c>
      <c r="B143" s="217" t="str">
        <f>IF(足元帳!AU143="","",足元帳!C143)</f>
        <v/>
      </c>
      <c r="C143" s="217" t="str">
        <f>IFERROR(VLOOKUP(IF(足元帳!AU143="","",足元帳!BJ143),管理シート!$CA$4:$CB$23,2,FALSE),"")</f>
        <v/>
      </c>
      <c r="D143" s="217" t="str">
        <f>IF(足元帳!AU143="","",足元帳!K143)</f>
        <v/>
      </c>
      <c r="E143" s="217" t="str">
        <f>IFERROR(VLOOKUP(IF(足元帳!AU143="","",足元帳!BB143),管理シート!$R$4:$W$12,4),"")</f>
        <v/>
      </c>
      <c r="F143" s="217" t="str">
        <f t="shared" si="2"/>
        <v/>
      </c>
      <c r="G143" s="217" t="str">
        <f>IF(足元帳!AU143="","",足元帳!AU143)</f>
        <v/>
      </c>
      <c r="H143" s="217" t="str">
        <f>IF(足元帳!AV143="","",足元帳!AV143)</f>
        <v/>
      </c>
      <c r="I143" s="217" t="str">
        <f>IF(B143="","",IF(IF(足元帳!AU143="","",足元帳!BB143)=1,精算表!$C$14,IF(IF(足元帳!AU143="","",足元帳!BB143)=2,精算表!$E$14,IF(IF(足元帳!AU143="","",足元帳!BB143)=3,精算表!$G$14,IF(IF(足元帳!AU143="","",足元帳!BB143)=4,精算表!$I$14,IF(IF(足元帳!AU143="","",足元帳!BB143)=5,精算表!$K$14,))))))</f>
        <v/>
      </c>
      <c r="J143" s="217" t="str">
        <f>IFERROR(VLOOKUP(VLOOKUP(IF(足元帳!AU143="","",足元帳!BJ143),管理シート!$CA$4:$CI$13,2,FALSE),精算表!$BL$20:$BS$29,MATCH(E143&amp;"分",精算表!$BL$20:$BS$20,0),FALSE),"")</f>
        <v/>
      </c>
      <c r="K143" s="220" t="str">
        <f>IF(足元帳!AU143="","",足元帳!CC143)</f>
        <v/>
      </c>
      <c r="L143" s="217" t="str">
        <f>IF(足元帳!AU143="","",IF(足元帳!AL143="●","カード利用",""))</f>
        <v/>
      </c>
    </row>
    <row r="144" spans="1:12">
      <c r="A144" t="str">
        <f>IF(B144="","",
    COUNTA($B$2:B144)-COUNTIFS($B$2:B144,"",$B$2:B144,"=*"))</f>
        <v/>
      </c>
      <c r="B144" s="217" t="str">
        <f>IF(足元帳!AU144="","",足元帳!C144)</f>
        <v/>
      </c>
      <c r="C144" s="217" t="str">
        <f>IFERROR(VLOOKUP(IF(足元帳!AU144="","",足元帳!BJ144),管理シート!$CA$4:$CB$23,2,FALSE),"")</f>
        <v/>
      </c>
      <c r="D144" s="217" t="str">
        <f>IF(足元帳!AU144="","",足元帳!K144)</f>
        <v/>
      </c>
      <c r="E144" s="217" t="str">
        <f>IFERROR(VLOOKUP(IF(足元帳!AU144="","",足元帳!BB144),管理シート!$R$4:$W$12,4),"")</f>
        <v/>
      </c>
      <c r="F144" s="217" t="str">
        <f t="shared" si="2"/>
        <v/>
      </c>
      <c r="G144" s="217" t="str">
        <f>IF(足元帳!AU144="","",足元帳!AU144)</f>
        <v/>
      </c>
      <c r="H144" s="217" t="str">
        <f>IF(足元帳!AV144="","",足元帳!AV144)</f>
        <v/>
      </c>
      <c r="I144" s="217" t="str">
        <f>IF(B144="","",IF(IF(足元帳!AU144="","",足元帳!BB144)=1,精算表!$C$14,IF(IF(足元帳!AU144="","",足元帳!BB144)=2,精算表!$E$14,IF(IF(足元帳!AU144="","",足元帳!BB144)=3,精算表!$G$14,IF(IF(足元帳!AU144="","",足元帳!BB144)=4,精算表!$I$14,IF(IF(足元帳!AU144="","",足元帳!BB144)=5,精算表!$K$14,))))))</f>
        <v/>
      </c>
      <c r="J144" s="217" t="str">
        <f>IFERROR(VLOOKUP(VLOOKUP(IF(足元帳!AU144="","",足元帳!BJ144),管理シート!$CA$4:$CI$13,2,FALSE),精算表!$BL$20:$BS$29,MATCH(E144&amp;"分",精算表!$BL$20:$BS$20,0),FALSE),"")</f>
        <v/>
      </c>
      <c r="K144" s="220" t="str">
        <f>IF(足元帳!AU144="","",足元帳!CC144)</f>
        <v/>
      </c>
      <c r="L144" s="217" t="str">
        <f>IF(足元帳!AU144="","",IF(足元帳!AL144="●","カード利用",""))</f>
        <v/>
      </c>
    </row>
    <row r="145" spans="1:12">
      <c r="A145" t="str">
        <f>IF(B145="","",
    COUNTA($B$2:B145)-COUNTIFS($B$2:B145,"",$B$2:B145,"=*"))</f>
        <v/>
      </c>
      <c r="B145" s="217" t="str">
        <f>IF(足元帳!AU145="","",足元帳!C145)</f>
        <v/>
      </c>
      <c r="C145" s="217" t="str">
        <f>IFERROR(VLOOKUP(IF(足元帳!AU145="","",足元帳!BJ145),管理シート!$CA$4:$CB$23,2,FALSE),"")</f>
        <v/>
      </c>
      <c r="D145" s="217" t="str">
        <f>IF(足元帳!AU145="","",足元帳!K145)</f>
        <v/>
      </c>
      <c r="E145" s="217" t="str">
        <f>IFERROR(VLOOKUP(IF(足元帳!AU145="","",足元帳!BB145),管理シート!$R$4:$W$12,4),"")</f>
        <v/>
      </c>
      <c r="F145" s="217" t="str">
        <f t="shared" si="2"/>
        <v/>
      </c>
      <c r="G145" s="217" t="str">
        <f>IF(足元帳!AU145="","",足元帳!AU145)</f>
        <v/>
      </c>
      <c r="H145" s="217" t="str">
        <f>IF(足元帳!AV145="","",足元帳!AV145)</f>
        <v/>
      </c>
      <c r="I145" s="217" t="str">
        <f>IF(B145="","",IF(IF(足元帳!AU145="","",足元帳!BB145)=1,精算表!$C$14,IF(IF(足元帳!AU145="","",足元帳!BB145)=2,精算表!$E$14,IF(IF(足元帳!AU145="","",足元帳!BB145)=3,精算表!$G$14,IF(IF(足元帳!AU145="","",足元帳!BB145)=4,精算表!$I$14,IF(IF(足元帳!AU145="","",足元帳!BB145)=5,精算表!$K$14,))))))</f>
        <v/>
      </c>
      <c r="J145" s="217" t="str">
        <f>IFERROR(VLOOKUP(VLOOKUP(IF(足元帳!AU145="","",足元帳!BJ145),管理シート!$CA$4:$CI$13,2,FALSE),精算表!$BL$20:$BS$29,MATCH(E145&amp;"分",精算表!$BL$20:$BS$20,0),FALSE),"")</f>
        <v/>
      </c>
      <c r="K145" s="220" t="str">
        <f>IF(足元帳!AU145="","",足元帳!CC145)</f>
        <v/>
      </c>
      <c r="L145" s="217" t="str">
        <f>IF(足元帳!AU145="","",IF(足元帳!AL145="●","カード利用",""))</f>
        <v/>
      </c>
    </row>
    <row r="146" spans="1:12">
      <c r="A146" t="str">
        <f>IF(B146="","",
    COUNTA($B$2:B146)-COUNTIFS($B$2:B146,"",$B$2:B146,"=*"))</f>
        <v/>
      </c>
      <c r="B146" s="217" t="str">
        <f>IF(足元帳!AU146="","",足元帳!C146)</f>
        <v/>
      </c>
      <c r="C146" s="217" t="str">
        <f>IFERROR(VLOOKUP(IF(足元帳!AU146="","",足元帳!BJ146),管理シート!$CA$4:$CB$23,2,FALSE),"")</f>
        <v/>
      </c>
      <c r="D146" s="217" t="str">
        <f>IF(足元帳!AU146="","",足元帳!K146)</f>
        <v/>
      </c>
      <c r="E146" s="217" t="str">
        <f>IFERROR(VLOOKUP(IF(足元帳!AU146="","",足元帳!BB146),管理シート!$R$4:$W$12,4),"")</f>
        <v/>
      </c>
      <c r="F146" s="217" t="str">
        <f t="shared" si="2"/>
        <v/>
      </c>
      <c r="G146" s="217" t="str">
        <f>IF(足元帳!AU146="","",足元帳!AU146)</f>
        <v/>
      </c>
      <c r="H146" s="217" t="str">
        <f>IF(足元帳!AV146="","",足元帳!AV146)</f>
        <v/>
      </c>
      <c r="I146" s="217" t="str">
        <f>IF(B146="","",IF(IF(足元帳!AU146="","",足元帳!BB146)=1,精算表!$C$14,IF(IF(足元帳!AU146="","",足元帳!BB146)=2,精算表!$E$14,IF(IF(足元帳!AU146="","",足元帳!BB146)=3,精算表!$G$14,IF(IF(足元帳!AU146="","",足元帳!BB146)=4,精算表!$I$14,IF(IF(足元帳!AU146="","",足元帳!BB146)=5,精算表!$K$14,))))))</f>
        <v/>
      </c>
      <c r="J146" s="217" t="str">
        <f>IFERROR(VLOOKUP(VLOOKUP(IF(足元帳!AU146="","",足元帳!BJ146),管理シート!$CA$4:$CI$13,2,FALSE),精算表!$BL$20:$BS$29,MATCH(E146&amp;"分",精算表!$BL$20:$BS$20,0),FALSE),"")</f>
        <v/>
      </c>
      <c r="K146" s="220" t="str">
        <f>IF(足元帳!AU146="","",足元帳!CC146)</f>
        <v/>
      </c>
      <c r="L146" s="217" t="str">
        <f>IF(足元帳!AU146="","",IF(足元帳!AL146="●","カード利用",""))</f>
        <v/>
      </c>
    </row>
    <row r="147" spans="1:12">
      <c r="A147" t="str">
        <f>IF(B147="","",
    COUNTA($B$2:B147)-COUNTIFS($B$2:B147,"",$B$2:B147,"=*"))</f>
        <v/>
      </c>
      <c r="B147" s="217" t="str">
        <f>IF(足元帳!AU147="","",足元帳!C147)</f>
        <v/>
      </c>
      <c r="C147" s="217" t="str">
        <f>IFERROR(VLOOKUP(IF(足元帳!AU147="","",足元帳!BJ147),管理シート!$CA$4:$CB$23,2,FALSE),"")</f>
        <v/>
      </c>
      <c r="D147" s="217" t="str">
        <f>IF(足元帳!AU147="","",足元帳!K147)</f>
        <v/>
      </c>
      <c r="E147" s="217" t="str">
        <f>IFERROR(VLOOKUP(IF(足元帳!AU147="","",足元帳!BB147),管理シート!$R$4:$W$12,4),"")</f>
        <v/>
      </c>
      <c r="F147" s="217" t="str">
        <f t="shared" si="2"/>
        <v/>
      </c>
      <c r="G147" s="217" t="str">
        <f>IF(足元帳!AU147="","",足元帳!AU147)</f>
        <v/>
      </c>
      <c r="H147" s="217" t="str">
        <f>IF(足元帳!AV147="","",足元帳!AV147)</f>
        <v/>
      </c>
      <c r="I147" s="217" t="str">
        <f>IF(B147="","",IF(IF(足元帳!AU147="","",足元帳!BB147)=1,精算表!$C$14,IF(IF(足元帳!AU147="","",足元帳!BB147)=2,精算表!$E$14,IF(IF(足元帳!AU147="","",足元帳!BB147)=3,精算表!$G$14,IF(IF(足元帳!AU147="","",足元帳!BB147)=4,精算表!$I$14,IF(IF(足元帳!AU147="","",足元帳!BB147)=5,精算表!$K$14,))))))</f>
        <v/>
      </c>
      <c r="J147" s="217" t="str">
        <f>IFERROR(VLOOKUP(VLOOKUP(IF(足元帳!AU147="","",足元帳!BJ147),管理シート!$CA$4:$CI$13,2,FALSE),精算表!$BL$20:$BS$29,MATCH(E147&amp;"分",精算表!$BL$20:$BS$20,0),FALSE),"")</f>
        <v/>
      </c>
      <c r="K147" s="220" t="str">
        <f>IF(足元帳!AU147="","",足元帳!CC147)</f>
        <v/>
      </c>
      <c r="L147" s="217" t="str">
        <f>IF(足元帳!AU147="","",IF(足元帳!AL147="●","カード利用",""))</f>
        <v/>
      </c>
    </row>
    <row r="148" spans="1:12">
      <c r="A148" t="str">
        <f>IF(B148="","",
    COUNTA($B$2:B148)-COUNTIFS($B$2:B148,"",$B$2:B148,"=*"))</f>
        <v/>
      </c>
      <c r="B148" s="217" t="str">
        <f>IF(足元帳!AU148="","",足元帳!C148)</f>
        <v/>
      </c>
      <c r="C148" s="217" t="str">
        <f>IFERROR(VLOOKUP(IF(足元帳!AU148="","",足元帳!BJ148),管理シート!$CA$4:$CB$23,2,FALSE),"")</f>
        <v/>
      </c>
      <c r="D148" s="217" t="str">
        <f>IF(足元帳!AU148="","",足元帳!K148)</f>
        <v/>
      </c>
      <c r="E148" s="217" t="str">
        <f>IFERROR(VLOOKUP(IF(足元帳!AU148="","",足元帳!BB148),管理シート!$R$4:$W$12,4),"")</f>
        <v/>
      </c>
      <c r="F148" s="217" t="str">
        <f t="shared" si="2"/>
        <v/>
      </c>
      <c r="G148" s="217" t="str">
        <f>IF(足元帳!AU148="","",足元帳!AU148)</f>
        <v/>
      </c>
      <c r="H148" s="217" t="str">
        <f>IF(足元帳!AV148="","",足元帳!AV148)</f>
        <v/>
      </c>
      <c r="I148" s="217" t="str">
        <f>IF(B148="","",IF(IF(足元帳!AU148="","",足元帳!BB148)=1,精算表!$C$14,IF(IF(足元帳!AU148="","",足元帳!BB148)=2,精算表!$E$14,IF(IF(足元帳!AU148="","",足元帳!BB148)=3,精算表!$G$14,IF(IF(足元帳!AU148="","",足元帳!BB148)=4,精算表!$I$14,IF(IF(足元帳!AU148="","",足元帳!BB148)=5,精算表!$K$14,))))))</f>
        <v/>
      </c>
      <c r="J148" s="217" t="str">
        <f>IFERROR(VLOOKUP(VLOOKUP(IF(足元帳!AU148="","",足元帳!BJ148),管理シート!$CA$4:$CI$13,2,FALSE),精算表!$BL$20:$BS$29,MATCH(E148&amp;"分",精算表!$BL$20:$BS$20,0),FALSE),"")</f>
        <v/>
      </c>
      <c r="K148" s="220" t="str">
        <f>IF(足元帳!AU148="","",足元帳!CC148)</f>
        <v/>
      </c>
      <c r="L148" s="217" t="str">
        <f>IF(足元帳!AU148="","",IF(足元帳!AL148="●","カード利用",""))</f>
        <v/>
      </c>
    </row>
    <row r="149" spans="1:12">
      <c r="A149" t="str">
        <f>IF(B149="","",
    COUNTA($B$2:B149)-COUNTIFS($B$2:B149,"",$B$2:B149,"=*"))</f>
        <v/>
      </c>
      <c r="B149" s="217" t="str">
        <f>IF(足元帳!AU149="","",足元帳!C149)</f>
        <v/>
      </c>
      <c r="C149" s="217" t="str">
        <f>IFERROR(VLOOKUP(IF(足元帳!AU149="","",足元帳!BJ149),管理シート!$CA$4:$CB$23,2,FALSE),"")</f>
        <v/>
      </c>
      <c r="D149" s="217" t="str">
        <f>IF(足元帳!AU149="","",足元帳!K149)</f>
        <v/>
      </c>
      <c r="E149" s="217" t="str">
        <f>IFERROR(VLOOKUP(IF(足元帳!AU149="","",足元帳!BB149),管理シート!$R$4:$W$12,4),"")</f>
        <v/>
      </c>
      <c r="F149" s="217" t="str">
        <f t="shared" si="2"/>
        <v/>
      </c>
      <c r="G149" s="217" t="str">
        <f>IF(足元帳!AU149="","",足元帳!AU149)</f>
        <v/>
      </c>
      <c r="H149" s="217" t="str">
        <f>IF(足元帳!AV149="","",足元帳!AV149)</f>
        <v/>
      </c>
      <c r="I149" s="217" t="str">
        <f>IF(B149="","",IF(IF(足元帳!AU149="","",足元帳!BB149)=1,精算表!$C$14,IF(IF(足元帳!AU149="","",足元帳!BB149)=2,精算表!$E$14,IF(IF(足元帳!AU149="","",足元帳!BB149)=3,精算表!$G$14,IF(IF(足元帳!AU149="","",足元帳!BB149)=4,精算表!$I$14,IF(IF(足元帳!AU149="","",足元帳!BB149)=5,精算表!$K$14,))))))</f>
        <v/>
      </c>
      <c r="J149" s="217" t="str">
        <f>IFERROR(VLOOKUP(VLOOKUP(IF(足元帳!AU149="","",足元帳!BJ149),管理シート!$CA$4:$CI$13,2,FALSE),精算表!$BL$20:$BS$29,MATCH(E149&amp;"分",精算表!$BL$20:$BS$20,0),FALSE),"")</f>
        <v/>
      </c>
      <c r="K149" s="220" t="str">
        <f>IF(足元帳!AU149="","",足元帳!CC149)</f>
        <v/>
      </c>
      <c r="L149" s="217" t="str">
        <f>IF(足元帳!AU149="","",IF(足元帳!AL149="●","カード利用",""))</f>
        <v/>
      </c>
    </row>
    <row r="150" spans="1:12">
      <c r="A150" t="str">
        <f>IF(B150="","",
    COUNTA($B$2:B150)-COUNTIFS($B$2:B150,"",$B$2:B150,"=*"))</f>
        <v/>
      </c>
      <c r="B150" s="217" t="str">
        <f>IF(足元帳!AU150="","",足元帳!C150)</f>
        <v/>
      </c>
      <c r="C150" s="217" t="str">
        <f>IFERROR(VLOOKUP(IF(足元帳!AU150="","",足元帳!BJ150),管理シート!$CA$4:$CB$23,2,FALSE),"")</f>
        <v/>
      </c>
      <c r="D150" s="217" t="str">
        <f>IF(足元帳!AU150="","",足元帳!K150)</f>
        <v/>
      </c>
      <c r="E150" s="217" t="str">
        <f>IFERROR(VLOOKUP(IF(足元帳!AU150="","",足元帳!BB150),管理シート!$R$4:$W$12,4),"")</f>
        <v/>
      </c>
      <c r="F150" s="217" t="str">
        <f t="shared" si="2"/>
        <v/>
      </c>
      <c r="G150" s="217" t="str">
        <f>IF(足元帳!AU150="","",足元帳!AU150)</f>
        <v/>
      </c>
      <c r="H150" s="217" t="str">
        <f>IF(足元帳!AV150="","",足元帳!AV150)</f>
        <v/>
      </c>
      <c r="I150" s="217" t="str">
        <f>IF(B150="","",IF(IF(足元帳!AU150="","",足元帳!BB150)=1,精算表!$C$14,IF(IF(足元帳!AU150="","",足元帳!BB150)=2,精算表!$E$14,IF(IF(足元帳!AU150="","",足元帳!BB150)=3,精算表!$G$14,IF(IF(足元帳!AU150="","",足元帳!BB150)=4,精算表!$I$14,IF(IF(足元帳!AU150="","",足元帳!BB150)=5,精算表!$K$14,))))))</f>
        <v/>
      </c>
      <c r="J150" s="217" t="str">
        <f>IFERROR(VLOOKUP(VLOOKUP(IF(足元帳!AU150="","",足元帳!BJ150),管理シート!$CA$4:$CI$13,2,FALSE),精算表!$BL$20:$BS$29,MATCH(E150&amp;"分",精算表!$BL$20:$BS$20,0),FALSE),"")</f>
        <v/>
      </c>
      <c r="K150" s="220" t="str">
        <f>IF(足元帳!AU150="","",足元帳!CC150)</f>
        <v/>
      </c>
      <c r="L150" s="217" t="str">
        <f>IF(足元帳!AU150="","",IF(足元帳!AL150="●","カード利用",""))</f>
        <v/>
      </c>
    </row>
    <row r="151" spans="1:12">
      <c r="A151" t="str">
        <f>IF(B151="","",
    COUNTA($B$2:B151)-COUNTIFS($B$2:B151,"",$B$2:B151,"=*"))</f>
        <v/>
      </c>
      <c r="B151" s="217" t="str">
        <f>IF(足元帳!AU151="","",足元帳!C151)</f>
        <v/>
      </c>
      <c r="C151" s="217" t="str">
        <f>IFERROR(VLOOKUP(IF(足元帳!AU151="","",足元帳!BJ151),管理シート!$CA$4:$CB$23,2,FALSE),"")</f>
        <v/>
      </c>
      <c r="D151" s="217" t="str">
        <f>IF(足元帳!AU151="","",足元帳!K151)</f>
        <v/>
      </c>
      <c r="E151" s="217" t="str">
        <f>IFERROR(VLOOKUP(IF(足元帳!AU151="","",足元帳!BB151),管理シート!$R$4:$W$12,4),"")</f>
        <v/>
      </c>
      <c r="F151" s="217" t="str">
        <f t="shared" si="2"/>
        <v/>
      </c>
      <c r="G151" s="217" t="str">
        <f>IF(足元帳!AU151="","",足元帳!AU151)</f>
        <v/>
      </c>
      <c r="H151" s="217" t="str">
        <f>IF(足元帳!AV151="","",足元帳!AV151)</f>
        <v/>
      </c>
      <c r="I151" s="217" t="str">
        <f>IF(B151="","",IF(IF(足元帳!AU151="","",足元帳!BB151)=1,精算表!$C$14,IF(IF(足元帳!AU151="","",足元帳!BB151)=2,精算表!$E$14,IF(IF(足元帳!AU151="","",足元帳!BB151)=3,精算表!$G$14,IF(IF(足元帳!AU151="","",足元帳!BB151)=4,精算表!$I$14,IF(IF(足元帳!AU151="","",足元帳!BB151)=5,精算表!$K$14,))))))</f>
        <v/>
      </c>
      <c r="J151" s="217" t="str">
        <f>IFERROR(VLOOKUP(VLOOKUP(IF(足元帳!AU151="","",足元帳!BJ151),管理シート!$CA$4:$CI$13,2,FALSE),精算表!$BL$20:$BS$29,MATCH(E151&amp;"分",精算表!$BL$20:$BS$20,0),FALSE),"")</f>
        <v/>
      </c>
      <c r="K151" s="220" t="str">
        <f>IF(足元帳!AU151="","",足元帳!CC151)</f>
        <v/>
      </c>
      <c r="L151" s="217" t="str">
        <f>IF(足元帳!AU151="","",IF(足元帳!AL151="●","カード利用",""))</f>
        <v/>
      </c>
    </row>
    <row r="152" spans="1:12">
      <c r="A152" t="str">
        <f>IF(B152="","",
    COUNTA($B$2:B152)-COUNTIFS($B$2:B152,"",$B$2:B152,"=*"))</f>
        <v/>
      </c>
      <c r="B152" s="217" t="str">
        <f>IF(足元帳!AU152="","",足元帳!C152)</f>
        <v/>
      </c>
      <c r="C152" s="217" t="str">
        <f>IFERROR(VLOOKUP(IF(足元帳!AU152="","",足元帳!BJ152),管理シート!$CA$4:$CB$23,2,FALSE),"")</f>
        <v/>
      </c>
      <c r="D152" s="217" t="str">
        <f>IF(足元帳!AU152="","",足元帳!K152)</f>
        <v/>
      </c>
      <c r="E152" s="217" t="str">
        <f>IFERROR(VLOOKUP(IF(足元帳!AU152="","",足元帳!BB152),管理シート!$R$4:$W$12,4),"")</f>
        <v/>
      </c>
      <c r="F152" s="217" t="str">
        <f t="shared" si="2"/>
        <v/>
      </c>
      <c r="G152" s="217" t="str">
        <f>IF(足元帳!AU152="","",足元帳!AU152)</f>
        <v/>
      </c>
      <c r="H152" s="217" t="str">
        <f>IF(足元帳!AV152="","",足元帳!AV152)</f>
        <v/>
      </c>
      <c r="I152" s="217" t="str">
        <f>IF(B152="","",IF(IF(足元帳!AU152="","",足元帳!BB152)=1,精算表!$C$14,IF(IF(足元帳!AU152="","",足元帳!BB152)=2,精算表!$E$14,IF(IF(足元帳!AU152="","",足元帳!BB152)=3,精算表!$G$14,IF(IF(足元帳!AU152="","",足元帳!BB152)=4,精算表!$I$14,IF(IF(足元帳!AU152="","",足元帳!BB152)=5,精算表!$K$14,))))))</f>
        <v/>
      </c>
      <c r="J152" s="217" t="str">
        <f>IFERROR(VLOOKUP(VLOOKUP(IF(足元帳!AU152="","",足元帳!BJ152),管理シート!$CA$4:$CI$13,2,FALSE),精算表!$BL$20:$BS$29,MATCH(E152&amp;"分",精算表!$BL$20:$BS$20,0),FALSE),"")</f>
        <v/>
      </c>
      <c r="K152" s="220" t="str">
        <f>IF(足元帳!AU152="","",足元帳!CC152)</f>
        <v/>
      </c>
      <c r="L152" s="217" t="str">
        <f>IF(足元帳!AU152="","",IF(足元帳!AL152="●","カード利用",""))</f>
        <v/>
      </c>
    </row>
    <row r="153" spans="1:12">
      <c r="A153" t="str">
        <f>IF(B153="","",
    COUNTA($B$2:B153)-COUNTIFS($B$2:B153,"",$B$2:B153,"=*"))</f>
        <v/>
      </c>
      <c r="B153" s="217" t="str">
        <f>IF(足元帳!AU153="","",足元帳!C153)</f>
        <v/>
      </c>
      <c r="C153" s="217" t="str">
        <f>IFERROR(VLOOKUP(IF(足元帳!AU153="","",足元帳!BJ153),管理シート!$CA$4:$CB$23,2,FALSE),"")</f>
        <v/>
      </c>
      <c r="D153" s="217" t="str">
        <f>IF(足元帳!AU153="","",足元帳!K153)</f>
        <v/>
      </c>
      <c r="E153" s="217" t="str">
        <f>IFERROR(VLOOKUP(IF(足元帳!AU153="","",足元帳!BB153),管理シート!$R$4:$W$12,4),"")</f>
        <v/>
      </c>
      <c r="F153" s="217" t="str">
        <f t="shared" si="2"/>
        <v/>
      </c>
      <c r="G153" s="217" t="str">
        <f>IF(足元帳!AU153="","",足元帳!AU153)</f>
        <v/>
      </c>
      <c r="H153" s="217" t="str">
        <f>IF(足元帳!AV153="","",足元帳!AV153)</f>
        <v/>
      </c>
      <c r="I153" s="217" t="str">
        <f>IF(B153="","",IF(IF(足元帳!AU153="","",足元帳!BB153)=1,精算表!$C$14,IF(IF(足元帳!AU153="","",足元帳!BB153)=2,精算表!$E$14,IF(IF(足元帳!AU153="","",足元帳!BB153)=3,精算表!$G$14,IF(IF(足元帳!AU153="","",足元帳!BB153)=4,精算表!$I$14,IF(IF(足元帳!AU153="","",足元帳!BB153)=5,精算表!$K$14,))))))</f>
        <v/>
      </c>
      <c r="J153" s="217" t="str">
        <f>IFERROR(VLOOKUP(VLOOKUP(IF(足元帳!AU153="","",足元帳!BJ153),管理シート!$CA$4:$CI$13,2,FALSE),精算表!$BL$20:$BS$29,MATCH(E153&amp;"分",精算表!$BL$20:$BS$20,0),FALSE),"")</f>
        <v/>
      </c>
      <c r="K153" s="220" t="str">
        <f>IF(足元帳!AU153="","",足元帳!CC153)</f>
        <v/>
      </c>
      <c r="L153" s="217" t="str">
        <f>IF(足元帳!AU153="","",IF(足元帳!AL153="●","カード利用",""))</f>
        <v/>
      </c>
    </row>
    <row r="154" spans="1:12">
      <c r="A154" t="str">
        <f>IF(B154="","",
    COUNTA($B$2:B154)-COUNTIFS($B$2:B154,"",$B$2:B154,"=*"))</f>
        <v/>
      </c>
      <c r="B154" s="217" t="str">
        <f>IF(足元帳!AU154="","",足元帳!C154)</f>
        <v/>
      </c>
      <c r="C154" s="217" t="str">
        <f>IFERROR(VLOOKUP(IF(足元帳!AU154="","",足元帳!BJ154),管理シート!$CA$4:$CB$23,2,FALSE),"")</f>
        <v/>
      </c>
      <c r="D154" s="217" t="str">
        <f>IF(足元帳!AU154="","",足元帳!K154)</f>
        <v/>
      </c>
      <c r="E154" s="217" t="str">
        <f>IFERROR(VLOOKUP(IF(足元帳!AU154="","",足元帳!BB154),管理シート!$R$4:$W$12,4),"")</f>
        <v/>
      </c>
      <c r="F154" s="217" t="str">
        <f t="shared" si="2"/>
        <v/>
      </c>
      <c r="G154" s="217" t="str">
        <f>IF(足元帳!AU154="","",足元帳!AU154)</f>
        <v/>
      </c>
      <c r="H154" s="217" t="str">
        <f>IF(足元帳!AV154="","",足元帳!AV154)</f>
        <v/>
      </c>
      <c r="I154" s="217" t="str">
        <f>IF(B154="","",IF(IF(足元帳!AU154="","",足元帳!BB154)=1,精算表!$C$14,IF(IF(足元帳!AU154="","",足元帳!BB154)=2,精算表!$E$14,IF(IF(足元帳!AU154="","",足元帳!BB154)=3,精算表!$G$14,IF(IF(足元帳!AU154="","",足元帳!BB154)=4,精算表!$I$14,IF(IF(足元帳!AU154="","",足元帳!BB154)=5,精算表!$K$14,))))))</f>
        <v/>
      </c>
      <c r="J154" s="217" t="str">
        <f>IFERROR(VLOOKUP(VLOOKUP(IF(足元帳!AU154="","",足元帳!BJ154),管理シート!$CA$4:$CI$13,2,FALSE),精算表!$BL$20:$BS$29,MATCH(E154&amp;"分",精算表!$BL$20:$BS$20,0),FALSE),"")</f>
        <v/>
      </c>
      <c r="K154" s="220" t="str">
        <f>IF(足元帳!AU154="","",足元帳!CC154)</f>
        <v/>
      </c>
      <c r="L154" s="217" t="str">
        <f>IF(足元帳!AU154="","",IF(足元帳!AL154="●","カード利用",""))</f>
        <v/>
      </c>
    </row>
    <row r="155" spans="1:12">
      <c r="A155" t="str">
        <f>IF(B155="","",
    COUNTA($B$2:B155)-COUNTIFS($B$2:B155,"",$B$2:B155,"=*"))</f>
        <v/>
      </c>
      <c r="B155" s="217" t="str">
        <f>IF(足元帳!AU155="","",足元帳!C155)</f>
        <v/>
      </c>
      <c r="C155" s="217" t="str">
        <f>IFERROR(VLOOKUP(IF(足元帳!AU155="","",足元帳!BJ155),管理シート!$CA$4:$CB$23,2,FALSE),"")</f>
        <v/>
      </c>
      <c r="D155" s="217" t="str">
        <f>IF(足元帳!AU155="","",足元帳!K155)</f>
        <v/>
      </c>
      <c r="E155" s="217" t="str">
        <f>IFERROR(VLOOKUP(IF(足元帳!AU155="","",足元帳!BB155),管理シート!$R$4:$W$12,4),"")</f>
        <v/>
      </c>
      <c r="F155" s="217" t="str">
        <f t="shared" si="2"/>
        <v/>
      </c>
      <c r="G155" s="217" t="str">
        <f>IF(足元帳!AU155="","",足元帳!AU155)</f>
        <v/>
      </c>
      <c r="H155" s="217" t="str">
        <f>IF(足元帳!AV155="","",足元帳!AV155)</f>
        <v/>
      </c>
      <c r="I155" s="217" t="str">
        <f>IF(B155="","",IF(IF(足元帳!AU155="","",足元帳!BB155)=1,精算表!$C$14,IF(IF(足元帳!AU155="","",足元帳!BB155)=2,精算表!$E$14,IF(IF(足元帳!AU155="","",足元帳!BB155)=3,精算表!$G$14,IF(IF(足元帳!AU155="","",足元帳!BB155)=4,精算表!$I$14,IF(IF(足元帳!AU155="","",足元帳!BB155)=5,精算表!$K$14,))))))</f>
        <v/>
      </c>
      <c r="J155" s="217" t="str">
        <f>IFERROR(VLOOKUP(VLOOKUP(IF(足元帳!AU155="","",足元帳!BJ155),管理シート!$CA$4:$CI$13,2,FALSE),精算表!$BL$20:$BS$29,MATCH(E155&amp;"分",精算表!$BL$20:$BS$20,0),FALSE),"")</f>
        <v/>
      </c>
      <c r="K155" s="220" t="str">
        <f>IF(足元帳!AU155="","",足元帳!CC155)</f>
        <v/>
      </c>
      <c r="L155" s="217" t="str">
        <f>IF(足元帳!AU155="","",IF(足元帳!AL155="●","カード利用",""))</f>
        <v/>
      </c>
    </row>
    <row r="156" spans="1:12">
      <c r="A156" t="str">
        <f>IF(B156="","",
    COUNTA($B$2:B156)-COUNTIFS($B$2:B156,"",$B$2:B156,"=*"))</f>
        <v/>
      </c>
      <c r="B156" s="217" t="str">
        <f>IF(足元帳!AU156="","",足元帳!C156)</f>
        <v/>
      </c>
      <c r="C156" s="217" t="str">
        <f>IFERROR(VLOOKUP(IF(足元帳!AU156="","",足元帳!BJ156),管理シート!$CA$4:$CB$23,2,FALSE),"")</f>
        <v/>
      </c>
      <c r="D156" s="217" t="str">
        <f>IF(足元帳!AU156="","",足元帳!K156)</f>
        <v/>
      </c>
      <c r="E156" s="217" t="str">
        <f>IFERROR(VLOOKUP(IF(足元帳!AU156="","",足元帳!BB156),管理シート!$R$4:$W$12,4),"")</f>
        <v/>
      </c>
      <c r="F156" s="217" t="str">
        <f t="shared" ref="F156:F219" si="3">IFERROR(I156-J156,"")</f>
        <v/>
      </c>
      <c r="G156" s="217" t="str">
        <f>IF(足元帳!AU156="","",足元帳!AU156)</f>
        <v/>
      </c>
      <c r="H156" s="217" t="str">
        <f>IF(足元帳!AV156="","",足元帳!AV156)</f>
        <v/>
      </c>
      <c r="I156" s="217" t="str">
        <f>IF(B156="","",IF(IF(足元帳!AU156="","",足元帳!BB156)=1,精算表!$C$14,IF(IF(足元帳!AU156="","",足元帳!BB156)=2,精算表!$E$14,IF(IF(足元帳!AU156="","",足元帳!BB156)=3,精算表!$G$14,IF(IF(足元帳!AU156="","",足元帳!BB156)=4,精算表!$I$14,IF(IF(足元帳!AU156="","",足元帳!BB156)=5,精算表!$K$14,))))))</f>
        <v/>
      </c>
      <c r="J156" s="217" t="str">
        <f>IFERROR(VLOOKUP(VLOOKUP(IF(足元帳!AU156="","",足元帳!BJ156),管理シート!$CA$4:$CI$13,2,FALSE),精算表!$BL$20:$BS$29,MATCH(E156&amp;"分",精算表!$BL$20:$BS$20,0),FALSE),"")</f>
        <v/>
      </c>
      <c r="K156" s="220" t="str">
        <f>IF(足元帳!AU156="","",足元帳!CC156)</f>
        <v/>
      </c>
      <c r="L156" s="217" t="str">
        <f>IF(足元帳!AU156="","",IF(足元帳!AL156="●","カード利用",""))</f>
        <v/>
      </c>
    </row>
    <row r="157" spans="1:12">
      <c r="A157" t="str">
        <f>IF(B157="","",
    COUNTA($B$2:B157)-COUNTIFS($B$2:B157,"",$B$2:B157,"=*"))</f>
        <v/>
      </c>
      <c r="B157" s="217" t="str">
        <f>IF(足元帳!AU157="","",足元帳!C157)</f>
        <v/>
      </c>
      <c r="C157" s="217" t="str">
        <f>IFERROR(VLOOKUP(IF(足元帳!AU157="","",足元帳!BJ157),管理シート!$CA$4:$CB$23,2,FALSE),"")</f>
        <v/>
      </c>
      <c r="D157" s="217" t="str">
        <f>IF(足元帳!AU157="","",足元帳!K157)</f>
        <v/>
      </c>
      <c r="E157" s="217" t="str">
        <f>IFERROR(VLOOKUP(IF(足元帳!AU157="","",足元帳!BB157),管理シート!$R$4:$W$12,4),"")</f>
        <v/>
      </c>
      <c r="F157" s="217" t="str">
        <f t="shared" si="3"/>
        <v/>
      </c>
      <c r="G157" s="217" t="str">
        <f>IF(足元帳!AU157="","",足元帳!AU157)</f>
        <v/>
      </c>
      <c r="H157" s="217" t="str">
        <f>IF(足元帳!AV157="","",足元帳!AV157)</f>
        <v/>
      </c>
      <c r="I157" s="217" t="str">
        <f>IF(B157="","",IF(IF(足元帳!AU157="","",足元帳!BB157)=1,精算表!$C$14,IF(IF(足元帳!AU157="","",足元帳!BB157)=2,精算表!$E$14,IF(IF(足元帳!AU157="","",足元帳!BB157)=3,精算表!$G$14,IF(IF(足元帳!AU157="","",足元帳!BB157)=4,精算表!$I$14,IF(IF(足元帳!AU157="","",足元帳!BB157)=5,精算表!$K$14,))))))</f>
        <v/>
      </c>
      <c r="J157" s="217" t="str">
        <f>IFERROR(VLOOKUP(VLOOKUP(IF(足元帳!AU157="","",足元帳!BJ157),管理シート!$CA$4:$CI$13,2,FALSE),精算表!$BL$20:$BS$29,MATCH(E157&amp;"分",精算表!$BL$20:$BS$20,0),FALSE),"")</f>
        <v/>
      </c>
      <c r="K157" s="220" t="str">
        <f>IF(足元帳!AU157="","",足元帳!CC157)</f>
        <v/>
      </c>
      <c r="L157" s="217" t="str">
        <f>IF(足元帳!AU157="","",IF(足元帳!AL157="●","カード利用",""))</f>
        <v/>
      </c>
    </row>
    <row r="158" spans="1:12">
      <c r="A158" t="str">
        <f>IF(B158="","",
    COUNTA($B$2:B158)-COUNTIFS($B$2:B158,"",$B$2:B158,"=*"))</f>
        <v/>
      </c>
      <c r="B158" s="217" t="str">
        <f>IF(足元帳!AU158="","",足元帳!C158)</f>
        <v/>
      </c>
      <c r="C158" s="217" t="str">
        <f>IFERROR(VLOOKUP(IF(足元帳!AU158="","",足元帳!BJ158),管理シート!$CA$4:$CB$23,2,FALSE),"")</f>
        <v/>
      </c>
      <c r="D158" s="217" t="str">
        <f>IF(足元帳!AU158="","",足元帳!K158)</f>
        <v/>
      </c>
      <c r="E158" s="217" t="str">
        <f>IFERROR(VLOOKUP(IF(足元帳!AU158="","",足元帳!BB158),管理シート!$R$4:$W$12,4),"")</f>
        <v/>
      </c>
      <c r="F158" s="217" t="str">
        <f t="shared" si="3"/>
        <v/>
      </c>
      <c r="G158" s="217" t="str">
        <f>IF(足元帳!AU158="","",足元帳!AU158)</f>
        <v/>
      </c>
      <c r="H158" s="217" t="str">
        <f>IF(足元帳!AV158="","",足元帳!AV158)</f>
        <v/>
      </c>
      <c r="I158" s="217" t="str">
        <f>IF(B158="","",IF(IF(足元帳!AU158="","",足元帳!BB158)=1,精算表!$C$14,IF(IF(足元帳!AU158="","",足元帳!BB158)=2,精算表!$E$14,IF(IF(足元帳!AU158="","",足元帳!BB158)=3,精算表!$G$14,IF(IF(足元帳!AU158="","",足元帳!BB158)=4,精算表!$I$14,IF(IF(足元帳!AU158="","",足元帳!BB158)=5,精算表!$K$14,))))))</f>
        <v/>
      </c>
      <c r="J158" s="217" t="str">
        <f>IFERROR(VLOOKUP(VLOOKUP(IF(足元帳!AU158="","",足元帳!BJ158),管理シート!$CA$4:$CI$13,2,FALSE),精算表!$BL$20:$BS$29,MATCH(E158&amp;"分",精算表!$BL$20:$BS$20,0),FALSE),"")</f>
        <v/>
      </c>
      <c r="K158" s="220" t="str">
        <f>IF(足元帳!AU158="","",足元帳!CC158)</f>
        <v/>
      </c>
      <c r="L158" s="217" t="str">
        <f>IF(足元帳!AU158="","",IF(足元帳!AL158="●","カード利用",""))</f>
        <v/>
      </c>
    </row>
    <row r="159" spans="1:12">
      <c r="A159" t="str">
        <f>IF(B159="","",
    COUNTA($B$2:B159)-COUNTIFS($B$2:B159,"",$B$2:B159,"=*"))</f>
        <v/>
      </c>
      <c r="B159" s="217" t="str">
        <f>IF(足元帳!AU159="","",足元帳!C159)</f>
        <v/>
      </c>
      <c r="C159" s="217" t="str">
        <f>IFERROR(VLOOKUP(IF(足元帳!AU159="","",足元帳!BJ159),管理シート!$CA$4:$CB$23,2,FALSE),"")</f>
        <v/>
      </c>
      <c r="D159" s="217" t="str">
        <f>IF(足元帳!AU159="","",足元帳!K159)</f>
        <v/>
      </c>
      <c r="E159" s="217" t="str">
        <f>IFERROR(VLOOKUP(IF(足元帳!AU159="","",足元帳!BB159),管理シート!$R$4:$W$12,4),"")</f>
        <v/>
      </c>
      <c r="F159" s="217" t="str">
        <f t="shared" si="3"/>
        <v/>
      </c>
      <c r="G159" s="217" t="str">
        <f>IF(足元帳!AU159="","",足元帳!AU159)</f>
        <v/>
      </c>
      <c r="H159" s="217" t="str">
        <f>IF(足元帳!AV159="","",足元帳!AV159)</f>
        <v/>
      </c>
      <c r="I159" s="217" t="str">
        <f>IF(B159="","",IF(IF(足元帳!AU159="","",足元帳!BB159)=1,精算表!$C$14,IF(IF(足元帳!AU159="","",足元帳!BB159)=2,精算表!$E$14,IF(IF(足元帳!AU159="","",足元帳!BB159)=3,精算表!$G$14,IF(IF(足元帳!AU159="","",足元帳!BB159)=4,精算表!$I$14,IF(IF(足元帳!AU159="","",足元帳!BB159)=5,精算表!$K$14,))))))</f>
        <v/>
      </c>
      <c r="J159" s="217" t="str">
        <f>IFERROR(VLOOKUP(VLOOKUP(IF(足元帳!AU159="","",足元帳!BJ159),管理シート!$CA$4:$CI$13,2,FALSE),精算表!$BL$20:$BS$29,MATCH(E159&amp;"分",精算表!$BL$20:$BS$20,0),FALSE),"")</f>
        <v/>
      </c>
      <c r="K159" s="220" t="str">
        <f>IF(足元帳!AU159="","",足元帳!CC159)</f>
        <v/>
      </c>
      <c r="L159" s="217" t="str">
        <f>IF(足元帳!AU159="","",IF(足元帳!AL159="●","カード利用",""))</f>
        <v/>
      </c>
    </row>
    <row r="160" spans="1:12">
      <c r="A160" t="str">
        <f>IF(B160="","",
    COUNTA($B$2:B160)-COUNTIFS($B$2:B160,"",$B$2:B160,"=*"))</f>
        <v/>
      </c>
      <c r="B160" s="217" t="str">
        <f>IF(足元帳!AU160="","",足元帳!C160)</f>
        <v/>
      </c>
      <c r="C160" s="217" t="str">
        <f>IFERROR(VLOOKUP(IF(足元帳!AU160="","",足元帳!BJ160),管理シート!$CA$4:$CB$23,2,FALSE),"")</f>
        <v/>
      </c>
      <c r="D160" s="217" t="str">
        <f>IF(足元帳!AU160="","",足元帳!K160)</f>
        <v/>
      </c>
      <c r="E160" s="217" t="str">
        <f>IFERROR(VLOOKUP(IF(足元帳!AU160="","",足元帳!BB160),管理シート!$R$4:$W$12,4),"")</f>
        <v/>
      </c>
      <c r="F160" s="217" t="str">
        <f t="shared" si="3"/>
        <v/>
      </c>
      <c r="G160" s="217" t="str">
        <f>IF(足元帳!AU160="","",足元帳!AU160)</f>
        <v/>
      </c>
      <c r="H160" s="217" t="str">
        <f>IF(足元帳!AV160="","",足元帳!AV160)</f>
        <v/>
      </c>
      <c r="I160" s="217" t="str">
        <f>IF(B160="","",IF(IF(足元帳!AU160="","",足元帳!BB160)=1,精算表!$C$14,IF(IF(足元帳!AU160="","",足元帳!BB160)=2,精算表!$E$14,IF(IF(足元帳!AU160="","",足元帳!BB160)=3,精算表!$G$14,IF(IF(足元帳!AU160="","",足元帳!BB160)=4,精算表!$I$14,IF(IF(足元帳!AU160="","",足元帳!BB160)=5,精算表!$K$14,))))))</f>
        <v/>
      </c>
      <c r="J160" s="217" t="str">
        <f>IFERROR(VLOOKUP(VLOOKUP(IF(足元帳!AU160="","",足元帳!BJ160),管理シート!$CA$4:$CI$13,2,FALSE),精算表!$BL$20:$BS$29,MATCH(E160&amp;"分",精算表!$BL$20:$BS$20,0),FALSE),"")</f>
        <v/>
      </c>
      <c r="K160" s="220" t="str">
        <f>IF(足元帳!AU160="","",足元帳!CC160)</f>
        <v/>
      </c>
      <c r="L160" s="217" t="str">
        <f>IF(足元帳!AU160="","",IF(足元帳!AL160="●","カード利用",""))</f>
        <v/>
      </c>
    </row>
    <row r="161" spans="1:12">
      <c r="A161" t="str">
        <f>IF(B161="","",
    COUNTA($B$2:B161)-COUNTIFS($B$2:B161,"",$B$2:B161,"=*"))</f>
        <v/>
      </c>
      <c r="B161" s="217" t="str">
        <f>IF(足元帳!AU161="","",足元帳!C161)</f>
        <v/>
      </c>
      <c r="C161" s="217" t="str">
        <f>IFERROR(VLOOKUP(IF(足元帳!AU161="","",足元帳!BJ161),管理シート!$CA$4:$CB$23,2,FALSE),"")</f>
        <v/>
      </c>
      <c r="D161" s="217" t="str">
        <f>IF(足元帳!AU161="","",足元帳!K161)</f>
        <v/>
      </c>
      <c r="E161" s="217" t="str">
        <f>IFERROR(VLOOKUP(IF(足元帳!AU161="","",足元帳!BB161),管理シート!$R$4:$W$12,4),"")</f>
        <v/>
      </c>
      <c r="F161" s="217" t="str">
        <f t="shared" si="3"/>
        <v/>
      </c>
      <c r="G161" s="217" t="str">
        <f>IF(足元帳!AU161="","",足元帳!AU161)</f>
        <v/>
      </c>
      <c r="H161" s="217" t="str">
        <f>IF(足元帳!AV161="","",足元帳!AV161)</f>
        <v/>
      </c>
      <c r="I161" s="217" t="str">
        <f>IF(B161="","",IF(IF(足元帳!AU161="","",足元帳!BB161)=1,精算表!$C$14,IF(IF(足元帳!AU161="","",足元帳!BB161)=2,精算表!$E$14,IF(IF(足元帳!AU161="","",足元帳!BB161)=3,精算表!$G$14,IF(IF(足元帳!AU161="","",足元帳!BB161)=4,精算表!$I$14,IF(IF(足元帳!AU161="","",足元帳!BB161)=5,精算表!$K$14,))))))</f>
        <v/>
      </c>
      <c r="J161" s="217" t="str">
        <f>IFERROR(VLOOKUP(VLOOKUP(IF(足元帳!AU161="","",足元帳!BJ161),管理シート!$CA$4:$CI$13,2,FALSE),精算表!$BL$20:$BS$29,MATCH(E161&amp;"分",精算表!$BL$20:$BS$20,0),FALSE),"")</f>
        <v/>
      </c>
      <c r="K161" s="220" t="str">
        <f>IF(足元帳!AU161="","",足元帳!CC161)</f>
        <v/>
      </c>
      <c r="L161" s="217" t="str">
        <f>IF(足元帳!AU161="","",IF(足元帳!AL161="●","カード利用",""))</f>
        <v/>
      </c>
    </row>
    <row r="162" spans="1:12">
      <c r="A162" t="str">
        <f>IF(B162="","",
    COUNTA($B$2:B162)-COUNTIFS($B$2:B162,"",$B$2:B162,"=*"))</f>
        <v/>
      </c>
      <c r="B162" s="217" t="str">
        <f>IF(足元帳!AU162="","",足元帳!C162)</f>
        <v/>
      </c>
      <c r="C162" s="217" t="str">
        <f>IFERROR(VLOOKUP(IF(足元帳!AU162="","",足元帳!BJ162),管理シート!$CA$4:$CB$23,2,FALSE),"")</f>
        <v/>
      </c>
      <c r="D162" s="217" t="str">
        <f>IF(足元帳!AU162="","",足元帳!K162)</f>
        <v/>
      </c>
      <c r="E162" s="217" t="str">
        <f>IFERROR(VLOOKUP(IF(足元帳!AU162="","",足元帳!BB162),管理シート!$R$4:$W$12,4),"")</f>
        <v/>
      </c>
      <c r="F162" s="217" t="str">
        <f t="shared" si="3"/>
        <v/>
      </c>
      <c r="G162" s="217" t="str">
        <f>IF(足元帳!AU162="","",足元帳!AU162)</f>
        <v/>
      </c>
      <c r="H162" s="217" t="str">
        <f>IF(足元帳!AV162="","",足元帳!AV162)</f>
        <v/>
      </c>
      <c r="I162" s="217" t="str">
        <f>IF(B162="","",IF(IF(足元帳!AU162="","",足元帳!BB162)=1,精算表!$C$14,IF(IF(足元帳!AU162="","",足元帳!BB162)=2,精算表!$E$14,IF(IF(足元帳!AU162="","",足元帳!BB162)=3,精算表!$G$14,IF(IF(足元帳!AU162="","",足元帳!BB162)=4,精算表!$I$14,IF(IF(足元帳!AU162="","",足元帳!BB162)=5,精算表!$K$14,))))))</f>
        <v/>
      </c>
      <c r="J162" s="217" t="str">
        <f>IFERROR(VLOOKUP(VLOOKUP(IF(足元帳!AU162="","",足元帳!BJ162),管理シート!$CA$4:$CI$13,2,FALSE),精算表!$BL$20:$BS$29,MATCH(E162&amp;"分",精算表!$BL$20:$BS$20,0),FALSE),"")</f>
        <v/>
      </c>
      <c r="K162" s="220" t="str">
        <f>IF(足元帳!AU162="","",足元帳!CC162)</f>
        <v/>
      </c>
      <c r="L162" s="217" t="str">
        <f>IF(足元帳!AU162="","",IF(足元帳!AL162="●","カード利用",""))</f>
        <v/>
      </c>
    </row>
    <row r="163" spans="1:12">
      <c r="A163" t="str">
        <f>IF(B163="","",
    COUNTA($B$2:B163)-COUNTIFS($B$2:B163,"",$B$2:B163,"=*"))</f>
        <v/>
      </c>
      <c r="B163" s="217" t="str">
        <f>IF(足元帳!AU163="","",足元帳!C163)</f>
        <v/>
      </c>
      <c r="C163" s="217" t="str">
        <f>IFERROR(VLOOKUP(IF(足元帳!AU163="","",足元帳!BJ163),管理シート!$CA$4:$CB$23,2,FALSE),"")</f>
        <v/>
      </c>
      <c r="D163" s="217" t="str">
        <f>IF(足元帳!AU163="","",足元帳!K163)</f>
        <v/>
      </c>
      <c r="E163" s="217" t="str">
        <f>IFERROR(VLOOKUP(IF(足元帳!AU163="","",足元帳!BB163),管理シート!$R$4:$W$12,4),"")</f>
        <v/>
      </c>
      <c r="F163" s="217" t="str">
        <f t="shared" si="3"/>
        <v/>
      </c>
      <c r="G163" s="217" t="str">
        <f>IF(足元帳!AU163="","",足元帳!AU163)</f>
        <v/>
      </c>
      <c r="H163" s="217" t="str">
        <f>IF(足元帳!AV163="","",足元帳!AV163)</f>
        <v/>
      </c>
      <c r="I163" s="217" t="str">
        <f>IF(B163="","",IF(IF(足元帳!AU163="","",足元帳!BB163)=1,精算表!$C$14,IF(IF(足元帳!AU163="","",足元帳!BB163)=2,精算表!$E$14,IF(IF(足元帳!AU163="","",足元帳!BB163)=3,精算表!$G$14,IF(IF(足元帳!AU163="","",足元帳!BB163)=4,精算表!$I$14,IF(IF(足元帳!AU163="","",足元帳!BB163)=5,精算表!$K$14,))))))</f>
        <v/>
      </c>
      <c r="J163" s="217" t="str">
        <f>IFERROR(VLOOKUP(VLOOKUP(IF(足元帳!AU163="","",足元帳!BJ163),管理シート!$CA$4:$CI$13,2,FALSE),精算表!$BL$20:$BS$29,MATCH(E163&amp;"分",精算表!$BL$20:$BS$20,0),FALSE),"")</f>
        <v/>
      </c>
      <c r="K163" s="220" t="str">
        <f>IF(足元帳!AU163="","",足元帳!CC163)</f>
        <v/>
      </c>
      <c r="L163" s="217" t="str">
        <f>IF(足元帳!AU163="","",IF(足元帳!AL163="●","カード利用",""))</f>
        <v/>
      </c>
    </row>
    <row r="164" spans="1:12">
      <c r="A164" t="str">
        <f>IF(B164="","",
    COUNTA($B$2:B164)-COUNTIFS($B$2:B164,"",$B$2:B164,"=*"))</f>
        <v/>
      </c>
      <c r="B164" s="217" t="str">
        <f>IF(足元帳!AU164="","",足元帳!C164)</f>
        <v/>
      </c>
      <c r="C164" s="217" t="str">
        <f>IFERROR(VLOOKUP(IF(足元帳!AU164="","",足元帳!BJ164),管理シート!$CA$4:$CB$23,2,FALSE),"")</f>
        <v/>
      </c>
      <c r="D164" s="217" t="str">
        <f>IF(足元帳!AU164="","",足元帳!K164)</f>
        <v/>
      </c>
      <c r="E164" s="217" t="str">
        <f>IFERROR(VLOOKUP(IF(足元帳!AU164="","",足元帳!BB164),管理シート!$R$4:$W$12,4),"")</f>
        <v/>
      </c>
      <c r="F164" s="217" t="str">
        <f t="shared" si="3"/>
        <v/>
      </c>
      <c r="G164" s="217" t="str">
        <f>IF(足元帳!AU164="","",足元帳!AU164)</f>
        <v/>
      </c>
      <c r="H164" s="217" t="str">
        <f>IF(足元帳!AV164="","",足元帳!AV164)</f>
        <v/>
      </c>
      <c r="I164" s="217" t="str">
        <f>IF(B164="","",IF(IF(足元帳!AU164="","",足元帳!BB164)=1,精算表!$C$14,IF(IF(足元帳!AU164="","",足元帳!BB164)=2,精算表!$E$14,IF(IF(足元帳!AU164="","",足元帳!BB164)=3,精算表!$G$14,IF(IF(足元帳!AU164="","",足元帳!BB164)=4,精算表!$I$14,IF(IF(足元帳!AU164="","",足元帳!BB164)=5,精算表!$K$14,))))))</f>
        <v/>
      </c>
      <c r="J164" s="217" t="str">
        <f>IFERROR(VLOOKUP(VLOOKUP(IF(足元帳!AU164="","",足元帳!BJ164),管理シート!$CA$4:$CI$13,2,FALSE),精算表!$BL$20:$BS$29,MATCH(E164&amp;"分",精算表!$BL$20:$BS$20,0),FALSE),"")</f>
        <v/>
      </c>
      <c r="K164" s="220" t="str">
        <f>IF(足元帳!AU164="","",足元帳!CC164)</f>
        <v/>
      </c>
      <c r="L164" s="217" t="str">
        <f>IF(足元帳!AU164="","",IF(足元帳!AL164="●","カード利用",""))</f>
        <v/>
      </c>
    </row>
    <row r="165" spans="1:12">
      <c r="A165" t="str">
        <f>IF(B165="","",
    COUNTA($B$2:B165)-COUNTIFS($B$2:B165,"",$B$2:B165,"=*"))</f>
        <v/>
      </c>
      <c r="B165" s="217" t="str">
        <f>IF(足元帳!AU165="","",足元帳!C165)</f>
        <v/>
      </c>
      <c r="C165" s="217" t="str">
        <f>IFERROR(VLOOKUP(IF(足元帳!AU165="","",足元帳!BJ165),管理シート!$CA$4:$CB$23,2,FALSE),"")</f>
        <v/>
      </c>
      <c r="D165" s="217" t="str">
        <f>IF(足元帳!AU165="","",足元帳!K165)</f>
        <v/>
      </c>
      <c r="E165" s="217" t="str">
        <f>IFERROR(VLOOKUP(IF(足元帳!AU165="","",足元帳!BB165),管理シート!$R$4:$W$12,4),"")</f>
        <v/>
      </c>
      <c r="F165" s="217" t="str">
        <f t="shared" si="3"/>
        <v/>
      </c>
      <c r="G165" s="217" t="str">
        <f>IF(足元帳!AU165="","",足元帳!AU165)</f>
        <v/>
      </c>
      <c r="H165" s="217" t="str">
        <f>IF(足元帳!AV165="","",足元帳!AV165)</f>
        <v/>
      </c>
      <c r="I165" s="217" t="str">
        <f>IF(B165="","",IF(IF(足元帳!AU165="","",足元帳!BB165)=1,精算表!$C$14,IF(IF(足元帳!AU165="","",足元帳!BB165)=2,精算表!$E$14,IF(IF(足元帳!AU165="","",足元帳!BB165)=3,精算表!$G$14,IF(IF(足元帳!AU165="","",足元帳!BB165)=4,精算表!$I$14,IF(IF(足元帳!AU165="","",足元帳!BB165)=5,精算表!$K$14,))))))</f>
        <v/>
      </c>
      <c r="J165" s="217" t="str">
        <f>IFERROR(VLOOKUP(VLOOKUP(IF(足元帳!AU165="","",足元帳!BJ165),管理シート!$CA$4:$CI$13,2,FALSE),精算表!$BL$20:$BS$29,MATCH(E165&amp;"分",精算表!$BL$20:$BS$20,0),FALSE),"")</f>
        <v/>
      </c>
      <c r="K165" s="220" t="str">
        <f>IF(足元帳!AU165="","",足元帳!CC165)</f>
        <v/>
      </c>
      <c r="L165" s="217" t="str">
        <f>IF(足元帳!AU165="","",IF(足元帳!AL165="●","カード利用",""))</f>
        <v/>
      </c>
    </row>
    <row r="166" spans="1:12">
      <c r="A166" t="str">
        <f>IF(B166="","",
    COUNTA($B$2:B166)-COUNTIFS($B$2:B166,"",$B$2:B166,"=*"))</f>
        <v/>
      </c>
      <c r="B166" s="217" t="str">
        <f>IF(足元帳!AU166="","",足元帳!C166)</f>
        <v/>
      </c>
      <c r="C166" s="217" t="str">
        <f>IFERROR(VLOOKUP(IF(足元帳!AU166="","",足元帳!BJ166),管理シート!$CA$4:$CB$23,2,FALSE),"")</f>
        <v/>
      </c>
      <c r="D166" s="217" t="str">
        <f>IF(足元帳!AU166="","",足元帳!K166)</f>
        <v/>
      </c>
      <c r="E166" s="217" t="str">
        <f>IFERROR(VLOOKUP(IF(足元帳!AU166="","",足元帳!BB166),管理シート!$R$4:$W$12,4),"")</f>
        <v/>
      </c>
      <c r="F166" s="217" t="str">
        <f t="shared" si="3"/>
        <v/>
      </c>
      <c r="G166" s="217" t="str">
        <f>IF(足元帳!AU166="","",足元帳!AU166)</f>
        <v/>
      </c>
      <c r="H166" s="217" t="str">
        <f>IF(足元帳!AV166="","",足元帳!AV166)</f>
        <v/>
      </c>
      <c r="I166" s="217" t="str">
        <f>IF(B166="","",IF(IF(足元帳!AU166="","",足元帳!BB166)=1,精算表!$C$14,IF(IF(足元帳!AU166="","",足元帳!BB166)=2,精算表!$E$14,IF(IF(足元帳!AU166="","",足元帳!BB166)=3,精算表!$G$14,IF(IF(足元帳!AU166="","",足元帳!BB166)=4,精算表!$I$14,IF(IF(足元帳!AU166="","",足元帳!BB166)=5,精算表!$K$14,))))))</f>
        <v/>
      </c>
      <c r="J166" s="217" t="str">
        <f>IFERROR(VLOOKUP(VLOOKUP(IF(足元帳!AU166="","",足元帳!BJ166),管理シート!$CA$4:$CI$13,2,FALSE),精算表!$BL$20:$BS$29,MATCH(E166&amp;"分",精算表!$BL$20:$BS$20,0),FALSE),"")</f>
        <v/>
      </c>
      <c r="K166" s="220" t="str">
        <f>IF(足元帳!AU166="","",足元帳!CC166)</f>
        <v/>
      </c>
      <c r="L166" s="217" t="str">
        <f>IF(足元帳!AU166="","",IF(足元帳!AL166="●","カード利用",""))</f>
        <v/>
      </c>
    </row>
    <row r="167" spans="1:12">
      <c r="A167" t="str">
        <f>IF(B167="","",
    COUNTA($B$2:B167)-COUNTIFS($B$2:B167,"",$B$2:B167,"=*"))</f>
        <v/>
      </c>
      <c r="B167" s="217" t="str">
        <f>IF(足元帳!AU167="","",足元帳!C167)</f>
        <v/>
      </c>
      <c r="C167" s="217" t="str">
        <f>IFERROR(VLOOKUP(IF(足元帳!AU167="","",足元帳!BJ167),管理シート!$CA$4:$CB$23,2,FALSE),"")</f>
        <v/>
      </c>
      <c r="D167" s="217" t="str">
        <f>IF(足元帳!AU167="","",足元帳!K167)</f>
        <v/>
      </c>
      <c r="E167" s="217" t="str">
        <f>IFERROR(VLOOKUP(IF(足元帳!AU167="","",足元帳!BB167),管理シート!$R$4:$W$12,4),"")</f>
        <v/>
      </c>
      <c r="F167" s="217" t="str">
        <f t="shared" si="3"/>
        <v/>
      </c>
      <c r="G167" s="217" t="str">
        <f>IF(足元帳!AU167="","",足元帳!AU167)</f>
        <v/>
      </c>
      <c r="H167" s="217" t="str">
        <f>IF(足元帳!AV167="","",足元帳!AV167)</f>
        <v/>
      </c>
      <c r="I167" s="217" t="str">
        <f>IF(B167="","",IF(IF(足元帳!AU167="","",足元帳!BB167)=1,精算表!$C$14,IF(IF(足元帳!AU167="","",足元帳!BB167)=2,精算表!$E$14,IF(IF(足元帳!AU167="","",足元帳!BB167)=3,精算表!$G$14,IF(IF(足元帳!AU167="","",足元帳!BB167)=4,精算表!$I$14,IF(IF(足元帳!AU167="","",足元帳!BB167)=5,精算表!$K$14,))))))</f>
        <v/>
      </c>
      <c r="J167" s="217" t="str">
        <f>IFERROR(VLOOKUP(VLOOKUP(IF(足元帳!AU167="","",足元帳!BJ167),管理シート!$CA$4:$CI$13,2,FALSE),精算表!$BL$20:$BS$29,MATCH(E167&amp;"分",精算表!$BL$20:$BS$20,0),FALSE),"")</f>
        <v/>
      </c>
      <c r="K167" s="220" t="str">
        <f>IF(足元帳!AU167="","",足元帳!CC167)</f>
        <v/>
      </c>
      <c r="L167" s="217" t="str">
        <f>IF(足元帳!AU167="","",IF(足元帳!AL167="●","カード利用",""))</f>
        <v/>
      </c>
    </row>
    <row r="168" spans="1:12">
      <c r="A168" t="str">
        <f>IF(B168="","",
    COUNTA($B$2:B168)-COUNTIFS($B$2:B168,"",$B$2:B168,"=*"))</f>
        <v/>
      </c>
      <c r="B168" s="217" t="str">
        <f>IF(足元帳!AU168="","",足元帳!C168)</f>
        <v/>
      </c>
      <c r="C168" s="217" t="str">
        <f>IFERROR(VLOOKUP(IF(足元帳!AU168="","",足元帳!BJ168),管理シート!$CA$4:$CB$23,2,FALSE),"")</f>
        <v/>
      </c>
      <c r="D168" s="217" t="str">
        <f>IF(足元帳!AU168="","",足元帳!K168)</f>
        <v/>
      </c>
      <c r="E168" s="217" t="str">
        <f>IFERROR(VLOOKUP(IF(足元帳!AU168="","",足元帳!BB168),管理シート!$R$4:$W$12,4),"")</f>
        <v/>
      </c>
      <c r="F168" s="217" t="str">
        <f t="shared" si="3"/>
        <v/>
      </c>
      <c r="G168" s="217" t="str">
        <f>IF(足元帳!AU168="","",足元帳!AU168)</f>
        <v/>
      </c>
      <c r="H168" s="217" t="str">
        <f>IF(足元帳!AV168="","",足元帳!AV168)</f>
        <v/>
      </c>
      <c r="I168" s="217" t="str">
        <f>IF(B168="","",IF(IF(足元帳!AU168="","",足元帳!BB168)=1,精算表!$C$14,IF(IF(足元帳!AU168="","",足元帳!BB168)=2,精算表!$E$14,IF(IF(足元帳!AU168="","",足元帳!BB168)=3,精算表!$G$14,IF(IF(足元帳!AU168="","",足元帳!BB168)=4,精算表!$I$14,IF(IF(足元帳!AU168="","",足元帳!BB168)=5,精算表!$K$14,))))))</f>
        <v/>
      </c>
      <c r="J168" s="217" t="str">
        <f>IFERROR(VLOOKUP(VLOOKUP(IF(足元帳!AU168="","",足元帳!BJ168),管理シート!$CA$4:$CI$13,2,FALSE),精算表!$BL$20:$BS$29,MATCH(E168&amp;"分",精算表!$BL$20:$BS$20,0),FALSE),"")</f>
        <v/>
      </c>
      <c r="K168" s="220" t="str">
        <f>IF(足元帳!AU168="","",足元帳!CC168)</f>
        <v/>
      </c>
      <c r="L168" s="217" t="str">
        <f>IF(足元帳!AU168="","",IF(足元帳!AL168="●","カード利用",""))</f>
        <v/>
      </c>
    </row>
    <row r="169" spans="1:12">
      <c r="A169" t="str">
        <f>IF(B169="","",
    COUNTA($B$2:B169)-COUNTIFS($B$2:B169,"",$B$2:B169,"=*"))</f>
        <v/>
      </c>
      <c r="B169" s="217" t="str">
        <f>IF(足元帳!AU169="","",足元帳!C169)</f>
        <v/>
      </c>
      <c r="C169" s="217" t="str">
        <f>IFERROR(VLOOKUP(IF(足元帳!AU169="","",足元帳!BJ169),管理シート!$CA$4:$CB$23,2,FALSE),"")</f>
        <v/>
      </c>
      <c r="D169" s="217" t="str">
        <f>IF(足元帳!AU169="","",足元帳!K169)</f>
        <v/>
      </c>
      <c r="E169" s="217" t="str">
        <f>IFERROR(VLOOKUP(IF(足元帳!AU169="","",足元帳!BB169),管理シート!$R$4:$W$12,4),"")</f>
        <v/>
      </c>
      <c r="F169" s="217" t="str">
        <f t="shared" si="3"/>
        <v/>
      </c>
      <c r="G169" s="217" t="str">
        <f>IF(足元帳!AU169="","",足元帳!AU169)</f>
        <v/>
      </c>
      <c r="H169" s="217" t="str">
        <f>IF(足元帳!AV169="","",足元帳!AV169)</f>
        <v/>
      </c>
      <c r="I169" s="217" t="str">
        <f>IF(B169="","",IF(IF(足元帳!AU169="","",足元帳!BB169)=1,精算表!$C$14,IF(IF(足元帳!AU169="","",足元帳!BB169)=2,精算表!$E$14,IF(IF(足元帳!AU169="","",足元帳!BB169)=3,精算表!$G$14,IF(IF(足元帳!AU169="","",足元帳!BB169)=4,精算表!$I$14,IF(IF(足元帳!AU169="","",足元帳!BB169)=5,精算表!$K$14,))))))</f>
        <v/>
      </c>
      <c r="J169" s="217" t="str">
        <f>IFERROR(VLOOKUP(VLOOKUP(IF(足元帳!AU169="","",足元帳!BJ169),管理シート!$CA$4:$CI$13,2,FALSE),精算表!$BL$20:$BS$29,MATCH(E169&amp;"分",精算表!$BL$20:$BS$20,0),FALSE),"")</f>
        <v/>
      </c>
      <c r="K169" s="220" t="str">
        <f>IF(足元帳!AU169="","",足元帳!CC169)</f>
        <v/>
      </c>
      <c r="L169" s="217" t="str">
        <f>IF(足元帳!AU169="","",IF(足元帳!AL169="●","カード利用",""))</f>
        <v/>
      </c>
    </row>
    <row r="170" spans="1:12">
      <c r="A170" t="str">
        <f>IF(B170="","",
    COUNTA($B$2:B170)-COUNTIFS($B$2:B170,"",$B$2:B170,"=*"))</f>
        <v/>
      </c>
      <c r="B170" s="217" t="str">
        <f>IF(足元帳!AU170="","",足元帳!C170)</f>
        <v/>
      </c>
      <c r="C170" s="217" t="str">
        <f>IFERROR(VLOOKUP(IF(足元帳!AU170="","",足元帳!BJ170),管理シート!$CA$4:$CB$23,2,FALSE),"")</f>
        <v/>
      </c>
      <c r="D170" s="217" t="str">
        <f>IF(足元帳!AU170="","",足元帳!K170)</f>
        <v/>
      </c>
      <c r="E170" s="217" t="str">
        <f>IFERROR(VLOOKUP(IF(足元帳!AU170="","",足元帳!BB170),管理シート!$R$4:$W$12,4),"")</f>
        <v/>
      </c>
      <c r="F170" s="217" t="str">
        <f t="shared" si="3"/>
        <v/>
      </c>
      <c r="G170" s="217" t="str">
        <f>IF(足元帳!AU170="","",足元帳!AU170)</f>
        <v/>
      </c>
      <c r="H170" s="217" t="str">
        <f>IF(足元帳!AV170="","",足元帳!AV170)</f>
        <v/>
      </c>
      <c r="I170" s="217" t="str">
        <f>IF(B170="","",IF(IF(足元帳!AU170="","",足元帳!BB170)=1,精算表!$C$14,IF(IF(足元帳!AU170="","",足元帳!BB170)=2,精算表!$E$14,IF(IF(足元帳!AU170="","",足元帳!BB170)=3,精算表!$G$14,IF(IF(足元帳!AU170="","",足元帳!BB170)=4,精算表!$I$14,IF(IF(足元帳!AU170="","",足元帳!BB170)=5,精算表!$K$14,))))))</f>
        <v/>
      </c>
      <c r="J170" s="217" t="str">
        <f>IFERROR(VLOOKUP(VLOOKUP(IF(足元帳!AU170="","",足元帳!BJ170),管理シート!$CA$4:$CI$13,2,FALSE),精算表!$BL$20:$BS$29,MATCH(E170&amp;"分",精算表!$BL$20:$BS$20,0),FALSE),"")</f>
        <v/>
      </c>
      <c r="K170" s="220" t="str">
        <f>IF(足元帳!AU170="","",足元帳!CC170)</f>
        <v/>
      </c>
      <c r="L170" s="217" t="str">
        <f>IF(足元帳!AU170="","",IF(足元帳!AL170="●","カード利用",""))</f>
        <v/>
      </c>
    </row>
    <row r="171" spans="1:12">
      <c r="A171" t="str">
        <f>IF(B171="","",
    COUNTA($B$2:B171)-COUNTIFS($B$2:B171,"",$B$2:B171,"=*"))</f>
        <v/>
      </c>
      <c r="B171" s="217" t="str">
        <f>IF(足元帳!AU171="","",足元帳!C171)</f>
        <v/>
      </c>
      <c r="C171" s="217" t="str">
        <f>IFERROR(VLOOKUP(IF(足元帳!AU171="","",足元帳!BJ171),管理シート!$CA$4:$CB$23,2,FALSE),"")</f>
        <v/>
      </c>
      <c r="D171" s="217" t="str">
        <f>IF(足元帳!AU171="","",足元帳!K171)</f>
        <v/>
      </c>
      <c r="E171" s="217" t="str">
        <f>IFERROR(VLOOKUP(IF(足元帳!AU171="","",足元帳!BB171),管理シート!$R$4:$W$12,4),"")</f>
        <v/>
      </c>
      <c r="F171" s="217" t="str">
        <f t="shared" si="3"/>
        <v/>
      </c>
      <c r="G171" s="217" t="str">
        <f>IF(足元帳!AU171="","",足元帳!AU171)</f>
        <v/>
      </c>
      <c r="H171" s="217" t="str">
        <f>IF(足元帳!AV171="","",足元帳!AV171)</f>
        <v/>
      </c>
      <c r="I171" s="217" t="str">
        <f>IF(B171="","",IF(IF(足元帳!AU171="","",足元帳!BB171)=1,精算表!$C$14,IF(IF(足元帳!AU171="","",足元帳!BB171)=2,精算表!$E$14,IF(IF(足元帳!AU171="","",足元帳!BB171)=3,精算表!$G$14,IF(IF(足元帳!AU171="","",足元帳!BB171)=4,精算表!$I$14,IF(IF(足元帳!AU171="","",足元帳!BB171)=5,精算表!$K$14,))))))</f>
        <v/>
      </c>
      <c r="J171" s="217" t="str">
        <f>IFERROR(VLOOKUP(VLOOKUP(IF(足元帳!AU171="","",足元帳!BJ171),管理シート!$CA$4:$CI$13,2,FALSE),精算表!$BL$20:$BS$29,MATCH(E171&amp;"分",精算表!$BL$20:$BS$20,0),FALSE),"")</f>
        <v/>
      </c>
      <c r="K171" s="220" t="str">
        <f>IF(足元帳!AU171="","",足元帳!CC171)</f>
        <v/>
      </c>
      <c r="L171" s="217" t="str">
        <f>IF(足元帳!AU171="","",IF(足元帳!AL171="●","カード利用",""))</f>
        <v/>
      </c>
    </row>
    <row r="172" spans="1:12">
      <c r="A172" t="str">
        <f>IF(B172="","",
    COUNTA($B$2:B172)-COUNTIFS($B$2:B172,"",$B$2:B172,"=*"))</f>
        <v/>
      </c>
      <c r="B172" s="217" t="str">
        <f>IF(足元帳!AU172="","",足元帳!C172)</f>
        <v/>
      </c>
      <c r="C172" s="217" t="str">
        <f>IFERROR(VLOOKUP(IF(足元帳!AU172="","",足元帳!BJ172),管理シート!$CA$4:$CB$23,2,FALSE),"")</f>
        <v/>
      </c>
      <c r="D172" s="217" t="str">
        <f>IF(足元帳!AU172="","",足元帳!K172)</f>
        <v/>
      </c>
      <c r="E172" s="217" t="str">
        <f>IFERROR(VLOOKUP(IF(足元帳!AU172="","",足元帳!BB172),管理シート!$R$4:$W$12,4),"")</f>
        <v/>
      </c>
      <c r="F172" s="217" t="str">
        <f t="shared" si="3"/>
        <v/>
      </c>
      <c r="G172" s="217" t="str">
        <f>IF(足元帳!AU172="","",足元帳!AU172)</f>
        <v/>
      </c>
      <c r="H172" s="217" t="str">
        <f>IF(足元帳!AV172="","",足元帳!AV172)</f>
        <v/>
      </c>
      <c r="I172" s="217" t="str">
        <f>IF(B172="","",IF(IF(足元帳!AU172="","",足元帳!BB172)=1,精算表!$C$14,IF(IF(足元帳!AU172="","",足元帳!BB172)=2,精算表!$E$14,IF(IF(足元帳!AU172="","",足元帳!BB172)=3,精算表!$G$14,IF(IF(足元帳!AU172="","",足元帳!BB172)=4,精算表!$I$14,IF(IF(足元帳!AU172="","",足元帳!BB172)=5,精算表!$K$14,))))))</f>
        <v/>
      </c>
      <c r="J172" s="217" t="str">
        <f>IFERROR(VLOOKUP(VLOOKUP(IF(足元帳!AU172="","",足元帳!BJ172),管理シート!$CA$4:$CI$13,2,FALSE),精算表!$BL$20:$BS$29,MATCH(E172&amp;"分",精算表!$BL$20:$BS$20,0),FALSE),"")</f>
        <v/>
      </c>
      <c r="K172" s="220" t="str">
        <f>IF(足元帳!AU172="","",足元帳!CC172)</f>
        <v/>
      </c>
      <c r="L172" s="217" t="str">
        <f>IF(足元帳!AU172="","",IF(足元帳!AL172="●","カード利用",""))</f>
        <v/>
      </c>
    </row>
    <row r="173" spans="1:12">
      <c r="A173" t="str">
        <f>IF(B173="","",
    COUNTA($B$2:B173)-COUNTIFS($B$2:B173,"",$B$2:B173,"=*"))</f>
        <v/>
      </c>
      <c r="B173" s="217" t="str">
        <f>IF(足元帳!AU173="","",足元帳!C173)</f>
        <v/>
      </c>
      <c r="C173" s="217" t="str">
        <f>IFERROR(VLOOKUP(IF(足元帳!AU173="","",足元帳!BJ173),管理シート!$CA$4:$CB$23,2,FALSE),"")</f>
        <v/>
      </c>
      <c r="D173" s="217" t="str">
        <f>IF(足元帳!AU173="","",足元帳!K173)</f>
        <v/>
      </c>
      <c r="E173" s="217" t="str">
        <f>IFERROR(VLOOKUP(IF(足元帳!AU173="","",足元帳!BB173),管理シート!$R$4:$W$12,4),"")</f>
        <v/>
      </c>
      <c r="F173" s="217" t="str">
        <f t="shared" si="3"/>
        <v/>
      </c>
      <c r="G173" s="217" t="str">
        <f>IF(足元帳!AU173="","",足元帳!AU173)</f>
        <v/>
      </c>
      <c r="H173" s="217" t="str">
        <f>IF(足元帳!AV173="","",足元帳!AV173)</f>
        <v/>
      </c>
      <c r="I173" s="217" t="str">
        <f>IF(B173="","",IF(IF(足元帳!AU173="","",足元帳!BB173)=1,精算表!$C$14,IF(IF(足元帳!AU173="","",足元帳!BB173)=2,精算表!$E$14,IF(IF(足元帳!AU173="","",足元帳!BB173)=3,精算表!$G$14,IF(IF(足元帳!AU173="","",足元帳!BB173)=4,精算表!$I$14,IF(IF(足元帳!AU173="","",足元帳!BB173)=5,精算表!$K$14,))))))</f>
        <v/>
      </c>
      <c r="J173" s="217" t="str">
        <f>IFERROR(VLOOKUP(VLOOKUP(IF(足元帳!AU173="","",足元帳!BJ173),管理シート!$CA$4:$CI$13,2,FALSE),精算表!$BL$20:$BS$29,MATCH(E173&amp;"分",精算表!$BL$20:$BS$20,0),FALSE),"")</f>
        <v/>
      </c>
      <c r="K173" s="220" t="str">
        <f>IF(足元帳!AU173="","",足元帳!CC173)</f>
        <v/>
      </c>
      <c r="L173" s="217" t="str">
        <f>IF(足元帳!AU173="","",IF(足元帳!AL173="●","カード利用",""))</f>
        <v/>
      </c>
    </row>
    <row r="174" spans="1:12">
      <c r="A174" t="str">
        <f>IF(B174="","",
    COUNTA($B$2:B174)-COUNTIFS($B$2:B174,"",$B$2:B174,"=*"))</f>
        <v/>
      </c>
      <c r="B174" s="217" t="str">
        <f>IF(足元帳!AU174="","",足元帳!C174)</f>
        <v/>
      </c>
      <c r="C174" s="217" t="str">
        <f>IFERROR(VLOOKUP(IF(足元帳!AU174="","",足元帳!BJ174),管理シート!$CA$4:$CB$23,2,FALSE),"")</f>
        <v/>
      </c>
      <c r="D174" s="217" t="str">
        <f>IF(足元帳!AU174="","",足元帳!K174)</f>
        <v/>
      </c>
      <c r="E174" s="217" t="str">
        <f>IFERROR(VLOOKUP(IF(足元帳!AU174="","",足元帳!BB174),管理シート!$R$4:$W$12,4),"")</f>
        <v/>
      </c>
      <c r="F174" s="217" t="str">
        <f t="shared" si="3"/>
        <v/>
      </c>
      <c r="G174" s="217" t="str">
        <f>IF(足元帳!AU174="","",足元帳!AU174)</f>
        <v/>
      </c>
      <c r="H174" s="217" t="str">
        <f>IF(足元帳!AV174="","",足元帳!AV174)</f>
        <v/>
      </c>
      <c r="I174" s="217" t="str">
        <f>IF(B174="","",IF(IF(足元帳!AU174="","",足元帳!BB174)=1,精算表!$C$14,IF(IF(足元帳!AU174="","",足元帳!BB174)=2,精算表!$E$14,IF(IF(足元帳!AU174="","",足元帳!BB174)=3,精算表!$G$14,IF(IF(足元帳!AU174="","",足元帳!BB174)=4,精算表!$I$14,IF(IF(足元帳!AU174="","",足元帳!BB174)=5,精算表!$K$14,))))))</f>
        <v/>
      </c>
      <c r="J174" s="217" t="str">
        <f>IFERROR(VLOOKUP(VLOOKUP(IF(足元帳!AU174="","",足元帳!BJ174),管理シート!$CA$4:$CI$13,2,FALSE),精算表!$BL$20:$BS$29,MATCH(E174&amp;"分",精算表!$BL$20:$BS$20,0),FALSE),"")</f>
        <v/>
      </c>
      <c r="K174" s="220" t="str">
        <f>IF(足元帳!AU174="","",足元帳!CC174)</f>
        <v/>
      </c>
      <c r="L174" s="217" t="str">
        <f>IF(足元帳!AU174="","",IF(足元帳!AL174="●","カード利用",""))</f>
        <v/>
      </c>
    </row>
    <row r="175" spans="1:12">
      <c r="A175" t="str">
        <f>IF(B175="","",
    COUNTA($B$2:B175)-COUNTIFS($B$2:B175,"",$B$2:B175,"=*"))</f>
        <v/>
      </c>
      <c r="B175" s="217" t="str">
        <f>IF(足元帳!AU175="","",足元帳!C175)</f>
        <v/>
      </c>
      <c r="C175" s="217" t="str">
        <f>IFERROR(VLOOKUP(IF(足元帳!AU175="","",足元帳!BJ175),管理シート!$CA$4:$CB$23,2,FALSE),"")</f>
        <v/>
      </c>
      <c r="D175" s="217" t="str">
        <f>IF(足元帳!AU175="","",足元帳!K175)</f>
        <v/>
      </c>
      <c r="E175" s="217" t="str">
        <f>IFERROR(VLOOKUP(IF(足元帳!AU175="","",足元帳!BB175),管理シート!$R$4:$W$12,4),"")</f>
        <v/>
      </c>
      <c r="F175" s="217" t="str">
        <f t="shared" si="3"/>
        <v/>
      </c>
      <c r="G175" s="217" t="str">
        <f>IF(足元帳!AU175="","",足元帳!AU175)</f>
        <v/>
      </c>
      <c r="H175" s="217" t="str">
        <f>IF(足元帳!AV175="","",足元帳!AV175)</f>
        <v/>
      </c>
      <c r="I175" s="217" t="str">
        <f>IF(B175="","",IF(IF(足元帳!AU175="","",足元帳!BB175)=1,精算表!$C$14,IF(IF(足元帳!AU175="","",足元帳!BB175)=2,精算表!$E$14,IF(IF(足元帳!AU175="","",足元帳!BB175)=3,精算表!$G$14,IF(IF(足元帳!AU175="","",足元帳!BB175)=4,精算表!$I$14,IF(IF(足元帳!AU175="","",足元帳!BB175)=5,精算表!$K$14,))))))</f>
        <v/>
      </c>
      <c r="J175" s="217" t="str">
        <f>IFERROR(VLOOKUP(VLOOKUP(IF(足元帳!AU175="","",足元帳!BJ175),管理シート!$CA$4:$CI$13,2,FALSE),精算表!$BL$20:$BS$29,MATCH(E175&amp;"分",精算表!$BL$20:$BS$20,0),FALSE),"")</f>
        <v/>
      </c>
      <c r="K175" s="220" t="str">
        <f>IF(足元帳!AU175="","",足元帳!CC175)</f>
        <v/>
      </c>
      <c r="L175" s="217" t="str">
        <f>IF(足元帳!AU175="","",IF(足元帳!AL175="●","カード利用",""))</f>
        <v/>
      </c>
    </row>
    <row r="176" spans="1:12">
      <c r="A176" t="str">
        <f>IF(B176="","",
    COUNTA($B$2:B176)-COUNTIFS($B$2:B176,"",$B$2:B176,"=*"))</f>
        <v/>
      </c>
      <c r="B176" s="217" t="str">
        <f>IF(足元帳!AU176="","",足元帳!C176)</f>
        <v/>
      </c>
      <c r="C176" s="217" t="str">
        <f>IFERROR(VLOOKUP(IF(足元帳!AU176="","",足元帳!BJ176),管理シート!$CA$4:$CB$23,2,FALSE),"")</f>
        <v/>
      </c>
      <c r="D176" s="217" t="str">
        <f>IF(足元帳!AU176="","",足元帳!K176)</f>
        <v/>
      </c>
      <c r="E176" s="217" t="str">
        <f>IFERROR(VLOOKUP(IF(足元帳!AU176="","",足元帳!BB176),管理シート!$R$4:$W$12,4),"")</f>
        <v/>
      </c>
      <c r="F176" s="217" t="str">
        <f t="shared" si="3"/>
        <v/>
      </c>
      <c r="G176" s="217" t="str">
        <f>IF(足元帳!AU176="","",足元帳!AU176)</f>
        <v/>
      </c>
      <c r="H176" s="217" t="str">
        <f>IF(足元帳!AV176="","",足元帳!AV176)</f>
        <v/>
      </c>
      <c r="I176" s="217" t="str">
        <f>IF(B176="","",IF(IF(足元帳!AU176="","",足元帳!BB176)=1,精算表!$C$14,IF(IF(足元帳!AU176="","",足元帳!BB176)=2,精算表!$E$14,IF(IF(足元帳!AU176="","",足元帳!BB176)=3,精算表!$G$14,IF(IF(足元帳!AU176="","",足元帳!BB176)=4,精算表!$I$14,IF(IF(足元帳!AU176="","",足元帳!BB176)=5,精算表!$K$14,))))))</f>
        <v/>
      </c>
      <c r="J176" s="217" t="str">
        <f>IFERROR(VLOOKUP(VLOOKUP(IF(足元帳!AU176="","",足元帳!BJ176),管理シート!$CA$4:$CI$13,2,FALSE),精算表!$BL$20:$BS$29,MATCH(E176&amp;"分",精算表!$BL$20:$BS$20,0),FALSE),"")</f>
        <v/>
      </c>
      <c r="K176" s="220" t="str">
        <f>IF(足元帳!AU176="","",足元帳!CC176)</f>
        <v/>
      </c>
      <c r="L176" s="217" t="str">
        <f>IF(足元帳!AU176="","",IF(足元帳!AL176="●","カード利用",""))</f>
        <v/>
      </c>
    </row>
    <row r="177" spans="1:12">
      <c r="A177" t="str">
        <f>IF(B177="","",
    COUNTA($B$2:B177)-COUNTIFS($B$2:B177,"",$B$2:B177,"=*"))</f>
        <v/>
      </c>
      <c r="B177" s="217" t="str">
        <f>IF(足元帳!AU177="","",足元帳!C177)</f>
        <v/>
      </c>
      <c r="C177" s="217" t="str">
        <f>IFERROR(VLOOKUP(IF(足元帳!AU177="","",足元帳!BJ177),管理シート!$CA$4:$CB$23,2,FALSE),"")</f>
        <v/>
      </c>
      <c r="D177" s="217" t="str">
        <f>IF(足元帳!AU177="","",足元帳!K177)</f>
        <v/>
      </c>
      <c r="E177" s="217" t="str">
        <f>IFERROR(VLOOKUP(IF(足元帳!AU177="","",足元帳!BB177),管理シート!$R$4:$W$12,4),"")</f>
        <v/>
      </c>
      <c r="F177" s="217" t="str">
        <f t="shared" si="3"/>
        <v/>
      </c>
      <c r="G177" s="217" t="str">
        <f>IF(足元帳!AU177="","",足元帳!AU177)</f>
        <v/>
      </c>
      <c r="H177" s="217" t="str">
        <f>IF(足元帳!AV177="","",足元帳!AV177)</f>
        <v/>
      </c>
      <c r="I177" s="217" t="str">
        <f>IF(B177="","",IF(IF(足元帳!AU177="","",足元帳!BB177)=1,精算表!$C$14,IF(IF(足元帳!AU177="","",足元帳!BB177)=2,精算表!$E$14,IF(IF(足元帳!AU177="","",足元帳!BB177)=3,精算表!$G$14,IF(IF(足元帳!AU177="","",足元帳!BB177)=4,精算表!$I$14,IF(IF(足元帳!AU177="","",足元帳!BB177)=5,精算表!$K$14,))))))</f>
        <v/>
      </c>
      <c r="J177" s="217" t="str">
        <f>IFERROR(VLOOKUP(VLOOKUP(IF(足元帳!AU177="","",足元帳!BJ177),管理シート!$CA$4:$CI$13,2,FALSE),精算表!$BL$20:$BS$29,MATCH(E177&amp;"分",精算表!$BL$20:$BS$20,0),FALSE),"")</f>
        <v/>
      </c>
      <c r="K177" s="220" t="str">
        <f>IF(足元帳!AU177="","",足元帳!CC177)</f>
        <v/>
      </c>
      <c r="L177" s="217" t="str">
        <f>IF(足元帳!AU177="","",IF(足元帳!AL177="●","カード利用",""))</f>
        <v/>
      </c>
    </row>
    <row r="178" spans="1:12">
      <c r="A178" t="str">
        <f>IF(B178="","",
    COUNTA($B$2:B178)-COUNTIFS($B$2:B178,"",$B$2:B178,"=*"))</f>
        <v/>
      </c>
      <c r="B178" s="217" t="str">
        <f>IF(足元帳!AU178="","",足元帳!C178)</f>
        <v/>
      </c>
      <c r="C178" s="217" t="str">
        <f>IFERROR(VLOOKUP(IF(足元帳!AU178="","",足元帳!BJ178),管理シート!$CA$4:$CB$23,2,FALSE),"")</f>
        <v/>
      </c>
      <c r="D178" s="217" t="str">
        <f>IF(足元帳!AU178="","",足元帳!K178)</f>
        <v/>
      </c>
      <c r="E178" s="217" t="str">
        <f>IFERROR(VLOOKUP(IF(足元帳!AU178="","",足元帳!BB178),管理シート!$R$4:$W$12,4),"")</f>
        <v/>
      </c>
      <c r="F178" s="217" t="str">
        <f t="shared" si="3"/>
        <v/>
      </c>
      <c r="G178" s="217" t="str">
        <f>IF(足元帳!AU178="","",足元帳!AU178)</f>
        <v/>
      </c>
      <c r="H178" s="217" t="str">
        <f>IF(足元帳!AV178="","",足元帳!AV178)</f>
        <v/>
      </c>
      <c r="I178" s="217" t="str">
        <f>IF(B178="","",IF(IF(足元帳!AU178="","",足元帳!BB178)=1,精算表!$C$14,IF(IF(足元帳!AU178="","",足元帳!BB178)=2,精算表!$E$14,IF(IF(足元帳!AU178="","",足元帳!BB178)=3,精算表!$G$14,IF(IF(足元帳!AU178="","",足元帳!BB178)=4,精算表!$I$14,IF(IF(足元帳!AU178="","",足元帳!BB178)=5,精算表!$K$14,))))))</f>
        <v/>
      </c>
      <c r="J178" s="217" t="str">
        <f>IFERROR(VLOOKUP(VLOOKUP(IF(足元帳!AU178="","",足元帳!BJ178),管理シート!$CA$4:$CI$13,2,FALSE),精算表!$BL$20:$BS$29,MATCH(E178&amp;"分",精算表!$BL$20:$BS$20,0),FALSE),"")</f>
        <v/>
      </c>
      <c r="K178" s="220" t="str">
        <f>IF(足元帳!AU178="","",足元帳!CC178)</f>
        <v/>
      </c>
      <c r="L178" s="217" t="str">
        <f>IF(足元帳!AU178="","",IF(足元帳!AL178="●","カード利用",""))</f>
        <v/>
      </c>
    </row>
    <row r="179" spans="1:12">
      <c r="A179" t="str">
        <f>IF(B179="","",
    COUNTA($B$2:B179)-COUNTIFS($B$2:B179,"",$B$2:B179,"=*"))</f>
        <v/>
      </c>
      <c r="B179" s="217" t="str">
        <f>IF(足元帳!AU179="","",足元帳!C179)</f>
        <v/>
      </c>
      <c r="C179" s="217" t="str">
        <f>IFERROR(VLOOKUP(IF(足元帳!AU179="","",足元帳!BJ179),管理シート!$CA$4:$CB$23,2,FALSE),"")</f>
        <v/>
      </c>
      <c r="D179" s="217" t="str">
        <f>IF(足元帳!AU179="","",足元帳!K179)</f>
        <v/>
      </c>
      <c r="E179" s="217" t="str">
        <f>IFERROR(VLOOKUP(IF(足元帳!AU179="","",足元帳!BB179),管理シート!$R$4:$W$12,4),"")</f>
        <v/>
      </c>
      <c r="F179" s="217" t="str">
        <f t="shared" si="3"/>
        <v/>
      </c>
      <c r="G179" s="217" t="str">
        <f>IF(足元帳!AU179="","",足元帳!AU179)</f>
        <v/>
      </c>
      <c r="H179" s="217" t="str">
        <f>IF(足元帳!AV179="","",足元帳!AV179)</f>
        <v/>
      </c>
      <c r="I179" s="217" t="str">
        <f>IF(B179="","",IF(IF(足元帳!AU179="","",足元帳!BB179)=1,精算表!$C$14,IF(IF(足元帳!AU179="","",足元帳!BB179)=2,精算表!$E$14,IF(IF(足元帳!AU179="","",足元帳!BB179)=3,精算表!$G$14,IF(IF(足元帳!AU179="","",足元帳!BB179)=4,精算表!$I$14,IF(IF(足元帳!AU179="","",足元帳!BB179)=5,精算表!$K$14,))))))</f>
        <v/>
      </c>
      <c r="J179" s="217" t="str">
        <f>IFERROR(VLOOKUP(VLOOKUP(IF(足元帳!AU179="","",足元帳!BJ179),管理シート!$CA$4:$CI$13,2,FALSE),精算表!$BL$20:$BS$29,MATCH(E179&amp;"分",精算表!$BL$20:$BS$20,0),FALSE),"")</f>
        <v/>
      </c>
      <c r="K179" s="220" t="str">
        <f>IF(足元帳!AU179="","",足元帳!CC179)</f>
        <v/>
      </c>
      <c r="L179" s="217" t="str">
        <f>IF(足元帳!AU179="","",IF(足元帳!AL179="●","カード利用",""))</f>
        <v/>
      </c>
    </row>
    <row r="180" spans="1:12">
      <c r="A180" t="str">
        <f>IF(B180="","",
    COUNTA($B$2:B180)-COUNTIFS($B$2:B180,"",$B$2:B180,"=*"))</f>
        <v/>
      </c>
      <c r="B180" s="217" t="str">
        <f>IF(足元帳!AU180="","",足元帳!C180)</f>
        <v/>
      </c>
      <c r="C180" s="217" t="str">
        <f>IFERROR(VLOOKUP(IF(足元帳!AU180="","",足元帳!BJ180),管理シート!$CA$4:$CB$23,2,FALSE),"")</f>
        <v/>
      </c>
      <c r="D180" s="217" t="str">
        <f>IF(足元帳!AU180="","",足元帳!K180)</f>
        <v/>
      </c>
      <c r="E180" s="217" t="str">
        <f>IFERROR(VLOOKUP(IF(足元帳!AU180="","",足元帳!BB180),管理シート!$R$4:$W$12,4),"")</f>
        <v/>
      </c>
      <c r="F180" s="217" t="str">
        <f t="shared" si="3"/>
        <v/>
      </c>
      <c r="G180" s="217" t="str">
        <f>IF(足元帳!AU180="","",足元帳!AU180)</f>
        <v/>
      </c>
      <c r="H180" s="217" t="str">
        <f>IF(足元帳!AV180="","",足元帳!AV180)</f>
        <v/>
      </c>
      <c r="I180" s="217" t="str">
        <f>IF(B180="","",IF(IF(足元帳!AU180="","",足元帳!BB180)=1,精算表!$C$14,IF(IF(足元帳!AU180="","",足元帳!BB180)=2,精算表!$E$14,IF(IF(足元帳!AU180="","",足元帳!BB180)=3,精算表!$G$14,IF(IF(足元帳!AU180="","",足元帳!BB180)=4,精算表!$I$14,IF(IF(足元帳!AU180="","",足元帳!BB180)=5,精算表!$K$14,))))))</f>
        <v/>
      </c>
      <c r="J180" s="217" t="str">
        <f>IFERROR(VLOOKUP(VLOOKUP(IF(足元帳!AU180="","",足元帳!BJ180),管理シート!$CA$4:$CI$13,2,FALSE),精算表!$BL$20:$BS$29,MATCH(E180&amp;"分",精算表!$BL$20:$BS$20,0),FALSE),"")</f>
        <v/>
      </c>
      <c r="K180" s="220" t="str">
        <f>IF(足元帳!AU180="","",足元帳!CC180)</f>
        <v/>
      </c>
      <c r="L180" s="217" t="str">
        <f>IF(足元帳!AU180="","",IF(足元帳!AL180="●","カード利用",""))</f>
        <v/>
      </c>
    </row>
    <row r="181" spans="1:12">
      <c r="A181" t="str">
        <f>IF(B181="","",
    COUNTA($B$2:B181)-COUNTIFS($B$2:B181,"",$B$2:B181,"=*"))</f>
        <v/>
      </c>
      <c r="B181" s="217" t="str">
        <f>IF(足元帳!AU181="","",足元帳!C181)</f>
        <v/>
      </c>
      <c r="C181" s="217" t="str">
        <f>IFERROR(VLOOKUP(IF(足元帳!AU181="","",足元帳!BJ181),管理シート!$CA$4:$CB$23,2,FALSE),"")</f>
        <v/>
      </c>
      <c r="D181" s="217" t="str">
        <f>IF(足元帳!AU181="","",足元帳!K181)</f>
        <v/>
      </c>
      <c r="E181" s="217" t="str">
        <f>IFERROR(VLOOKUP(IF(足元帳!AU181="","",足元帳!BB181),管理シート!$R$4:$W$12,4),"")</f>
        <v/>
      </c>
      <c r="F181" s="217" t="str">
        <f t="shared" si="3"/>
        <v/>
      </c>
      <c r="G181" s="217" t="str">
        <f>IF(足元帳!AU181="","",足元帳!AU181)</f>
        <v/>
      </c>
      <c r="H181" s="217" t="str">
        <f>IF(足元帳!AV181="","",足元帳!AV181)</f>
        <v/>
      </c>
      <c r="I181" s="217" t="str">
        <f>IF(B181="","",IF(IF(足元帳!AU181="","",足元帳!BB181)=1,精算表!$C$14,IF(IF(足元帳!AU181="","",足元帳!BB181)=2,精算表!$E$14,IF(IF(足元帳!AU181="","",足元帳!BB181)=3,精算表!$G$14,IF(IF(足元帳!AU181="","",足元帳!BB181)=4,精算表!$I$14,IF(IF(足元帳!AU181="","",足元帳!BB181)=5,精算表!$K$14,))))))</f>
        <v/>
      </c>
      <c r="J181" s="217" t="str">
        <f>IFERROR(VLOOKUP(VLOOKUP(IF(足元帳!AU181="","",足元帳!BJ181),管理シート!$CA$4:$CI$13,2,FALSE),精算表!$BL$20:$BS$29,MATCH(E181&amp;"分",精算表!$BL$20:$BS$20,0),FALSE),"")</f>
        <v/>
      </c>
      <c r="K181" s="220" t="str">
        <f>IF(足元帳!AU181="","",足元帳!CC181)</f>
        <v/>
      </c>
      <c r="L181" s="217" t="str">
        <f>IF(足元帳!AU181="","",IF(足元帳!AL181="●","カード利用",""))</f>
        <v/>
      </c>
    </row>
    <row r="182" spans="1:12">
      <c r="A182" t="str">
        <f>IF(B182="","",
    COUNTA($B$2:B182)-COUNTIFS($B$2:B182,"",$B$2:B182,"=*"))</f>
        <v/>
      </c>
      <c r="B182" s="217" t="str">
        <f>IF(足元帳!AU182="","",足元帳!C182)</f>
        <v/>
      </c>
      <c r="C182" s="217" t="str">
        <f>IFERROR(VLOOKUP(IF(足元帳!AU182="","",足元帳!BJ182),管理シート!$CA$4:$CB$23,2,FALSE),"")</f>
        <v/>
      </c>
      <c r="D182" s="217" t="str">
        <f>IF(足元帳!AU182="","",足元帳!K182)</f>
        <v/>
      </c>
      <c r="E182" s="217" t="str">
        <f>IFERROR(VLOOKUP(IF(足元帳!AU182="","",足元帳!BB182),管理シート!$R$4:$W$12,4),"")</f>
        <v/>
      </c>
      <c r="F182" s="217" t="str">
        <f t="shared" si="3"/>
        <v/>
      </c>
      <c r="G182" s="217" t="str">
        <f>IF(足元帳!AU182="","",足元帳!AU182)</f>
        <v/>
      </c>
      <c r="H182" s="217" t="str">
        <f>IF(足元帳!AV182="","",足元帳!AV182)</f>
        <v/>
      </c>
      <c r="I182" s="217" t="str">
        <f>IF(B182="","",IF(IF(足元帳!AU182="","",足元帳!BB182)=1,精算表!$C$14,IF(IF(足元帳!AU182="","",足元帳!BB182)=2,精算表!$E$14,IF(IF(足元帳!AU182="","",足元帳!BB182)=3,精算表!$G$14,IF(IF(足元帳!AU182="","",足元帳!BB182)=4,精算表!$I$14,IF(IF(足元帳!AU182="","",足元帳!BB182)=5,精算表!$K$14,))))))</f>
        <v/>
      </c>
      <c r="J182" s="217" t="str">
        <f>IFERROR(VLOOKUP(VLOOKUP(IF(足元帳!AU182="","",足元帳!BJ182),管理シート!$CA$4:$CI$13,2,FALSE),精算表!$BL$20:$BS$29,MATCH(E182&amp;"分",精算表!$BL$20:$BS$20,0),FALSE),"")</f>
        <v/>
      </c>
      <c r="K182" s="220" t="str">
        <f>IF(足元帳!AU182="","",足元帳!CC182)</f>
        <v/>
      </c>
      <c r="L182" s="217" t="str">
        <f>IF(足元帳!AU182="","",IF(足元帳!AL182="●","カード利用",""))</f>
        <v/>
      </c>
    </row>
    <row r="183" spans="1:12">
      <c r="A183" t="str">
        <f>IF(B183="","",
    COUNTA($B$2:B183)-COUNTIFS($B$2:B183,"",$B$2:B183,"=*"))</f>
        <v/>
      </c>
      <c r="B183" s="217" t="str">
        <f>IF(足元帳!AU183="","",足元帳!C183)</f>
        <v/>
      </c>
      <c r="C183" s="217" t="str">
        <f>IFERROR(VLOOKUP(IF(足元帳!AU183="","",足元帳!BJ183),管理シート!$CA$4:$CB$23,2,FALSE),"")</f>
        <v/>
      </c>
      <c r="D183" s="217" t="str">
        <f>IF(足元帳!AU183="","",足元帳!K183)</f>
        <v/>
      </c>
      <c r="E183" s="217" t="str">
        <f>IFERROR(VLOOKUP(IF(足元帳!AU183="","",足元帳!BB183),管理シート!$R$4:$W$12,4),"")</f>
        <v/>
      </c>
      <c r="F183" s="217" t="str">
        <f t="shared" si="3"/>
        <v/>
      </c>
      <c r="G183" s="217" t="str">
        <f>IF(足元帳!AU183="","",足元帳!AU183)</f>
        <v/>
      </c>
      <c r="H183" s="217" t="str">
        <f>IF(足元帳!AV183="","",足元帳!AV183)</f>
        <v/>
      </c>
      <c r="I183" s="217" t="str">
        <f>IF(B183="","",IF(IF(足元帳!AU183="","",足元帳!BB183)=1,精算表!$C$14,IF(IF(足元帳!AU183="","",足元帳!BB183)=2,精算表!$E$14,IF(IF(足元帳!AU183="","",足元帳!BB183)=3,精算表!$G$14,IF(IF(足元帳!AU183="","",足元帳!BB183)=4,精算表!$I$14,IF(IF(足元帳!AU183="","",足元帳!BB183)=5,精算表!$K$14,))))))</f>
        <v/>
      </c>
      <c r="J183" s="217" t="str">
        <f>IFERROR(VLOOKUP(VLOOKUP(IF(足元帳!AU183="","",足元帳!BJ183),管理シート!$CA$4:$CI$13,2,FALSE),精算表!$BL$20:$BS$29,MATCH(E183&amp;"分",精算表!$BL$20:$BS$20,0),FALSE),"")</f>
        <v/>
      </c>
      <c r="K183" s="220" t="str">
        <f>IF(足元帳!AU183="","",足元帳!CC183)</f>
        <v/>
      </c>
      <c r="L183" s="217" t="str">
        <f>IF(足元帳!AU183="","",IF(足元帳!AL183="●","カード利用",""))</f>
        <v/>
      </c>
    </row>
    <row r="184" spans="1:12">
      <c r="A184" t="str">
        <f>IF(B184="","",
    COUNTA($B$2:B184)-COUNTIFS($B$2:B184,"",$B$2:B184,"=*"))</f>
        <v/>
      </c>
      <c r="B184" s="217" t="str">
        <f>IF(足元帳!AU184="","",足元帳!C184)</f>
        <v/>
      </c>
      <c r="C184" s="217" t="str">
        <f>IFERROR(VLOOKUP(IF(足元帳!AU184="","",足元帳!BJ184),管理シート!$CA$4:$CB$23,2,FALSE),"")</f>
        <v/>
      </c>
      <c r="D184" s="217" t="str">
        <f>IF(足元帳!AU184="","",足元帳!K184)</f>
        <v/>
      </c>
      <c r="E184" s="217" t="str">
        <f>IFERROR(VLOOKUP(IF(足元帳!AU184="","",足元帳!BB184),管理シート!$R$4:$W$12,4),"")</f>
        <v/>
      </c>
      <c r="F184" s="217" t="str">
        <f t="shared" si="3"/>
        <v/>
      </c>
      <c r="G184" s="217" t="str">
        <f>IF(足元帳!AU184="","",足元帳!AU184)</f>
        <v/>
      </c>
      <c r="H184" s="217" t="str">
        <f>IF(足元帳!AV184="","",足元帳!AV184)</f>
        <v/>
      </c>
      <c r="I184" s="217" t="str">
        <f>IF(B184="","",IF(IF(足元帳!AU184="","",足元帳!BB184)=1,精算表!$C$14,IF(IF(足元帳!AU184="","",足元帳!BB184)=2,精算表!$E$14,IF(IF(足元帳!AU184="","",足元帳!BB184)=3,精算表!$G$14,IF(IF(足元帳!AU184="","",足元帳!BB184)=4,精算表!$I$14,IF(IF(足元帳!AU184="","",足元帳!BB184)=5,精算表!$K$14,))))))</f>
        <v/>
      </c>
      <c r="J184" s="217" t="str">
        <f>IFERROR(VLOOKUP(VLOOKUP(IF(足元帳!AU184="","",足元帳!BJ184),管理シート!$CA$4:$CI$13,2,FALSE),精算表!$BL$20:$BS$29,MATCH(E184&amp;"分",精算表!$BL$20:$BS$20,0),FALSE),"")</f>
        <v/>
      </c>
      <c r="K184" s="220" t="str">
        <f>IF(足元帳!AU184="","",足元帳!CC184)</f>
        <v/>
      </c>
      <c r="L184" s="217" t="str">
        <f>IF(足元帳!AU184="","",IF(足元帳!AL184="●","カード利用",""))</f>
        <v/>
      </c>
    </row>
    <row r="185" spans="1:12">
      <c r="A185" t="str">
        <f>IF(B185="","",
    COUNTA($B$2:B185)-COUNTIFS($B$2:B185,"",$B$2:B185,"=*"))</f>
        <v/>
      </c>
      <c r="B185" s="217" t="str">
        <f>IF(足元帳!AU185="","",足元帳!C185)</f>
        <v/>
      </c>
      <c r="C185" s="217" t="str">
        <f>IFERROR(VLOOKUP(IF(足元帳!AU185="","",足元帳!BJ185),管理シート!$CA$4:$CB$23,2,FALSE),"")</f>
        <v/>
      </c>
      <c r="D185" s="217" t="str">
        <f>IF(足元帳!AU185="","",足元帳!K185)</f>
        <v/>
      </c>
      <c r="E185" s="217" t="str">
        <f>IFERROR(VLOOKUP(IF(足元帳!AU185="","",足元帳!BB185),管理シート!$R$4:$W$12,4),"")</f>
        <v/>
      </c>
      <c r="F185" s="217" t="str">
        <f t="shared" si="3"/>
        <v/>
      </c>
      <c r="G185" s="217" t="str">
        <f>IF(足元帳!AU185="","",足元帳!AU185)</f>
        <v/>
      </c>
      <c r="H185" s="217" t="str">
        <f>IF(足元帳!AV185="","",足元帳!AV185)</f>
        <v/>
      </c>
      <c r="I185" s="217" t="str">
        <f>IF(B185="","",IF(IF(足元帳!AU185="","",足元帳!BB185)=1,精算表!$C$14,IF(IF(足元帳!AU185="","",足元帳!BB185)=2,精算表!$E$14,IF(IF(足元帳!AU185="","",足元帳!BB185)=3,精算表!$G$14,IF(IF(足元帳!AU185="","",足元帳!BB185)=4,精算表!$I$14,IF(IF(足元帳!AU185="","",足元帳!BB185)=5,精算表!$K$14,))))))</f>
        <v/>
      </c>
      <c r="J185" s="217" t="str">
        <f>IFERROR(VLOOKUP(VLOOKUP(IF(足元帳!AU185="","",足元帳!BJ185),管理シート!$CA$4:$CI$13,2,FALSE),精算表!$BL$20:$BS$29,MATCH(E185&amp;"分",精算表!$BL$20:$BS$20,0),FALSE),"")</f>
        <v/>
      </c>
      <c r="K185" s="220" t="str">
        <f>IF(足元帳!AU185="","",足元帳!CC185)</f>
        <v/>
      </c>
      <c r="L185" s="217" t="str">
        <f>IF(足元帳!AU185="","",IF(足元帳!AL185="●","カード利用",""))</f>
        <v/>
      </c>
    </row>
    <row r="186" spans="1:12">
      <c r="A186" t="str">
        <f>IF(B186="","",
    COUNTA($B$2:B186)-COUNTIFS($B$2:B186,"",$B$2:B186,"=*"))</f>
        <v/>
      </c>
      <c r="B186" s="217" t="str">
        <f>IF(足元帳!AU186="","",足元帳!C186)</f>
        <v/>
      </c>
      <c r="C186" s="217" t="str">
        <f>IFERROR(VLOOKUP(IF(足元帳!AU186="","",足元帳!BJ186),管理シート!$CA$4:$CB$23,2,FALSE),"")</f>
        <v/>
      </c>
      <c r="D186" s="217" t="str">
        <f>IF(足元帳!AU186="","",足元帳!K186)</f>
        <v/>
      </c>
      <c r="E186" s="217" t="str">
        <f>IFERROR(VLOOKUP(IF(足元帳!AU186="","",足元帳!BB186),管理シート!$R$4:$W$12,4),"")</f>
        <v/>
      </c>
      <c r="F186" s="217" t="str">
        <f t="shared" si="3"/>
        <v/>
      </c>
      <c r="G186" s="217" t="str">
        <f>IF(足元帳!AU186="","",足元帳!AU186)</f>
        <v/>
      </c>
      <c r="H186" s="217" t="str">
        <f>IF(足元帳!AV186="","",足元帳!AV186)</f>
        <v/>
      </c>
      <c r="I186" s="217" t="str">
        <f>IF(B186="","",IF(IF(足元帳!AU186="","",足元帳!BB186)=1,精算表!$C$14,IF(IF(足元帳!AU186="","",足元帳!BB186)=2,精算表!$E$14,IF(IF(足元帳!AU186="","",足元帳!BB186)=3,精算表!$G$14,IF(IF(足元帳!AU186="","",足元帳!BB186)=4,精算表!$I$14,IF(IF(足元帳!AU186="","",足元帳!BB186)=5,精算表!$K$14,))))))</f>
        <v/>
      </c>
      <c r="J186" s="217" t="str">
        <f>IFERROR(VLOOKUP(VLOOKUP(IF(足元帳!AU186="","",足元帳!BJ186),管理シート!$CA$4:$CI$13,2,FALSE),精算表!$BL$20:$BS$29,MATCH(E186&amp;"分",精算表!$BL$20:$BS$20,0),FALSE),"")</f>
        <v/>
      </c>
      <c r="K186" s="220" t="str">
        <f>IF(足元帳!AU186="","",足元帳!CC186)</f>
        <v/>
      </c>
      <c r="L186" s="217" t="str">
        <f>IF(足元帳!AU186="","",IF(足元帳!AL186="●","カード利用",""))</f>
        <v/>
      </c>
    </row>
    <row r="187" spans="1:12">
      <c r="A187" t="str">
        <f>IF(B187="","",
    COUNTA($B$2:B187)-COUNTIFS($B$2:B187,"",$B$2:B187,"=*"))</f>
        <v/>
      </c>
      <c r="B187" s="217" t="str">
        <f>IF(足元帳!AU187="","",足元帳!C187)</f>
        <v/>
      </c>
      <c r="C187" s="217" t="str">
        <f>IFERROR(VLOOKUP(IF(足元帳!AU187="","",足元帳!BJ187),管理シート!$CA$4:$CB$23,2,FALSE),"")</f>
        <v/>
      </c>
      <c r="D187" s="217" t="str">
        <f>IF(足元帳!AU187="","",足元帳!K187)</f>
        <v/>
      </c>
      <c r="E187" s="217" t="str">
        <f>IFERROR(VLOOKUP(IF(足元帳!AU187="","",足元帳!BB187),管理シート!$R$4:$W$12,4),"")</f>
        <v/>
      </c>
      <c r="F187" s="217" t="str">
        <f t="shared" si="3"/>
        <v/>
      </c>
      <c r="G187" s="217" t="str">
        <f>IF(足元帳!AU187="","",足元帳!AU187)</f>
        <v/>
      </c>
      <c r="H187" s="217" t="str">
        <f>IF(足元帳!AV187="","",足元帳!AV187)</f>
        <v/>
      </c>
      <c r="I187" s="217" t="str">
        <f>IF(B187="","",IF(IF(足元帳!AU187="","",足元帳!BB187)=1,精算表!$C$14,IF(IF(足元帳!AU187="","",足元帳!BB187)=2,精算表!$E$14,IF(IF(足元帳!AU187="","",足元帳!BB187)=3,精算表!$G$14,IF(IF(足元帳!AU187="","",足元帳!BB187)=4,精算表!$I$14,IF(IF(足元帳!AU187="","",足元帳!BB187)=5,精算表!$K$14,))))))</f>
        <v/>
      </c>
      <c r="J187" s="217" t="str">
        <f>IFERROR(VLOOKUP(VLOOKUP(IF(足元帳!AU187="","",足元帳!BJ187),管理シート!$CA$4:$CI$13,2,FALSE),精算表!$BL$20:$BS$29,MATCH(E187&amp;"分",精算表!$BL$20:$BS$20,0),FALSE),"")</f>
        <v/>
      </c>
      <c r="K187" s="220" t="str">
        <f>IF(足元帳!AU187="","",足元帳!CC187)</f>
        <v/>
      </c>
      <c r="L187" s="217" t="str">
        <f>IF(足元帳!AU187="","",IF(足元帳!AL187="●","カード利用",""))</f>
        <v/>
      </c>
    </row>
    <row r="188" spans="1:12">
      <c r="A188" t="str">
        <f>IF(B188="","",
    COUNTA($B$2:B188)-COUNTIFS($B$2:B188,"",$B$2:B188,"=*"))</f>
        <v/>
      </c>
      <c r="B188" s="217" t="str">
        <f>IF(足元帳!AU188="","",足元帳!C188)</f>
        <v/>
      </c>
      <c r="C188" s="217" t="str">
        <f>IFERROR(VLOOKUP(IF(足元帳!AU188="","",足元帳!BJ188),管理シート!$CA$4:$CB$23,2,FALSE),"")</f>
        <v/>
      </c>
      <c r="D188" s="217" t="str">
        <f>IF(足元帳!AU188="","",足元帳!K188)</f>
        <v/>
      </c>
      <c r="E188" s="217" t="str">
        <f>IFERROR(VLOOKUP(IF(足元帳!AU188="","",足元帳!BB188),管理シート!$R$4:$W$12,4),"")</f>
        <v/>
      </c>
      <c r="F188" s="217" t="str">
        <f t="shared" si="3"/>
        <v/>
      </c>
      <c r="G188" s="217" t="str">
        <f>IF(足元帳!AU188="","",足元帳!AU188)</f>
        <v/>
      </c>
      <c r="H188" s="217" t="str">
        <f>IF(足元帳!AV188="","",足元帳!AV188)</f>
        <v/>
      </c>
      <c r="I188" s="217" t="str">
        <f>IF(B188="","",IF(IF(足元帳!AU188="","",足元帳!BB188)=1,精算表!$C$14,IF(IF(足元帳!AU188="","",足元帳!BB188)=2,精算表!$E$14,IF(IF(足元帳!AU188="","",足元帳!BB188)=3,精算表!$G$14,IF(IF(足元帳!AU188="","",足元帳!BB188)=4,精算表!$I$14,IF(IF(足元帳!AU188="","",足元帳!BB188)=5,精算表!$K$14,))))))</f>
        <v/>
      </c>
      <c r="J188" s="217" t="str">
        <f>IFERROR(VLOOKUP(VLOOKUP(IF(足元帳!AU188="","",足元帳!BJ188),管理シート!$CA$4:$CI$13,2,FALSE),精算表!$BL$20:$BS$29,MATCH(E188&amp;"分",精算表!$BL$20:$BS$20,0),FALSE),"")</f>
        <v/>
      </c>
      <c r="K188" s="220" t="str">
        <f>IF(足元帳!AU188="","",足元帳!CC188)</f>
        <v/>
      </c>
      <c r="L188" s="217" t="str">
        <f>IF(足元帳!AU188="","",IF(足元帳!AL188="●","カード利用",""))</f>
        <v/>
      </c>
    </row>
    <row r="189" spans="1:12">
      <c r="A189" t="str">
        <f>IF(B189="","",
    COUNTA($B$2:B189)-COUNTIFS($B$2:B189,"",$B$2:B189,"=*"))</f>
        <v/>
      </c>
      <c r="B189" s="217" t="str">
        <f>IF(足元帳!AU189="","",足元帳!C189)</f>
        <v/>
      </c>
      <c r="C189" s="217" t="str">
        <f>IFERROR(VLOOKUP(IF(足元帳!AU189="","",足元帳!BJ189),管理シート!$CA$4:$CB$23,2,FALSE),"")</f>
        <v/>
      </c>
      <c r="D189" s="217" t="str">
        <f>IF(足元帳!AU189="","",足元帳!K189)</f>
        <v/>
      </c>
      <c r="E189" s="217" t="str">
        <f>IFERROR(VLOOKUP(IF(足元帳!AU189="","",足元帳!BB189),管理シート!$R$4:$W$12,4),"")</f>
        <v/>
      </c>
      <c r="F189" s="217" t="str">
        <f t="shared" si="3"/>
        <v/>
      </c>
      <c r="G189" s="217" t="str">
        <f>IF(足元帳!AU189="","",足元帳!AU189)</f>
        <v/>
      </c>
      <c r="H189" s="217" t="str">
        <f>IF(足元帳!AV189="","",足元帳!AV189)</f>
        <v/>
      </c>
      <c r="I189" s="217" t="str">
        <f>IF(B189="","",IF(IF(足元帳!AU189="","",足元帳!BB189)=1,精算表!$C$14,IF(IF(足元帳!AU189="","",足元帳!BB189)=2,精算表!$E$14,IF(IF(足元帳!AU189="","",足元帳!BB189)=3,精算表!$G$14,IF(IF(足元帳!AU189="","",足元帳!BB189)=4,精算表!$I$14,IF(IF(足元帳!AU189="","",足元帳!BB189)=5,精算表!$K$14,))))))</f>
        <v/>
      </c>
      <c r="J189" s="217" t="str">
        <f>IFERROR(VLOOKUP(VLOOKUP(IF(足元帳!AU189="","",足元帳!BJ189),管理シート!$CA$4:$CI$13,2,FALSE),精算表!$BL$20:$BS$29,MATCH(E189&amp;"分",精算表!$BL$20:$BS$20,0),FALSE),"")</f>
        <v/>
      </c>
      <c r="K189" s="220" t="str">
        <f>IF(足元帳!AU189="","",足元帳!CC189)</f>
        <v/>
      </c>
      <c r="L189" s="217" t="str">
        <f>IF(足元帳!AU189="","",IF(足元帳!AL189="●","カード利用",""))</f>
        <v/>
      </c>
    </row>
    <row r="190" spans="1:12">
      <c r="A190" t="str">
        <f>IF(B190="","",
    COUNTA($B$2:B190)-COUNTIFS($B$2:B190,"",$B$2:B190,"=*"))</f>
        <v/>
      </c>
      <c r="B190" s="217" t="str">
        <f>IF(足元帳!AU190="","",足元帳!C190)</f>
        <v/>
      </c>
      <c r="C190" s="217" t="str">
        <f>IFERROR(VLOOKUP(IF(足元帳!AU190="","",足元帳!BJ190),管理シート!$CA$4:$CB$23,2,FALSE),"")</f>
        <v/>
      </c>
      <c r="D190" s="217" t="str">
        <f>IF(足元帳!AU190="","",足元帳!K190)</f>
        <v/>
      </c>
      <c r="E190" s="217" t="str">
        <f>IFERROR(VLOOKUP(IF(足元帳!AU190="","",足元帳!BB190),管理シート!$R$4:$W$12,4),"")</f>
        <v/>
      </c>
      <c r="F190" s="217" t="str">
        <f t="shared" si="3"/>
        <v/>
      </c>
      <c r="G190" s="217" t="str">
        <f>IF(足元帳!AU190="","",足元帳!AU190)</f>
        <v/>
      </c>
      <c r="H190" s="217" t="str">
        <f>IF(足元帳!AV190="","",足元帳!AV190)</f>
        <v/>
      </c>
      <c r="I190" s="217" t="str">
        <f>IF(B190="","",IF(IF(足元帳!AU190="","",足元帳!BB190)=1,精算表!$C$14,IF(IF(足元帳!AU190="","",足元帳!BB190)=2,精算表!$E$14,IF(IF(足元帳!AU190="","",足元帳!BB190)=3,精算表!$G$14,IF(IF(足元帳!AU190="","",足元帳!BB190)=4,精算表!$I$14,IF(IF(足元帳!AU190="","",足元帳!BB190)=5,精算表!$K$14,))))))</f>
        <v/>
      </c>
      <c r="J190" s="217" t="str">
        <f>IFERROR(VLOOKUP(VLOOKUP(IF(足元帳!AU190="","",足元帳!BJ190),管理シート!$CA$4:$CI$13,2,FALSE),精算表!$BL$20:$BS$29,MATCH(E190&amp;"分",精算表!$BL$20:$BS$20,0),FALSE),"")</f>
        <v/>
      </c>
      <c r="K190" s="220" t="str">
        <f>IF(足元帳!AU190="","",足元帳!CC190)</f>
        <v/>
      </c>
      <c r="L190" s="217" t="str">
        <f>IF(足元帳!AU190="","",IF(足元帳!AL190="●","カード利用",""))</f>
        <v/>
      </c>
    </row>
    <row r="191" spans="1:12">
      <c r="A191" t="str">
        <f>IF(B191="","",
    COUNTA($B$2:B191)-COUNTIFS($B$2:B191,"",$B$2:B191,"=*"))</f>
        <v/>
      </c>
      <c r="B191" s="217" t="str">
        <f>IF(足元帳!AU191="","",足元帳!C191)</f>
        <v/>
      </c>
      <c r="C191" s="217" t="str">
        <f>IFERROR(VLOOKUP(IF(足元帳!AU191="","",足元帳!BJ191),管理シート!$CA$4:$CB$23,2,FALSE),"")</f>
        <v/>
      </c>
      <c r="D191" s="217" t="str">
        <f>IF(足元帳!AU191="","",足元帳!K191)</f>
        <v/>
      </c>
      <c r="E191" s="217" t="str">
        <f>IFERROR(VLOOKUP(IF(足元帳!AU191="","",足元帳!BB191),管理シート!$R$4:$W$12,4),"")</f>
        <v/>
      </c>
      <c r="F191" s="217" t="str">
        <f t="shared" si="3"/>
        <v/>
      </c>
      <c r="G191" s="217" t="str">
        <f>IF(足元帳!AU191="","",足元帳!AU191)</f>
        <v/>
      </c>
      <c r="H191" s="217" t="str">
        <f>IF(足元帳!AV191="","",足元帳!AV191)</f>
        <v/>
      </c>
      <c r="I191" s="217" t="str">
        <f>IF(B191="","",IF(IF(足元帳!AU191="","",足元帳!BB191)=1,精算表!$C$14,IF(IF(足元帳!AU191="","",足元帳!BB191)=2,精算表!$E$14,IF(IF(足元帳!AU191="","",足元帳!BB191)=3,精算表!$G$14,IF(IF(足元帳!AU191="","",足元帳!BB191)=4,精算表!$I$14,IF(IF(足元帳!AU191="","",足元帳!BB191)=5,精算表!$K$14,))))))</f>
        <v/>
      </c>
      <c r="J191" s="217" t="str">
        <f>IFERROR(VLOOKUP(VLOOKUP(IF(足元帳!AU191="","",足元帳!BJ191),管理シート!$CA$4:$CI$13,2,FALSE),精算表!$BL$20:$BS$29,MATCH(E191&amp;"分",精算表!$BL$20:$BS$20,0),FALSE),"")</f>
        <v/>
      </c>
      <c r="K191" s="220" t="str">
        <f>IF(足元帳!AU191="","",足元帳!CC191)</f>
        <v/>
      </c>
      <c r="L191" s="217" t="str">
        <f>IF(足元帳!AU191="","",IF(足元帳!AL191="●","カード利用",""))</f>
        <v/>
      </c>
    </row>
    <row r="192" spans="1:12">
      <c r="A192" t="str">
        <f>IF(B192="","",
    COUNTA($B$2:B192)-COUNTIFS($B$2:B192,"",$B$2:B192,"=*"))</f>
        <v/>
      </c>
      <c r="B192" s="217" t="str">
        <f>IF(足元帳!AU192="","",足元帳!C192)</f>
        <v/>
      </c>
      <c r="C192" s="217" t="str">
        <f>IFERROR(VLOOKUP(IF(足元帳!AU192="","",足元帳!BJ192),管理シート!$CA$4:$CB$23,2,FALSE),"")</f>
        <v/>
      </c>
      <c r="D192" s="217" t="str">
        <f>IF(足元帳!AU192="","",足元帳!K192)</f>
        <v/>
      </c>
      <c r="E192" s="217" t="str">
        <f>IFERROR(VLOOKUP(IF(足元帳!AU192="","",足元帳!BB192),管理シート!$R$4:$W$12,4),"")</f>
        <v/>
      </c>
      <c r="F192" s="217" t="str">
        <f t="shared" si="3"/>
        <v/>
      </c>
      <c r="G192" s="217" t="str">
        <f>IF(足元帳!AU192="","",足元帳!AU192)</f>
        <v/>
      </c>
      <c r="H192" s="217" t="str">
        <f>IF(足元帳!AV192="","",足元帳!AV192)</f>
        <v/>
      </c>
      <c r="I192" s="217" t="str">
        <f>IF(B192="","",IF(IF(足元帳!AU192="","",足元帳!BB192)=1,精算表!$C$14,IF(IF(足元帳!AU192="","",足元帳!BB192)=2,精算表!$E$14,IF(IF(足元帳!AU192="","",足元帳!BB192)=3,精算表!$G$14,IF(IF(足元帳!AU192="","",足元帳!BB192)=4,精算表!$I$14,IF(IF(足元帳!AU192="","",足元帳!BB192)=5,精算表!$K$14,))))))</f>
        <v/>
      </c>
      <c r="J192" s="217" t="str">
        <f>IFERROR(VLOOKUP(VLOOKUP(IF(足元帳!AU192="","",足元帳!BJ192),管理シート!$CA$4:$CI$13,2,FALSE),精算表!$BL$20:$BS$29,MATCH(E192&amp;"分",精算表!$BL$20:$BS$20,0),FALSE),"")</f>
        <v/>
      </c>
      <c r="K192" s="220" t="str">
        <f>IF(足元帳!AU192="","",足元帳!CC192)</f>
        <v/>
      </c>
      <c r="L192" s="217" t="str">
        <f>IF(足元帳!AU192="","",IF(足元帳!AL192="●","カード利用",""))</f>
        <v/>
      </c>
    </row>
    <row r="193" spans="1:12">
      <c r="A193" t="str">
        <f>IF(B193="","",
    COUNTA($B$2:B193)-COUNTIFS($B$2:B193,"",$B$2:B193,"=*"))</f>
        <v/>
      </c>
      <c r="B193" s="217" t="str">
        <f>IF(足元帳!AU193="","",足元帳!C193)</f>
        <v/>
      </c>
      <c r="C193" s="217" t="str">
        <f>IFERROR(VLOOKUP(IF(足元帳!AU193="","",足元帳!BJ193),管理シート!$CA$4:$CB$23,2,FALSE),"")</f>
        <v/>
      </c>
      <c r="D193" s="217" t="str">
        <f>IF(足元帳!AU193="","",足元帳!K193)</f>
        <v/>
      </c>
      <c r="E193" s="217" t="str">
        <f>IFERROR(VLOOKUP(IF(足元帳!AU193="","",足元帳!BB193),管理シート!$R$4:$W$12,4),"")</f>
        <v/>
      </c>
      <c r="F193" s="217" t="str">
        <f t="shared" si="3"/>
        <v/>
      </c>
      <c r="G193" s="217" t="str">
        <f>IF(足元帳!AU193="","",足元帳!AU193)</f>
        <v/>
      </c>
      <c r="H193" s="217" t="str">
        <f>IF(足元帳!AV193="","",足元帳!AV193)</f>
        <v/>
      </c>
      <c r="I193" s="217" t="str">
        <f>IF(B193="","",IF(IF(足元帳!AU193="","",足元帳!BB193)=1,精算表!$C$14,IF(IF(足元帳!AU193="","",足元帳!BB193)=2,精算表!$E$14,IF(IF(足元帳!AU193="","",足元帳!BB193)=3,精算表!$G$14,IF(IF(足元帳!AU193="","",足元帳!BB193)=4,精算表!$I$14,IF(IF(足元帳!AU193="","",足元帳!BB193)=5,精算表!$K$14,))))))</f>
        <v/>
      </c>
      <c r="J193" s="217" t="str">
        <f>IFERROR(VLOOKUP(VLOOKUP(IF(足元帳!AU193="","",足元帳!BJ193),管理シート!$CA$4:$CI$13,2,FALSE),精算表!$BL$20:$BS$29,MATCH(E193&amp;"分",精算表!$BL$20:$BS$20,0),FALSE),"")</f>
        <v/>
      </c>
      <c r="K193" s="220" t="str">
        <f>IF(足元帳!AU193="","",足元帳!CC193)</f>
        <v/>
      </c>
      <c r="L193" s="217" t="str">
        <f>IF(足元帳!AU193="","",IF(足元帳!AL193="●","カード利用",""))</f>
        <v/>
      </c>
    </row>
    <row r="194" spans="1:12">
      <c r="A194" t="str">
        <f>IF(B194="","",
    COUNTA($B$2:B194)-COUNTIFS($B$2:B194,"",$B$2:B194,"=*"))</f>
        <v/>
      </c>
      <c r="B194" s="217" t="str">
        <f>IF(足元帳!AU194="","",足元帳!C194)</f>
        <v/>
      </c>
      <c r="C194" s="217" t="str">
        <f>IFERROR(VLOOKUP(IF(足元帳!AU194="","",足元帳!BJ194),管理シート!$CA$4:$CB$23,2,FALSE),"")</f>
        <v/>
      </c>
      <c r="D194" s="217" t="str">
        <f>IF(足元帳!AU194="","",足元帳!K194)</f>
        <v/>
      </c>
      <c r="E194" s="217" t="str">
        <f>IFERROR(VLOOKUP(IF(足元帳!AU194="","",足元帳!BB194),管理シート!$R$4:$W$12,4),"")</f>
        <v/>
      </c>
      <c r="F194" s="217" t="str">
        <f t="shared" si="3"/>
        <v/>
      </c>
      <c r="G194" s="217" t="str">
        <f>IF(足元帳!AU194="","",足元帳!AU194)</f>
        <v/>
      </c>
      <c r="H194" s="217" t="str">
        <f>IF(足元帳!AV194="","",足元帳!AV194)</f>
        <v/>
      </c>
      <c r="I194" s="217" t="str">
        <f>IF(B194="","",IF(IF(足元帳!AU194="","",足元帳!BB194)=1,精算表!$C$14,IF(IF(足元帳!AU194="","",足元帳!BB194)=2,精算表!$E$14,IF(IF(足元帳!AU194="","",足元帳!BB194)=3,精算表!$G$14,IF(IF(足元帳!AU194="","",足元帳!BB194)=4,精算表!$I$14,IF(IF(足元帳!AU194="","",足元帳!BB194)=5,精算表!$K$14,))))))</f>
        <v/>
      </c>
      <c r="J194" s="217" t="str">
        <f>IFERROR(VLOOKUP(VLOOKUP(IF(足元帳!AU194="","",足元帳!BJ194),管理シート!$CA$4:$CI$13,2,FALSE),精算表!$BL$20:$BS$29,MATCH(E194&amp;"分",精算表!$BL$20:$BS$20,0),FALSE),"")</f>
        <v/>
      </c>
      <c r="K194" s="220" t="str">
        <f>IF(足元帳!AU194="","",足元帳!CC194)</f>
        <v/>
      </c>
      <c r="L194" s="217" t="str">
        <f>IF(足元帳!AU194="","",IF(足元帳!AL194="●","カード利用",""))</f>
        <v/>
      </c>
    </row>
    <row r="195" spans="1:12">
      <c r="A195" t="str">
        <f>IF(B195="","",
    COUNTA($B$2:B195)-COUNTIFS($B$2:B195,"",$B$2:B195,"=*"))</f>
        <v/>
      </c>
      <c r="B195" s="217" t="str">
        <f>IF(足元帳!AU195="","",足元帳!C195)</f>
        <v/>
      </c>
      <c r="C195" s="217" t="str">
        <f>IFERROR(VLOOKUP(IF(足元帳!AU195="","",足元帳!BJ195),管理シート!$CA$4:$CB$23,2,FALSE),"")</f>
        <v/>
      </c>
      <c r="D195" s="217" t="str">
        <f>IF(足元帳!AU195="","",足元帳!K195)</f>
        <v/>
      </c>
      <c r="E195" s="217" t="str">
        <f>IFERROR(VLOOKUP(IF(足元帳!AU195="","",足元帳!BB195),管理シート!$R$4:$W$12,4),"")</f>
        <v/>
      </c>
      <c r="F195" s="217" t="str">
        <f t="shared" si="3"/>
        <v/>
      </c>
      <c r="G195" s="217" t="str">
        <f>IF(足元帳!AU195="","",足元帳!AU195)</f>
        <v/>
      </c>
      <c r="H195" s="217" t="str">
        <f>IF(足元帳!AV195="","",足元帳!AV195)</f>
        <v/>
      </c>
      <c r="I195" s="217" t="str">
        <f>IF(B195="","",IF(IF(足元帳!AU195="","",足元帳!BB195)=1,精算表!$C$14,IF(IF(足元帳!AU195="","",足元帳!BB195)=2,精算表!$E$14,IF(IF(足元帳!AU195="","",足元帳!BB195)=3,精算表!$G$14,IF(IF(足元帳!AU195="","",足元帳!BB195)=4,精算表!$I$14,IF(IF(足元帳!AU195="","",足元帳!BB195)=5,精算表!$K$14,))))))</f>
        <v/>
      </c>
      <c r="J195" s="217" t="str">
        <f>IFERROR(VLOOKUP(VLOOKUP(IF(足元帳!AU195="","",足元帳!BJ195),管理シート!$CA$4:$CI$13,2,FALSE),精算表!$BL$20:$BS$29,MATCH(E195&amp;"分",精算表!$BL$20:$BS$20,0),FALSE),"")</f>
        <v/>
      </c>
      <c r="K195" s="220" t="str">
        <f>IF(足元帳!AU195="","",足元帳!CC195)</f>
        <v/>
      </c>
      <c r="L195" s="217" t="str">
        <f>IF(足元帳!AU195="","",IF(足元帳!AL195="●","カード利用",""))</f>
        <v/>
      </c>
    </row>
    <row r="196" spans="1:12">
      <c r="A196" t="str">
        <f>IF(B196="","",
    COUNTA($B$2:B196)-COUNTIFS($B$2:B196,"",$B$2:B196,"=*"))</f>
        <v/>
      </c>
      <c r="B196" s="217" t="str">
        <f>IF(足元帳!AU196="","",足元帳!C196)</f>
        <v/>
      </c>
      <c r="C196" s="217" t="str">
        <f>IFERROR(VLOOKUP(IF(足元帳!AU196="","",足元帳!BJ196),管理シート!$CA$4:$CB$23,2,FALSE),"")</f>
        <v/>
      </c>
      <c r="D196" s="217" t="str">
        <f>IF(足元帳!AU196="","",足元帳!K196)</f>
        <v/>
      </c>
      <c r="E196" s="217" t="str">
        <f>IFERROR(VLOOKUP(IF(足元帳!AU196="","",足元帳!BB196),管理シート!$R$4:$W$12,4),"")</f>
        <v/>
      </c>
      <c r="F196" s="217" t="str">
        <f t="shared" si="3"/>
        <v/>
      </c>
      <c r="G196" s="217" t="str">
        <f>IF(足元帳!AU196="","",足元帳!AU196)</f>
        <v/>
      </c>
      <c r="H196" s="217" t="str">
        <f>IF(足元帳!AV196="","",足元帳!AV196)</f>
        <v/>
      </c>
      <c r="I196" s="217" t="str">
        <f>IF(B196="","",IF(IF(足元帳!AU196="","",足元帳!BB196)=1,精算表!$C$14,IF(IF(足元帳!AU196="","",足元帳!BB196)=2,精算表!$E$14,IF(IF(足元帳!AU196="","",足元帳!BB196)=3,精算表!$G$14,IF(IF(足元帳!AU196="","",足元帳!BB196)=4,精算表!$I$14,IF(IF(足元帳!AU196="","",足元帳!BB196)=5,精算表!$K$14,))))))</f>
        <v/>
      </c>
      <c r="J196" s="217" t="str">
        <f>IFERROR(VLOOKUP(VLOOKUP(IF(足元帳!AU196="","",足元帳!BJ196),管理シート!$CA$4:$CI$13,2,FALSE),精算表!$BL$20:$BS$29,MATCH(E196&amp;"分",精算表!$BL$20:$BS$20,0),FALSE),"")</f>
        <v/>
      </c>
      <c r="K196" s="220" t="str">
        <f>IF(足元帳!AU196="","",足元帳!CC196)</f>
        <v/>
      </c>
      <c r="L196" s="217" t="str">
        <f>IF(足元帳!AU196="","",IF(足元帳!AL196="●","カード利用",""))</f>
        <v/>
      </c>
    </row>
    <row r="197" spans="1:12">
      <c r="A197" t="str">
        <f>IF(B197="","",
    COUNTA($B$2:B197)-COUNTIFS($B$2:B197,"",$B$2:B197,"=*"))</f>
        <v/>
      </c>
      <c r="B197" s="217" t="str">
        <f>IF(足元帳!AU197="","",足元帳!C197)</f>
        <v/>
      </c>
      <c r="C197" s="217" t="str">
        <f>IFERROR(VLOOKUP(IF(足元帳!AU197="","",足元帳!BJ197),管理シート!$CA$4:$CB$23,2,FALSE),"")</f>
        <v/>
      </c>
      <c r="D197" s="217" t="str">
        <f>IF(足元帳!AU197="","",足元帳!K197)</f>
        <v/>
      </c>
      <c r="E197" s="217" t="str">
        <f>IFERROR(VLOOKUP(IF(足元帳!AU197="","",足元帳!BB197),管理シート!$R$4:$W$12,4),"")</f>
        <v/>
      </c>
      <c r="F197" s="217" t="str">
        <f t="shared" si="3"/>
        <v/>
      </c>
      <c r="G197" s="217" t="str">
        <f>IF(足元帳!AU197="","",足元帳!AU197)</f>
        <v/>
      </c>
      <c r="H197" s="217" t="str">
        <f>IF(足元帳!AV197="","",足元帳!AV197)</f>
        <v/>
      </c>
      <c r="I197" s="217" t="str">
        <f>IF(B197="","",IF(IF(足元帳!AU197="","",足元帳!BB197)=1,精算表!$C$14,IF(IF(足元帳!AU197="","",足元帳!BB197)=2,精算表!$E$14,IF(IF(足元帳!AU197="","",足元帳!BB197)=3,精算表!$G$14,IF(IF(足元帳!AU197="","",足元帳!BB197)=4,精算表!$I$14,IF(IF(足元帳!AU197="","",足元帳!BB197)=5,精算表!$K$14,))))))</f>
        <v/>
      </c>
      <c r="J197" s="217" t="str">
        <f>IFERROR(VLOOKUP(VLOOKUP(IF(足元帳!AU197="","",足元帳!BJ197),管理シート!$CA$4:$CI$13,2,FALSE),精算表!$BL$20:$BS$29,MATCH(E197&amp;"分",精算表!$BL$20:$BS$20,0),FALSE),"")</f>
        <v/>
      </c>
      <c r="K197" s="220" t="str">
        <f>IF(足元帳!AU197="","",足元帳!CC197)</f>
        <v/>
      </c>
      <c r="L197" s="217" t="str">
        <f>IF(足元帳!AU197="","",IF(足元帳!AL197="●","カード利用",""))</f>
        <v/>
      </c>
    </row>
    <row r="198" spans="1:12">
      <c r="A198" t="str">
        <f>IF(B198="","",
    COUNTA($B$2:B198)-COUNTIFS($B$2:B198,"",$B$2:B198,"=*"))</f>
        <v/>
      </c>
      <c r="B198" s="217" t="str">
        <f>IF(足元帳!AU198="","",足元帳!C198)</f>
        <v/>
      </c>
      <c r="C198" s="217" t="str">
        <f>IFERROR(VLOOKUP(IF(足元帳!AU198="","",足元帳!BJ198),管理シート!$CA$4:$CB$23,2,FALSE),"")</f>
        <v/>
      </c>
      <c r="D198" s="217" t="str">
        <f>IF(足元帳!AU198="","",足元帳!K198)</f>
        <v/>
      </c>
      <c r="E198" s="217" t="str">
        <f>IFERROR(VLOOKUP(IF(足元帳!AU198="","",足元帳!BB198),管理シート!$R$4:$W$12,4),"")</f>
        <v/>
      </c>
      <c r="F198" s="217" t="str">
        <f t="shared" si="3"/>
        <v/>
      </c>
      <c r="G198" s="217" t="str">
        <f>IF(足元帳!AU198="","",足元帳!AU198)</f>
        <v/>
      </c>
      <c r="H198" s="217" t="str">
        <f>IF(足元帳!AV198="","",足元帳!AV198)</f>
        <v/>
      </c>
      <c r="I198" s="217" t="str">
        <f>IF(B198="","",IF(IF(足元帳!AU198="","",足元帳!BB198)=1,精算表!$C$14,IF(IF(足元帳!AU198="","",足元帳!BB198)=2,精算表!$E$14,IF(IF(足元帳!AU198="","",足元帳!BB198)=3,精算表!$G$14,IF(IF(足元帳!AU198="","",足元帳!BB198)=4,精算表!$I$14,IF(IF(足元帳!AU198="","",足元帳!BB198)=5,精算表!$K$14,))))))</f>
        <v/>
      </c>
      <c r="J198" s="217" t="str">
        <f>IFERROR(VLOOKUP(VLOOKUP(IF(足元帳!AU198="","",足元帳!BJ198),管理シート!$CA$4:$CI$13,2,FALSE),精算表!$BL$20:$BS$29,MATCH(E198&amp;"分",精算表!$BL$20:$BS$20,0),FALSE),"")</f>
        <v/>
      </c>
      <c r="K198" s="220" t="str">
        <f>IF(足元帳!AU198="","",足元帳!CC198)</f>
        <v/>
      </c>
      <c r="L198" s="217" t="str">
        <f>IF(足元帳!AU198="","",IF(足元帳!AL198="●","カード利用",""))</f>
        <v/>
      </c>
    </row>
    <row r="199" spans="1:12">
      <c r="A199" t="str">
        <f>IF(B199="","",
    COUNTA($B$2:B199)-COUNTIFS($B$2:B199,"",$B$2:B199,"=*"))</f>
        <v/>
      </c>
      <c r="B199" s="217" t="str">
        <f>IF(足元帳!AU199="","",足元帳!C199)</f>
        <v/>
      </c>
      <c r="C199" s="217" t="str">
        <f>IFERROR(VLOOKUP(IF(足元帳!AU199="","",足元帳!BJ199),管理シート!$CA$4:$CB$23,2,FALSE),"")</f>
        <v/>
      </c>
      <c r="D199" s="217" t="str">
        <f>IF(足元帳!AU199="","",足元帳!K199)</f>
        <v/>
      </c>
      <c r="E199" s="217" t="str">
        <f>IFERROR(VLOOKUP(IF(足元帳!AU199="","",足元帳!BB199),管理シート!$R$4:$W$12,4),"")</f>
        <v/>
      </c>
      <c r="F199" s="217" t="str">
        <f t="shared" si="3"/>
        <v/>
      </c>
      <c r="G199" s="217" t="str">
        <f>IF(足元帳!AU199="","",足元帳!AU199)</f>
        <v/>
      </c>
      <c r="H199" s="217" t="str">
        <f>IF(足元帳!AV199="","",足元帳!AV199)</f>
        <v/>
      </c>
      <c r="I199" s="217" t="str">
        <f>IF(B199="","",IF(IF(足元帳!AU199="","",足元帳!BB199)=1,精算表!$C$14,IF(IF(足元帳!AU199="","",足元帳!BB199)=2,精算表!$E$14,IF(IF(足元帳!AU199="","",足元帳!BB199)=3,精算表!$G$14,IF(IF(足元帳!AU199="","",足元帳!BB199)=4,精算表!$I$14,IF(IF(足元帳!AU199="","",足元帳!BB199)=5,精算表!$K$14,))))))</f>
        <v/>
      </c>
      <c r="J199" s="217" t="str">
        <f>IFERROR(VLOOKUP(VLOOKUP(IF(足元帳!AU199="","",足元帳!BJ199),管理シート!$CA$4:$CI$13,2,FALSE),精算表!$BL$20:$BS$29,MATCH(E199&amp;"分",精算表!$BL$20:$BS$20,0),FALSE),"")</f>
        <v/>
      </c>
      <c r="K199" s="220" t="str">
        <f>IF(足元帳!AU199="","",足元帳!CC199)</f>
        <v/>
      </c>
      <c r="L199" s="217" t="str">
        <f>IF(足元帳!AU199="","",IF(足元帳!AL199="●","カード利用",""))</f>
        <v/>
      </c>
    </row>
    <row r="200" spans="1:12">
      <c r="A200" t="str">
        <f>IF(B200="","",
    COUNTA($B$2:B200)-COUNTIFS($B$2:B200,"",$B$2:B200,"=*"))</f>
        <v/>
      </c>
      <c r="B200" s="217" t="str">
        <f>IF(足元帳!AU200="","",足元帳!C200)</f>
        <v/>
      </c>
      <c r="C200" s="217" t="str">
        <f>IFERROR(VLOOKUP(IF(足元帳!AU200="","",足元帳!BJ200),管理シート!$CA$4:$CB$23,2,FALSE),"")</f>
        <v/>
      </c>
      <c r="D200" s="217" t="str">
        <f>IF(足元帳!AU200="","",足元帳!K200)</f>
        <v/>
      </c>
      <c r="E200" s="217" t="str">
        <f>IFERROR(VLOOKUP(IF(足元帳!AU200="","",足元帳!BB200),管理シート!$R$4:$W$12,4),"")</f>
        <v/>
      </c>
      <c r="F200" s="217" t="str">
        <f t="shared" si="3"/>
        <v/>
      </c>
      <c r="G200" s="217" t="str">
        <f>IF(足元帳!AU200="","",足元帳!AU200)</f>
        <v/>
      </c>
      <c r="H200" s="217" t="str">
        <f>IF(足元帳!AV200="","",足元帳!AV200)</f>
        <v/>
      </c>
      <c r="I200" s="217" t="str">
        <f>IF(B200="","",IF(IF(足元帳!AU200="","",足元帳!BB200)=1,精算表!$C$14,IF(IF(足元帳!AU200="","",足元帳!BB200)=2,精算表!$E$14,IF(IF(足元帳!AU200="","",足元帳!BB200)=3,精算表!$G$14,IF(IF(足元帳!AU200="","",足元帳!BB200)=4,精算表!$I$14,IF(IF(足元帳!AU200="","",足元帳!BB200)=5,精算表!$K$14,))))))</f>
        <v/>
      </c>
      <c r="J200" s="217" t="str">
        <f>IFERROR(VLOOKUP(VLOOKUP(IF(足元帳!AU200="","",足元帳!BJ200),管理シート!$CA$4:$CI$13,2,FALSE),精算表!$BL$20:$BS$29,MATCH(E200&amp;"分",精算表!$BL$20:$BS$20,0),FALSE),"")</f>
        <v/>
      </c>
      <c r="K200" s="220" t="str">
        <f>IF(足元帳!AU200="","",足元帳!CC200)</f>
        <v/>
      </c>
      <c r="L200" s="217" t="str">
        <f>IF(足元帳!AU200="","",IF(足元帳!AL200="●","カード利用",""))</f>
        <v/>
      </c>
    </row>
    <row r="201" spans="1:12">
      <c r="A201" t="str">
        <f>IF(B201="","",
    COUNTA($B$2:B201)-COUNTIFS($B$2:B201,"",$B$2:B201,"=*"))</f>
        <v/>
      </c>
      <c r="B201" s="217" t="str">
        <f>IF(足元帳!AU201="","",足元帳!C201)</f>
        <v/>
      </c>
      <c r="C201" s="217" t="str">
        <f>IFERROR(VLOOKUP(IF(足元帳!AU201="","",足元帳!BJ201),管理シート!$CA$4:$CB$23,2,FALSE),"")</f>
        <v/>
      </c>
      <c r="D201" s="217" t="str">
        <f>IF(足元帳!AU201="","",足元帳!K201)</f>
        <v/>
      </c>
      <c r="E201" s="217" t="str">
        <f>IFERROR(VLOOKUP(IF(足元帳!AU201="","",足元帳!BB201),管理シート!$R$4:$W$12,4),"")</f>
        <v/>
      </c>
      <c r="F201" s="217" t="str">
        <f t="shared" si="3"/>
        <v/>
      </c>
      <c r="G201" s="217" t="str">
        <f>IF(足元帳!AU201="","",足元帳!AU201)</f>
        <v/>
      </c>
      <c r="H201" s="217" t="str">
        <f>IF(足元帳!AV201="","",足元帳!AV201)</f>
        <v/>
      </c>
      <c r="I201" s="217" t="str">
        <f>IF(B201="","",IF(IF(足元帳!AU201="","",足元帳!BB201)=1,精算表!$C$14,IF(IF(足元帳!AU201="","",足元帳!BB201)=2,精算表!$E$14,IF(IF(足元帳!AU201="","",足元帳!BB201)=3,精算表!$G$14,IF(IF(足元帳!AU201="","",足元帳!BB201)=4,精算表!$I$14,IF(IF(足元帳!AU201="","",足元帳!BB201)=5,精算表!$K$14,))))))</f>
        <v/>
      </c>
      <c r="J201" s="217" t="str">
        <f>IFERROR(VLOOKUP(VLOOKUP(IF(足元帳!AU201="","",足元帳!BJ201),管理シート!$CA$4:$CI$13,2,FALSE),精算表!$BL$20:$BS$29,MATCH(E201&amp;"分",精算表!$BL$20:$BS$20,0),FALSE),"")</f>
        <v/>
      </c>
      <c r="K201" s="220" t="str">
        <f>IF(足元帳!AU201="","",足元帳!CC201)</f>
        <v/>
      </c>
      <c r="L201" s="217" t="str">
        <f>IF(足元帳!AU201="","",IF(足元帳!AL201="●","カード利用",""))</f>
        <v/>
      </c>
    </row>
    <row r="202" spans="1:12">
      <c r="A202" t="str">
        <f>IF(B202="","",
    COUNTA($B$2:B202)-COUNTIFS($B$2:B202,"",$B$2:B202,"=*"))</f>
        <v/>
      </c>
      <c r="B202" s="217" t="str">
        <f>IF(足元帳!AU202="","",足元帳!C202)</f>
        <v/>
      </c>
      <c r="C202" s="217" t="str">
        <f>IFERROR(VLOOKUP(IF(足元帳!AU202="","",足元帳!BJ202),管理シート!$CA$4:$CB$23,2,FALSE),"")</f>
        <v/>
      </c>
      <c r="D202" s="217" t="str">
        <f>IF(足元帳!AU202="","",足元帳!K202)</f>
        <v/>
      </c>
      <c r="E202" s="217" t="str">
        <f>IFERROR(VLOOKUP(IF(足元帳!AU202="","",足元帳!BB202),管理シート!$R$4:$W$12,4),"")</f>
        <v/>
      </c>
      <c r="F202" s="217" t="str">
        <f t="shared" si="3"/>
        <v/>
      </c>
      <c r="G202" s="217" t="str">
        <f>IF(足元帳!AU202="","",足元帳!AU202)</f>
        <v/>
      </c>
      <c r="H202" s="217" t="str">
        <f>IF(足元帳!AV202="","",足元帳!AV202)</f>
        <v/>
      </c>
      <c r="I202" s="217" t="str">
        <f>IF(B202="","",IF(IF(足元帳!AU202="","",足元帳!BB202)=1,精算表!$C$14,IF(IF(足元帳!AU202="","",足元帳!BB202)=2,精算表!$E$14,IF(IF(足元帳!AU202="","",足元帳!BB202)=3,精算表!$G$14,IF(IF(足元帳!AU202="","",足元帳!BB202)=4,精算表!$I$14,IF(IF(足元帳!AU202="","",足元帳!BB202)=5,精算表!$K$14,))))))</f>
        <v/>
      </c>
      <c r="J202" s="217" t="str">
        <f>IFERROR(VLOOKUP(VLOOKUP(IF(足元帳!AU202="","",足元帳!BJ202),管理シート!$CA$4:$CI$13,2,FALSE),精算表!$BL$20:$BS$29,MATCH(E202&amp;"分",精算表!$BL$20:$BS$20,0),FALSE),"")</f>
        <v/>
      </c>
      <c r="K202" s="220" t="str">
        <f>IF(足元帳!AU202="","",足元帳!CC202)</f>
        <v/>
      </c>
      <c r="L202" s="217" t="str">
        <f>IF(足元帳!AU202="","",IF(足元帳!AL202="●","カード利用",""))</f>
        <v/>
      </c>
    </row>
    <row r="203" spans="1:12">
      <c r="A203" t="str">
        <f>IF(B203="","",
    COUNTA($B$2:B203)-COUNTIFS($B$2:B203,"",$B$2:B203,"=*"))</f>
        <v/>
      </c>
      <c r="B203" s="217" t="str">
        <f>IF(足元帳!AU203="","",足元帳!C203)</f>
        <v/>
      </c>
      <c r="C203" s="217" t="str">
        <f>IFERROR(VLOOKUP(IF(足元帳!AU203="","",足元帳!BJ203),管理シート!$CA$4:$CB$23,2,FALSE),"")</f>
        <v/>
      </c>
      <c r="D203" s="217" t="str">
        <f>IF(足元帳!AU203="","",足元帳!K203)</f>
        <v/>
      </c>
      <c r="E203" s="217" t="str">
        <f>IFERROR(VLOOKUP(IF(足元帳!AU203="","",足元帳!BB203),管理シート!$R$4:$W$12,4),"")</f>
        <v/>
      </c>
      <c r="F203" s="217" t="str">
        <f t="shared" si="3"/>
        <v/>
      </c>
      <c r="G203" s="217" t="str">
        <f>IF(足元帳!AU203="","",足元帳!AU203)</f>
        <v/>
      </c>
      <c r="H203" s="217" t="str">
        <f>IF(足元帳!AV203="","",足元帳!AV203)</f>
        <v/>
      </c>
      <c r="I203" s="217" t="str">
        <f>IF(B203="","",IF(IF(足元帳!AU203="","",足元帳!BB203)=1,精算表!$C$14,IF(IF(足元帳!AU203="","",足元帳!BB203)=2,精算表!$E$14,IF(IF(足元帳!AU203="","",足元帳!BB203)=3,精算表!$G$14,IF(IF(足元帳!AU203="","",足元帳!BB203)=4,精算表!$I$14,IF(IF(足元帳!AU203="","",足元帳!BB203)=5,精算表!$K$14,))))))</f>
        <v/>
      </c>
      <c r="J203" s="217" t="str">
        <f>IFERROR(VLOOKUP(VLOOKUP(IF(足元帳!AU203="","",足元帳!BJ203),管理シート!$CA$4:$CI$13,2,FALSE),精算表!$BL$20:$BS$29,MATCH(E203&amp;"分",精算表!$BL$20:$BS$20,0),FALSE),"")</f>
        <v/>
      </c>
      <c r="K203" s="220" t="str">
        <f>IF(足元帳!AU203="","",足元帳!CC203)</f>
        <v/>
      </c>
      <c r="L203" s="217" t="str">
        <f>IF(足元帳!AU203="","",IF(足元帳!AL203="●","カード利用",""))</f>
        <v/>
      </c>
    </row>
    <row r="204" spans="1:12">
      <c r="A204" t="str">
        <f>IF(B204="","",
    COUNTA($B$2:B204)-COUNTIFS($B$2:B204,"",$B$2:B204,"=*"))</f>
        <v/>
      </c>
      <c r="B204" s="217" t="str">
        <f>IF(足元帳!AU204="","",足元帳!C204)</f>
        <v/>
      </c>
      <c r="C204" s="217" t="str">
        <f>IFERROR(VLOOKUP(IF(足元帳!AU204="","",足元帳!BJ204),管理シート!$CA$4:$CB$23,2,FALSE),"")</f>
        <v/>
      </c>
      <c r="D204" s="217" t="str">
        <f>IF(足元帳!AU204="","",足元帳!K204)</f>
        <v/>
      </c>
      <c r="E204" s="217" t="str">
        <f>IFERROR(VLOOKUP(IF(足元帳!AU204="","",足元帳!BB204),管理シート!$R$4:$W$12,4),"")</f>
        <v/>
      </c>
      <c r="F204" s="217" t="str">
        <f t="shared" si="3"/>
        <v/>
      </c>
      <c r="G204" s="217" t="str">
        <f>IF(足元帳!AU204="","",足元帳!AU204)</f>
        <v/>
      </c>
      <c r="H204" s="217" t="str">
        <f>IF(足元帳!AV204="","",足元帳!AV204)</f>
        <v/>
      </c>
      <c r="I204" s="217" t="str">
        <f>IF(B204="","",IF(IF(足元帳!AU204="","",足元帳!BB204)=1,精算表!$C$14,IF(IF(足元帳!AU204="","",足元帳!BB204)=2,精算表!$E$14,IF(IF(足元帳!AU204="","",足元帳!BB204)=3,精算表!$G$14,IF(IF(足元帳!AU204="","",足元帳!BB204)=4,精算表!$I$14,IF(IF(足元帳!AU204="","",足元帳!BB204)=5,精算表!$K$14,))))))</f>
        <v/>
      </c>
      <c r="J204" s="217" t="str">
        <f>IFERROR(VLOOKUP(VLOOKUP(IF(足元帳!AU204="","",足元帳!BJ204),管理シート!$CA$4:$CI$13,2,FALSE),精算表!$BL$20:$BS$29,MATCH(E204&amp;"分",精算表!$BL$20:$BS$20,0),FALSE),"")</f>
        <v/>
      </c>
      <c r="K204" s="220" t="str">
        <f>IF(足元帳!AU204="","",足元帳!CC204)</f>
        <v/>
      </c>
      <c r="L204" s="217" t="str">
        <f>IF(足元帳!AU204="","",IF(足元帳!AL204="●","カード利用",""))</f>
        <v/>
      </c>
    </row>
    <row r="205" spans="1:12">
      <c r="A205" t="str">
        <f>IF(B205="","",
    COUNTA($B$2:B205)-COUNTIFS($B$2:B205,"",$B$2:B205,"=*"))</f>
        <v/>
      </c>
      <c r="B205" s="217" t="str">
        <f>IF(足元帳!AU205="","",足元帳!C205)</f>
        <v/>
      </c>
      <c r="C205" s="217" t="str">
        <f>IFERROR(VLOOKUP(IF(足元帳!AU205="","",足元帳!BJ205),管理シート!$CA$4:$CB$23,2,FALSE),"")</f>
        <v/>
      </c>
      <c r="D205" s="217" t="str">
        <f>IF(足元帳!AU205="","",足元帳!K205)</f>
        <v/>
      </c>
      <c r="E205" s="217" t="str">
        <f>IFERROR(VLOOKUP(IF(足元帳!AU205="","",足元帳!BB205),管理シート!$R$4:$W$12,4),"")</f>
        <v/>
      </c>
      <c r="F205" s="217" t="str">
        <f t="shared" si="3"/>
        <v/>
      </c>
      <c r="G205" s="217" t="str">
        <f>IF(足元帳!AU205="","",足元帳!AU205)</f>
        <v/>
      </c>
      <c r="H205" s="217" t="str">
        <f>IF(足元帳!AV205="","",足元帳!AV205)</f>
        <v/>
      </c>
      <c r="I205" s="217" t="str">
        <f>IF(B205="","",IF(IF(足元帳!AU205="","",足元帳!BB205)=1,精算表!$C$14,IF(IF(足元帳!AU205="","",足元帳!BB205)=2,精算表!$E$14,IF(IF(足元帳!AU205="","",足元帳!BB205)=3,精算表!$G$14,IF(IF(足元帳!AU205="","",足元帳!BB205)=4,精算表!$I$14,IF(IF(足元帳!AU205="","",足元帳!BB205)=5,精算表!$K$14,))))))</f>
        <v/>
      </c>
      <c r="J205" s="217" t="str">
        <f>IFERROR(VLOOKUP(VLOOKUP(IF(足元帳!AU205="","",足元帳!BJ205),管理シート!$CA$4:$CI$13,2,FALSE),精算表!$BL$20:$BS$29,MATCH(E205&amp;"分",精算表!$BL$20:$BS$20,0),FALSE),"")</f>
        <v/>
      </c>
      <c r="K205" s="220" t="str">
        <f>IF(足元帳!AU205="","",足元帳!CC205)</f>
        <v/>
      </c>
      <c r="L205" s="217" t="str">
        <f>IF(足元帳!AU205="","",IF(足元帳!AL205="●","カード利用",""))</f>
        <v/>
      </c>
    </row>
    <row r="206" spans="1:12">
      <c r="A206" t="str">
        <f>IF(B206="","",
    COUNTA($B$2:B206)-COUNTIFS($B$2:B206,"",$B$2:B206,"=*"))</f>
        <v/>
      </c>
      <c r="B206" s="217" t="str">
        <f>IF(足元帳!AU206="","",足元帳!C206)</f>
        <v/>
      </c>
      <c r="C206" s="217" t="str">
        <f>IFERROR(VLOOKUP(IF(足元帳!AU206="","",足元帳!BJ206),管理シート!$CA$4:$CB$23,2,FALSE),"")</f>
        <v/>
      </c>
      <c r="D206" s="217" t="str">
        <f>IF(足元帳!AU206="","",足元帳!K206)</f>
        <v/>
      </c>
      <c r="E206" s="217" t="str">
        <f>IFERROR(VLOOKUP(IF(足元帳!AU206="","",足元帳!BB206),管理シート!$R$4:$W$12,4),"")</f>
        <v/>
      </c>
      <c r="F206" s="217" t="str">
        <f t="shared" si="3"/>
        <v/>
      </c>
      <c r="G206" s="217" t="str">
        <f>IF(足元帳!AU206="","",足元帳!AU206)</f>
        <v/>
      </c>
      <c r="H206" s="217" t="str">
        <f>IF(足元帳!AV206="","",足元帳!AV206)</f>
        <v/>
      </c>
      <c r="I206" s="217" t="str">
        <f>IF(B206="","",IF(IF(足元帳!AU206="","",足元帳!BB206)=1,精算表!$C$14,IF(IF(足元帳!AU206="","",足元帳!BB206)=2,精算表!$E$14,IF(IF(足元帳!AU206="","",足元帳!BB206)=3,精算表!$G$14,IF(IF(足元帳!AU206="","",足元帳!BB206)=4,精算表!$I$14,IF(IF(足元帳!AU206="","",足元帳!BB206)=5,精算表!$K$14,))))))</f>
        <v/>
      </c>
      <c r="J206" s="217" t="str">
        <f>IFERROR(VLOOKUP(VLOOKUP(IF(足元帳!AU206="","",足元帳!BJ206),管理シート!$CA$4:$CI$13,2,FALSE),精算表!$BL$20:$BS$29,MATCH(E206&amp;"分",精算表!$BL$20:$BS$20,0),FALSE),"")</f>
        <v/>
      </c>
      <c r="K206" s="220" t="str">
        <f>IF(足元帳!AU206="","",足元帳!CC206)</f>
        <v/>
      </c>
      <c r="L206" s="217" t="str">
        <f>IF(足元帳!AU206="","",IF(足元帳!AL206="●","カード利用",""))</f>
        <v/>
      </c>
    </row>
    <row r="207" spans="1:12">
      <c r="A207" t="str">
        <f>IF(B207="","",
    COUNTA($B$2:B207)-COUNTIFS($B$2:B207,"",$B$2:B207,"=*"))</f>
        <v/>
      </c>
      <c r="B207" s="217" t="str">
        <f>IF(足元帳!AU207="","",足元帳!C207)</f>
        <v/>
      </c>
      <c r="C207" s="217" t="str">
        <f>IFERROR(VLOOKUP(IF(足元帳!AU207="","",足元帳!BJ207),管理シート!$CA$4:$CB$23,2,FALSE),"")</f>
        <v/>
      </c>
      <c r="D207" s="217" t="str">
        <f>IF(足元帳!AU207="","",足元帳!K207)</f>
        <v/>
      </c>
      <c r="E207" s="217" t="str">
        <f>IFERROR(VLOOKUP(IF(足元帳!AU207="","",足元帳!BB207),管理シート!$R$4:$W$12,4),"")</f>
        <v/>
      </c>
      <c r="F207" s="217" t="str">
        <f t="shared" si="3"/>
        <v/>
      </c>
      <c r="G207" s="217" t="str">
        <f>IF(足元帳!AU207="","",足元帳!AU207)</f>
        <v/>
      </c>
      <c r="H207" s="217" t="str">
        <f>IF(足元帳!AV207="","",足元帳!AV207)</f>
        <v/>
      </c>
      <c r="I207" s="217" t="str">
        <f>IF(B207="","",IF(IF(足元帳!AU207="","",足元帳!BB207)=1,精算表!$C$14,IF(IF(足元帳!AU207="","",足元帳!BB207)=2,精算表!$E$14,IF(IF(足元帳!AU207="","",足元帳!BB207)=3,精算表!$G$14,IF(IF(足元帳!AU207="","",足元帳!BB207)=4,精算表!$I$14,IF(IF(足元帳!AU207="","",足元帳!BB207)=5,精算表!$K$14,))))))</f>
        <v/>
      </c>
      <c r="J207" s="217" t="str">
        <f>IFERROR(VLOOKUP(VLOOKUP(IF(足元帳!AU207="","",足元帳!BJ207),管理シート!$CA$4:$CI$13,2,FALSE),精算表!$BL$20:$BS$29,MATCH(E207&amp;"分",精算表!$BL$20:$BS$20,0),FALSE),"")</f>
        <v/>
      </c>
      <c r="K207" s="220" t="str">
        <f>IF(足元帳!AU207="","",足元帳!CC207)</f>
        <v/>
      </c>
      <c r="L207" s="217" t="str">
        <f>IF(足元帳!AU207="","",IF(足元帳!AL207="●","カード利用",""))</f>
        <v/>
      </c>
    </row>
    <row r="208" spans="1:12">
      <c r="A208" t="str">
        <f>IF(B208="","",
    COUNTA($B$2:B208)-COUNTIFS($B$2:B208,"",$B$2:B208,"=*"))</f>
        <v/>
      </c>
      <c r="B208" s="217" t="str">
        <f>IF(足元帳!AU208="","",足元帳!C208)</f>
        <v/>
      </c>
      <c r="C208" s="217" t="str">
        <f>IFERROR(VLOOKUP(IF(足元帳!AU208="","",足元帳!BJ208),管理シート!$CA$4:$CB$23,2,FALSE),"")</f>
        <v/>
      </c>
      <c r="D208" s="217" t="str">
        <f>IF(足元帳!AU208="","",足元帳!K208)</f>
        <v/>
      </c>
      <c r="E208" s="217" t="str">
        <f>IFERROR(VLOOKUP(IF(足元帳!AU208="","",足元帳!BB208),管理シート!$R$4:$W$12,4),"")</f>
        <v/>
      </c>
      <c r="F208" s="217" t="str">
        <f t="shared" si="3"/>
        <v/>
      </c>
      <c r="G208" s="217" t="str">
        <f>IF(足元帳!AU208="","",足元帳!AU208)</f>
        <v/>
      </c>
      <c r="H208" s="217" t="str">
        <f>IF(足元帳!AV208="","",足元帳!AV208)</f>
        <v/>
      </c>
      <c r="I208" s="217" t="str">
        <f>IF(B208="","",IF(IF(足元帳!AU208="","",足元帳!BB208)=1,精算表!$C$14,IF(IF(足元帳!AU208="","",足元帳!BB208)=2,精算表!$E$14,IF(IF(足元帳!AU208="","",足元帳!BB208)=3,精算表!$G$14,IF(IF(足元帳!AU208="","",足元帳!BB208)=4,精算表!$I$14,IF(IF(足元帳!AU208="","",足元帳!BB208)=5,精算表!$K$14,))))))</f>
        <v/>
      </c>
      <c r="J208" s="217" t="str">
        <f>IFERROR(VLOOKUP(VLOOKUP(IF(足元帳!AU208="","",足元帳!BJ208),管理シート!$CA$4:$CI$13,2,FALSE),精算表!$BL$20:$BS$29,MATCH(E208&amp;"分",精算表!$BL$20:$BS$20,0),FALSE),"")</f>
        <v/>
      </c>
      <c r="K208" s="220" t="str">
        <f>IF(足元帳!AU208="","",足元帳!CC208)</f>
        <v/>
      </c>
      <c r="L208" s="217" t="str">
        <f>IF(足元帳!AU208="","",IF(足元帳!AL208="●","カード利用",""))</f>
        <v/>
      </c>
    </row>
    <row r="209" spans="1:12">
      <c r="A209" t="str">
        <f>IF(B209="","",
    COUNTA($B$2:B209)-COUNTIFS($B$2:B209,"",$B$2:B209,"=*"))</f>
        <v/>
      </c>
      <c r="B209" s="217" t="str">
        <f>IF(足元帳!AU209="","",足元帳!C209)</f>
        <v/>
      </c>
      <c r="C209" s="217" t="str">
        <f>IFERROR(VLOOKUP(IF(足元帳!AU209="","",足元帳!BJ209),管理シート!$CA$4:$CB$23,2,FALSE),"")</f>
        <v/>
      </c>
      <c r="D209" s="217" t="str">
        <f>IF(足元帳!AU209="","",足元帳!K209)</f>
        <v/>
      </c>
      <c r="E209" s="217" t="str">
        <f>IFERROR(VLOOKUP(IF(足元帳!AU209="","",足元帳!BB209),管理シート!$R$4:$W$12,4),"")</f>
        <v/>
      </c>
      <c r="F209" s="217" t="str">
        <f t="shared" si="3"/>
        <v/>
      </c>
      <c r="G209" s="217" t="str">
        <f>IF(足元帳!AU209="","",足元帳!AU209)</f>
        <v/>
      </c>
      <c r="H209" s="217" t="str">
        <f>IF(足元帳!AV209="","",足元帳!AV209)</f>
        <v/>
      </c>
      <c r="I209" s="217" t="str">
        <f>IF(B209="","",IF(IF(足元帳!AU209="","",足元帳!BB209)=1,精算表!$C$14,IF(IF(足元帳!AU209="","",足元帳!BB209)=2,精算表!$E$14,IF(IF(足元帳!AU209="","",足元帳!BB209)=3,精算表!$G$14,IF(IF(足元帳!AU209="","",足元帳!BB209)=4,精算表!$I$14,IF(IF(足元帳!AU209="","",足元帳!BB209)=5,精算表!$K$14,))))))</f>
        <v/>
      </c>
      <c r="J209" s="217" t="str">
        <f>IFERROR(VLOOKUP(VLOOKUP(IF(足元帳!AU209="","",足元帳!BJ209),管理シート!$CA$4:$CI$13,2,FALSE),精算表!$BL$20:$BS$29,MATCH(E209&amp;"分",精算表!$BL$20:$BS$20,0),FALSE),"")</f>
        <v/>
      </c>
      <c r="K209" s="220" t="str">
        <f>IF(足元帳!AU209="","",足元帳!CC209)</f>
        <v/>
      </c>
      <c r="L209" s="217" t="str">
        <f>IF(足元帳!AU209="","",IF(足元帳!AL209="●","カード利用",""))</f>
        <v/>
      </c>
    </row>
    <row r="210" spans="1:12">
      <c r="A210" t="str">
        <f>IF(B210="","",
    COUNTA($B$2:B210)-COUNTIFS($B$2:B210,"",$B$2:B210,"=*"))</f>
        <v/>
      </c>
      <c r="B210" s="217" t="str">
        <f>IF(足元帳!AU210="","",足元帳!C210)</f>
        <v/>
      </c>
      <c r="C210" s="217" t="str">
        <f>IFERROR(VLOOKUP(IF(足元帳!AU210="","",足元帳!BJ210),管理シート!$CA$4:$CB$23,2,FALSE),"")</f>
        <v/>
      </c>
      <c r="D210" s="217" t="str">
        <f>IF(足元帳!AU210="","",足元帳!K210)</f>
        <v/>
      </c>
      <c r="E210" s="217" t="str">
        <f>IFERROR(VLOOKUP(IF(足元帳!AU210="","",足元帳!BB210),管理シート!$R$4:$W$12,4),"")</f>
        <v/>
      </c>
      <c r="F210" s="217" t="str">
        <f t="shared" si="3"/>
        <v/>
      </c>
      <c r="G210" s="217" t="str">
        <f>IF(足元帳!AU210="","",足元帳!AU210)</f>
        <v/>
      </c>
      <c r="H210" s="217" t="str">
        <f>IF(足元帳!AV210="","",足元帳!AV210)</f>
        <v/>
      </c>
      <c r="I210" s="217" t="str">
        <f>IF(B210="","",IF(IF(足元帳!AU210="","",足元帳!BB210)=1,精算表!$C$14,IF(IF(足元帳!AU210="","",足元帳!BB210)=2,精算表!$E$14,IF(IF(足元帳!AU210="","",足元帳!BB210)=3,精算表!$G$14,IF(IF(足元帳!AU210="","",足元帳!BB210)=4,精算表!$I$14,IF(IF(足元帳!AU210="","",足元帳!BB210)=5,精算表!$K$14,))))))</f>
        <v/>
      </c>
      <c r="J210" s="217" t="str">
        <f>IFERROR(VLOOKUP(VLOOKUP(IF(足元帳!AU210="","",足元帳!BJ210),管理シート!$CA$4:$CI$13,2,FALSE),精算表!$BL$20:$BS$29,MATCH(E210&amp;"分",精算表!$BL$20:$BS$20,0),FALSE),"")</f>
        <v/>
      </c>
      <c r="K210" s="220" t="str">
        <f>IF(足元帳!AU210="","",足元帳!CC210)</f>
        <v/>
      </c>
      <c r="L210" s="217" t="str">
        <f>IF(足元帳!AU210="","",IF(足元帳!AL210="●","カード利用",""))</f>
        <v/>
      </c>
    </row>
    <row r="211" spans="1:12">
      <c r="A211" t="str">
        <f>IF(B211="","",
    COUNTA($B$2:B211)-COUNTIFS($B$2:B211,"",$B$2:B211,"=*"))</f>
        <v/>
      </c>
      <c r="B211" s="217" t="str">
        <f>IF(足元帳!AU211="","",足元帳!C211)</f>
        <v/>
      </c>
      <c r="C211" s="217" t="str">
        <f>IFERROR(VLOOKUP(IF(足元帳!AU211="","",足元帳!BJ211),管理シート!$CA$4:$CB$23,2,FALSE),"")</f>
        <v/>
      </c>
      <c r="D211" s="217" t="str">
        <f>IF(足元帳!AU211="","",足元帳!K211)</f>
        <v/>
      </c>
      <c r="E211" s="217" t="str">
        <f>IFERROR(VLOOKUP(IF(足元帳!AU211="","",足元帳!BB211),管理シート!$R$4:$W$12,4),"")</f>
        <v/>
      </c>
      <c r="F211" s="217" t="str">
        <f t="shared" si="3"/>
        <v/>
      </c>
      <c r="G211" s="217" t="str">
        <f>IF(足元帳!AU211="","",足元帳!AU211)</f>
        <v/>
      </c>
      <c r="H211" s="217" t="str">
        <f>IF(足元帳!AV211="","",足元帳!AV211)</f>
        <v/>
      </c>
      <c r="I211" s="217" t="str">
        <f>IF(B211="","",IF(IF(足元帳!AU211="","",足元帳!BB211)=1,精算表!$C$14,IF(IF(足元帳!AU211="","",足元帳!BB211)=2,精算表!$E$14,IF(IF(足元帳!AU211="","",足元帳!BB211)=3,精算表!$G$14,IF(IF(足元帳!AU211="","",足元帳!BB211)=4,精算表!$I$14,IF(IF(足元帳!AU211="","",足元帳!BB211)=5,精算表!$K$14,))))))</f>
        <v/>
      </c>
      <c r="J211" s="217" t="str">
        <f>IFERROR(VLOOKUP(VLOOKUP(IF(足元帳!AU211="","",足元帳!BJ211),管理シート!$CA$4:$CI$13,2,FALSE),精算表!$BL$20:$BS$29,MATCH(E211&amp;"分",精算表!$BL$20:$BS$20,0),FALSE),"")</f>
        <v/>
      </c>
      <c r="K211" s="220" t="str">
        <f>IF(足元帳!AU211="","",足元帳!CC211)</f>
        <v/>
      </c>
      <c r="L211" s="217" t="str">
        <f>IF(足元帳!AU211="","",IF(足元帳!AL211="●","カード利用",""))</f>
        <v/>
      </c>
    </row>
    <row r="212" spans="1:12">
      <c r="A212" t="str">
        <f>IF(B212="","",
    COUNTA($B$2:B212)-COUNTIFS($B$2:B212,"",$B$2:B212,"=*"))</f>
        <v/>
      </c>
      <c r="B212" s="217" t="str">
        <f>IF(足元帳!AU212="","",足元帳!C212)</f>
        <v/>
      </c>
      <c r="C212" s="217" t="str">
        <f>IFERROR(VLOOKUP(IF(足元帳!AU212="","",足元帳!BJ212),管理シート!$CA$4:$CB$23,2,FALSE),"")</f>
        <v/>
      </c>
      <c r="D212" s="217" t="str">
        <f>IF(足元帳!AU212="","",足元帳!K212)</f>
        <v/>
      </c>
      <c r="E212" s="217" t="str">
        <f>IFERROR(VLOOKUP(IF(足元帳!AU212="","",足元帳!BB212),管理シート!$R$4:$W$12,4),"")</f>
        <v/>
      </c>
      <c r="F212" s="217" t="str">
        <f t="shared" si="3"/>
        <v/>
      </c>
      <c r="G212" s="217" t="str">
        <f>IF(足元帳!AU212="","",足元帳!AU212)</f>
        <v/>
      </c>
      <c r="H212" s="217" t="str">
        <f>IF(足元帳!AV212="","",足元帳!AV212)</f>
        <v/>
      </c>
      <c r="I212" s="217" t="str">
        <f>IF(B212="","",IF(IF(足元帳!AU212="","",足元帳!BB212)=1,精算表!$C$14,IF(IF(足元帳!AU212="","",足元帳!BB212)=2,精算表!$E$14,IF(IF(足元帳!AU212="","",足元帳!BB212)=3,精算表!$G$14,IF(IF(足元帳!AU212="","",足元帳!BB212)=4,精算表!$I$14,IF(IF(足元帳!AU212="","",足元帳!BB212)=5,精算表!$K$14,))))))</f>
        <v/>
      </c>
      <c r="J212" s="217" t="str">
        <f>IFERROR(VLOOKUP(VLOOKUP(IF(足元帳!AU212="","",足元帳!BJ212),管理シート!$CA$4:$CI$13,2,FALSE),精算表!$BL$20:$BS$29,MATCH(E212&amp;"分",精算表!$BL$20:$BS$20,0),FALSE),"")</f>
        <v/>
      </c>
      <c r="K212" s="220" t="str">
        <f>IF(足元帳!AU212="","",足元帳!CC212)</f>
        <v/>
      </c>
      <c r="L212" s="217" t="str">
        <f>IF(足元帳!AU212="","",IF(足元帳!AL212="●","カード利用",""))</f>
        <v/>
      </c>
    </row>
    <row r="213" spans="1:12">
      <c r="A213" t="str">
        <f>IF(B213="","",
    COUNTA($B$2:B213)-COUNTIFS($B$2:B213,"",$B$2:B213,"=*"))</f>
        <v/>
      </c>
      <c r="B213" s="217" t="str">
        <f>IF(足元帳!AU213="","",足元帳!C213)</f>
        <v/>
      </c>
      <c r="C213" s="217" t="str">
        <f>IFERROR(VLOOKUP(IF(足元帳!AU213="","",足元帳!BJ213),管理シート!$CA$4:$CB$23,2,FALSE),"")</f>
        <v/>
      </c>
      <c r="D213" s="217" t="str">
        <f>IF(足元帳!AU213="","",足元帳!K213)</f>
        <v/>
      </c>
      <c r="E213" s="217" t="str">
        <f>IFERROR(VLOOKUP(IF(足元帳!AU213="","",足元帳!BB213),管理シート!$R$4:$W$12,4),"")</f>
        <v/>
      </c>
      <c r="F213" s="217" t="str">
        <f t="shared" si="3"/>
        <v/>
      </c>
      <c r="G213" s="217" t="str">
        <f>IF(足元帳!AU213="","",足元帳!AU213)</f>
        <v/>
      </c>
      <c r="H213" s="217" t="str">
        <f>IF(足元帳!AV213="","",足元帳!AV213)</f>
        <v/>
      </c>
      <c r="I213" s="217" t="str">
        <f>IF(B213="","",IF(IF(足元帳!AU213="","",足元帳!BB213)=1,精算表!$C$14,IF(IF(足元帳!AU213="","",足元帳!BB213)=2,精算表!$E$14,IF(IF(足元帳!AU213="","",足元帳!BB213)=3,精算表!$G$14,IF(IF(足元帳!AU213="","",足元帳!BB213)=4,精算表!$I$14,IF(IF(足元帳!AU213="","",足元帳!BB213)=5,精算表!$K$14,))))))</f>
        <v/>
      </c>
      <c r="J213" s="217" t="str">
        <f>IFERROR(VLOOKUP(VLOOKUP(IF(足元帳!AU213="","",足元帳!BJ213),管理シート!$CA$4:$CI$13,2,FALSE),精算表!$BL$20:$BS$29,MATCH(E213&amp;"分",精算表!$BL$20:$BS$20,0),FALSE),"")</f>
        <v/>
      </c>
      <c r="K213" s="220" t="str">
        <f>IF(足元帳!AU213="","",足元帳!CC213)</f>
        <v/>
      </c>
      <c r="L213" s="217" t="str">
        <f>IF(足元帳!AU213="","",IF(足元帳!AL213="●","カード利用",""))</f>
        <v/>
      </c>
    </row>
    <row r="214" spans="1:12">
      <c r="A214" t="str">
        <f>IF(B214="","",
    COUNTA($B$2:B214)-COUNTIFS($B$2:B214,"",$B$2:B214,"=*"))</f>
        <v/>
      </c>
      <c r="B214" s="217" t="str">
        <f>IF(足元帳!AU214="","",足元帳!C214)</f>
        <v/>
      </c>
      <c r="C214" s="217" t="str">
        <f>IFERROR(VLOOKUP(IF(足元帳!AU214="","",足元帳!BJ214),管理シート!$CA$4:$CB$23,2,FALSE),"")</f>
        <v/>
      </c>
      <c r="D214" s="217" t="str">
        <f>IF(足元帳!AU214="","",足元帳!K214)</f>
        <v/>
      </c>
      <c r="E214" s="217" t="str">
        <f>IFERROR(VLOOKUP(IF(足元帳!AU214="","",足元帳!BB214),管理シート!$R$4:$W$12,4),"")</f>
        <v/>
      </c>
      <c r="F214" s="217" t="str">
        <f t="shared" si="3"/>
        <v/>
      </c>
      <c r="G214" s="217" t="str">
        <f>IF(足元帳!AU214="","",足元帳!AU214)</f>
        <v/>
      </c>
      <c r="H214" s="217" t="str">
        <f>IF(足元帳!AV214="","",足元帳!AV214)</f>
        <v/>
      </c>
      <c r="I214" s="217" t="str">
        <f>IF(B214="","",IF(IF(足元帳!AU214="","",足元帳!BB214)=1,精算表!$C$14,IF(IF(足元帳!AU214="","",足元帳!BB214)=2,精算表!$E$14,IF(IF(足元帳!AU214="","",足元帳!BB214)=3,精算表!$G$14,IF(IF(足元帳!AU214="","",足元帳!BB214)=4,精算表!$I$14,IF(IF(足元帳!AU214="","",足元帳!BB214)=5,精算表!$K$14,))))))</f>
        <v/>
      </c>
      <c r="J214" s="217" t="str">
        <f>IFERROR(VLOOKUP(VLOOKUP(IF(足元帳!AU214="","",足元帳!BJ214),管理シート!$CA$4:$CI$13,2,FALSE),精算表!$BL$20:$BS$29,MATCH(E214&amp;"分",精算表!$BL$20:$BS$20,0),FALSE),"")</f>
        <v/>
      </c>
      <c r="K214" s="220" t="str">
        <f>IF(足元帳!AU214="","",足元帳!CC214)</f>
        <v/>
      </c>
      <c r="L214" s="217" t="str">
        <f>IF(足元帳!AU214="","",IF(足元帳!AL214="●","カード利用",""))</f>
        <v/>
      </c>
    </row>
    <row r="215" spans="1:12">
      <c r="A215" t="str">
        <f>IF(B215="","",
    COUNTA($B$2:B215)-COUNTIFS($B$2:B215,"",$B$2:B215,"=*"))</f>
        <v/>
      </c>
      <c r="B215" s="217" t="str">
        <f>IF(足元帳!AU215="","",足元帳!C215)</f>
        <v/>
      </c>
      <c r="C215" s="217" t="str">
        <f>IFERROR(VLOOKUP(IF(足元帳!AU215="","",足元帳!BJ215),管理シート!$CA$4:$CB$23,2,FALSE),"")</f>
        <v/>
      </c>
      <c r="D215" s="217" t="str">
        <f>IF(足元帳!AU215="","",足元帳!K215)</f>
        <v/>
      </c>
      <c r="E215" s="217" t="str">
        <f>IFERROR(VLOOKUP(IF(足元帳!AU215="","",足元帳!BB215),管理シート!$R$4:$W$12,4),"")</f>
        <v/>
      </c>
      <c r="F215" s="217" t="str">
        <f t="shared" si="3"/>
        <v/>
      </c>
      <c r="G215" s="217" t="str">
        <f>IF(足元帳!AU215="","",足元帳!AU215)</f>
        <v/>
      </c>
      <c r="H215" s="217" t="str">
        <f>IF(足元帳!AV215="","",足元帳!AV215)</f>
        <v/>
      </c>
      <c r="I215" s="217" t="str">
        <f>IF(B215="","",IF(IF(足元帳!AU215="","",足元帳!BB215)=1,精算表!$C$14,IF(IF(足元帳!AU215="","",足元帳!BB215)=2,精算表!$E$14,IF(IF(足元帳!AU215="","",足元帳!BB215)=3,精算表!$G$14,IF(IF(足元帳!AU215="","",足元帳!BB215)=4,精算表!$I$14,IF(IF(足元帳!AU215="","",足元帳!BB215)=5,精算表!$K$14,))))))</f>
        <v/>
      </c>
      <c r="J215" s="217" t="str">
        <f>IFERROR(VLOOKUP(VLOOKUP(IF(足元帳!AU215="","",足元帳!BJ215),管理シート!$CA$4:$CI$13,2,FALSE),精算表!$BL$20:$BS$29,MATCH(E215&amp;"分",精算表!$BL$20:$BS$20,0),FALSE),"")</f>
        <v/>
      </c>
      <c r="K215" s="220" t="str">
        <f>IF(足元帳!AU215="","",足元帳!CC215)</f>
        <v/>
      </c>
      <c r="L215" s="217" t="str">
        <f>IF(足元帳!AU215="","",IF(足元帳!AL215="●","カード利用",""))</f>
        <v/>
      </c>
    </row>
    <row r="216" spans="1:12">
      <c r="A216" t="str">
        <f>IF(B216="","",
    COUNTA($B$2:B216)-COUNTIFS($B$2:B216,"",$B$2:B216,"=*"))</f>
        <v/>
      </c>
      <c r="B216" s="217" t="str">
        <f>IF(足元帳!AU216="","",足元帳!C216)</f>
        <v/>
      </c>
      <c r="C216" s="217" t="str">
        <f>IFERROR(VLOOKUP(IF(足元帳!AU216="","",足元帳!BJ216),管理シート!$CA$4:$CB$23,2,FALSE),"")</f>
        <v/>
      </c>
      <c r="D216" s="217" t="str">
        <f>IF(足元帳!AU216="","",足元帳!K216)</f>
        <v/>
      </c>
      <c r="E216" s="217" t="str">
        <f>IFERROR(VLOOKUP(IF(足元帳!AU216="","",足元帳!BB216),管理シート!$R$4:$W$12,4),"")</f>
        <v/>
      </c>
      <c r="F216" s="217" t="str">
        <f t="shared" si="3"/>
        <v/>
      </c>
      <c r="G216" s="217" t="str">
        <f>IF(足元帳!AU216="","",足元帳!AU216)</f>
        <v/>
      </c>
      <c r="H216" s="217" t="str">
        <f>IF(足元帳!AV216="","",足元帳!AV216)</f>
        <v/>
      </c>
      <c r="I216" s="217" t="str">
        <f>IF(B216="","",IF(IF(足元帳!AU216="","",足元帳!BB216)=1,精算表!$C$14,IF(IF(足元帳!AU216="","",足元帳!BB216)=2,精算表!$E$14,IF(IF(足元帳!AU216="","",足元帳!BB216)=3,精算表!$G$14,IF(IF(足元帳!AU216="","",足元帳!BB216)=4,精算表!$I$14,IF(IF(足元帳!AU216="","",足元帳!BB216)=5,精算表!$K$14,))))))</f>
        <v/>
      </c>
      <c r="J216" s="217" t="str">
        <f>IFERROR(VLOOKUP(VLOOKUP(IF(足元帳!AU216="","",足元帳!BJ216),管理シート!$CA$4:$CI$13,2,FALSE),精算表!$BL$20:$BS$29,MATCH(E216&amp;"分",精算表!$BL$20:$BS$20,0),FALSE),"")</f>
        <v/>
      </c>
      <c r="K216" s="220" t="str">
        <f>IF(足元帳!AU216="","",足元帳!CC216)</f>
        <v/>
      </c>
      <c r="L216" s="217" t="str">
        <f>IF(足元帳!AU216="","",IF(足元帳!AL216="●","カード利用",""))</f>
        <v/>
      </c>
    </row>
    <row r="217" spans="1:12">
      <c r="A217" t="str">
        <f>IF(B217="","",
    COUNTA($B$2:B217)-COUNTIFS($B$2:B217,"",$B$2:B217,"=*"))</f>
        <v/>
      </c>
      <c r="B217" s="217" t="str">
        <f>IF(足元帳!AU217="","",足元帳!C217)</f>
        <v/>
      </c>
      <c r="C217" s="217" t="str">
        <f>IFERROR(VLOOKUP(IF(足元帳!AU217="","",足元帳!BJ217),管理シート!$CA$4:$CB$23,2,FALSE),"")</f>
        <v/>
      </c>
      <c r="D217" s="217" t="str">
        <f>IF(足元帳!AU217="","",足元帳!K217)</f>
        <v/>
      </c>
      <c r="E217" s="217" t="str">
        <f>IFERROR(VLOOKUP(IF(足元帳!AU217="","",足元帳!BB217),管理シート!$R$4:$W$12,4),"")</f>
        <v/>
      </c>
      <c r="F217" s="217" t="str">
        <f t="shared" si="3"/>
        <v/>
      </c>
      <c r="G217" s="217" t="str">
        <f>IF(足元帳!AU217="","",足元帳!AU217)</f>
        <v/>
      </c>
      <c r="H217" s="217" t="str">
        <f>IF(足元帳!AV217="","",足元帳!AV217)</f>
        <v/>
      </c>
      <c r="I217" s="217" t="str">
        <f>IF(B217="","",IF(IF(足元帳!AU217="","",足元帳!BB217)=1,精算表!$C$14,IF(IF(足元帳!AU217="","",足元帳!BB217)=2,精算表!$E$14,IF(IF(足元帳!AU217="","",足元帳!BB217)=3,精算表!$G$14,IF(IF(足元帳!AU217="","",足元帳!BB217)=4,精算表!$I$14,IF(IF(足元帳!AU217="","",足元帳!BB217)=5,精算表!$K$14,))))))</f>
        <v/>
      </c>
      <c r="J217" s="217" t="str">
        <f>IFERROR(VLOOKUP(VLOOKUP(IF(足元帳!AU217="","",足元帳!BJ217),管理シート!$CA$4:$CI$13,2,FALSE),精算表!$BL$20:$BS$29,MATCH(E217&amp;"分",精算表!$BL$20:$BS$20,0),FALSE),"")</f>
        <v/>
      </c>
      <c r="K217" s="220" t="str">
        <f>IF(足元帳!AU217="","",足元帳!CC217)</f>
        <v/>
      </c>
      <c r="L217" s="217" t="str">
        <f>IF(足元帳!AU217="","",IF(足元帳!AL217="●","カード利用",""))</f>
        <v/>
      </c>
    </row>
    <row r="218" spans="1:12">
      <c r="A218" t="str">
        <f>IF(B218="","",
    COUNTA($B$2:B218)-COUNTIFS($B$2:B218,"",$B$2:B218,"=*"))</f>
        <v/>
      </c>
      <c r="B218" s="217" t="str">
        <f>IF(足元帳!AU218="","",足元帳!C218)</f>
        <v/>
      </c>
      <c r="C218" s="217" t="str">
        <f>IFERROR(VLOOKUP(IF(足元帳!AU218="","",足元帳!BJ218),管理シート!$CA$4:$CB$23,2,FALSE),"")</f>
        <v/>
      </c>
      <c r="D218" s="217" t="str">
        <f>IF(足元帳!AU218="","",足元帳!K218)</f>
        <v/>
      </c>
      <c r="E218" s="217" t="str">
        <f>IFERROR(VLOOKUP(IF(足元帳!AU218="","",足元帳!BB218),管理シート!$R$4:$W$12,4),"")</f>
        <v/>
      </c>
      <c r="F218" s="217" t="str">
        <f t="shared" si="3"/>
        <v/>
      </c>
      <c r="G218" s="217" t="str">
        <f>IF(足元帳!AU218="","",足元帳!AU218)</f>
        <v/>
      </c>
      <c r="H218" s="217" t="str">
        <f>IF(足元帳!AV218="","",足元帳!AV218)</f>
        <v/>
      </c>
      <c r="I218" s="217" t="str">
        <f>IF(B218="","",IF(IF(足元帳!AU218="","",足元帳!BB218)=1,精算表!$C$14,IF(IF(足元帳!AU218="","",足元帳!BB218)=2,精算表!$E$14,IF(IF(足元帳!AU218="","",足元帳!BB218)=3,精算表!$G$14,IF(IF(足元帳!AU218="","",足元帳!BB218)=4,精算表!$I$14,IF(IF(足元帳!AU218="","",足元帳!BB218)=5,精算表!$K$14,))))))</f>
        <v/>
      </c>
      <c r="J218" s="217" t="str">
        <f>IFERROR(VLOOKUP(VLOOKUP(IF(足元帳!AU218="","",足元帳!BJ218),管理シート!$CA$4:$CI$13,2,FALSE),精算表!$BL$20:$BS$29,MATCH(E218&amp;"分",精算表!$BL$20:$BS$20,0),FALSE),"")</f>
        <v/>
      </c>
      <c r="K218" s="220" t="str">
        <f>IF(足元帳!AU218="","",足元帳!CC218)</f>
        <v/>
      </c>
      <c r="L218" s="217" t="str">
        <f>IF(足元帳!AU218="","",IF(足元帳!AL218="●","カード利用",""))</f>
        <v/>
      </c>
    </row>
    <row r="219" spans="1:12">
      <c r="A219" t="str">
        <f>IF(B219="","",
    COUNTA($B$2:B219)-COUNTIFS($B$2:B219,"",$B$2:B219,"=*"))</f>
        <v/>
      </c>
      <c r="B219" s="217" t="str">
        <f>IF(足元帳!AU219="","",足元帳!C219)</f>
        <v/>
      </c>
      <c r="C219" s="217" t="str">
        <f>IFERROR(VLOOKUP(IF(足元帳!AU219="","",足元帳!BJ219),管理シート!$CA$4:$CB$23,2,FALSE),"")</f>
        <v/>
      </c>
      <c r="D219" s="217" t="str">
        <f>IF(足元帳!AU219="","",足元帳!K219)</f>
        <v/>
      </c>
      <c r="E219" s="217" t="str">
        <f>IFERROR(VLOOKUP(IF(足元帳!AU219="","",足元帳!BB219),管理シート!$R$4:$W$12,4),"")</f>
        <v/>
      </c>
      <c r="F219" s="217" t="str">
        <f t="shared" si="3"/>
        <v/>
      </c>
      <c r="G219" s="217" t="str">
        <f>IF(足元帳!AU219="","",足元帳!AU219)</f>
        <v/>
      </c>
      <c r="H219" s="217" t="str">
        <f>IF(足元帳!AV219="","",足元帳!AV219)</f>
        <v/>
      </c>
      <c r="I219" s="217" t="str">
        <f>IF(B219="","",IF(IF(足元帳!AU219="","",足元帳!BB219)=1,精算表!$C$14,IF(IF(足元帳!AU219="","",足元帳!BB219)=2,精算表!$E$14,IF(IF(足元帳!AU219="","",足元帳!BB219)=3,精算表!$G$14,IF(IF(足元帳!AU219="","",足元帳!BB219)=4,精算表!$I$14,IF(IF(足元帳!AU219="","",足元帳!BB219)=5,精算表!$K$14,))))))</f>
        <v/>
      </c>
      <c r="J219" s="217" t="str">
        <f>IFERROR(VLOOKUP(VLOOKUP(IF(足元帳!AU219="","",足元帳!BJ219),管理シート!$CA$4:$CI$13,2,FALSE),精算表!$BL$20:$BS$29,MATCH(E219&amp;"分",精算表!$BL$20:$BS$20,0),FALSE),"")</f>
        <v/>
      </c>
      <c r="K219" s="220" t="str">
        <f>IF(足元帳!AU219="","",足元帳!CC219)</f>
        <v/>
      </c>
      <c r="L219" s="217" t="str">
        <f>IF(足元帳!AU219="","",IF(足元帳!AL219="●","カード利用",""))</f>
        <v/>
      </c>
    </row>
    <row r="220" spans="1:12">
      <c r="A220" t="str">
        <f>IF(B220="","",
    COUNTA($B$2:B220)-COUNTIFS($B$2:B220,"",$B$2:B220,"=*"))</f>
        <v/>
      </c>
      <c r="B220" s="217" t="str">
        <f>IF(足元帳!AU220="","",足元帳!C220)</f>
        <v/>
      </c>
      <c r="C220" s="217" t="str">
        <f>IFERROR(VLOOKUP(IF(足元帳!AU220="","",足元帳!BJ220),管理シート!$CA$4:$CB$23,2,FALSE),"")</f>
        <v/>
      </c>
      <c r="D220" s="217" t="str">
        <f>IF(足元帳!AU220="","",足元帳!K220)</f>
        <v/>
      </c>
      <c r="E220" s="217" t="str">
        <f>IFERROR(VLOOKUP(IF(足元帳!AU220="","",足元帳!BB220),管理シート!$R$4:$W$12,4),"")</f>
        <v/>
      </c>
      <c r="F220" s="217" t="str">
        <f t="shared" ref="F220:F250" si="4">IFERROR(I220-J220,"")</f>
        <v/>
      </c>
      <c r="G220" s="217" t="str">
        <f>IF(足元帳!AU220="","",足元帳!AU220)</f>
        <v/>
      </c>
      <c r="H220" s="217" t="str">
        <f>IF(足元帳!AV220="","",足元帳!AV220)</f>
        <v/>
      </c>
      <c r="I220" s="217" t="str">
        <f>IF(B220="","",IF(IF(足元帳!AU220="","",足元帳!BB220)=1,精算表!$C$14,IF(IF(足元帳!AU220="","",足元帳!BB220)=2,精算表!$E$14,IF(IF(足元帳!AU220="","",足元帳!BB220)=3,精算表!$G$14,IF(IF(足元帳!AU220="","",足元帳!BB220)=4,精算表!$I$14,IF(IF(足元帳!AU220="","",足元帳!BB220)=5,精算表!$K$14,))))))</f>
        <v/>
      </c>
      <c r="J220" s="217" t="str">
        <f>IFERROR(VLOOKUP(VLOOKUP(IF(足元帳!AU220="","",足元帳!BJ220),管理シート!$CA$4:$CI$13,2,FALSE),精算表!$BL$20:$BS$29,MATCH(E220&amp;"分",精算表!$BL$20:$BS$20,0),FALSE),"")</f>
        <v/>
      </c>
      <c r="K220" s="220" t="str">
        <f>IF(足元帳!AU220="","",足元帳!CC220)</f>
        <v/>
      </c>
      <c r="L220" s="217" t="str">
        <f>IF(足元帳!AU220="","",IF(足元帳!AL220="●","カード利用",""))</f>
        <v/>
      </c>
    </row>
    <row r="221" spans="1:12">
      <c r="A221" t="str">
        <f>IF(B221="","",
    COUNTA($B$2:B221)-COUNTIFS($B$2:B221,"",$B$2:B221,"=*"))</f>
        <v/>
      </c>
      <c r="B221" s="217" t="str">
        <f>IF(足元帳!AU221="","",足元帳!C221)</f>
        <v/>
      </c>
      <c r="C221" s="217" t="str">
        <f>IFERROR(VLOOKUP(IF(足元帳!AU221="","",足元帳!BJ221),管理シート!$CA$4:$CB$23,2,FALSE),"")</f>
        <v/>
      </c>
      <c r="D221" s="217" t="str">
        <f>IF(足元帳!AU221="","",足元帳!K221)</f>
        <v/>
      </c>
      <c r="E221" s="217" t="str">
        <f>IFERROR(VLOOKUP(IF(足元帳!AU221="","",足元帳!BB221),管理シート!$R$4:$W$12,4),"")</f>
        <v/>
      </c>
      <c r="F221" s="217" t="str">
        <f t="shared" si="4"/>
        <v/>
      </c>
      <c r="G221" s="217" t="str">
        <f>IF(足元帳!AU221="","",足元帳!AU221)</f>
        <v/>
      </c>
      <c r="H221" s="217" t="str">
        <f>IF(足元帳!AV221="","",足元帳!AV221)</f>
        <v/>
      </c>
      <c r="I221" s="217" t="str">
        <f>IF(B221="","",IF(IF(足元帳!AU221="","",足元帳!BB221)=1,精算表!$C$14,IF(IF(足元帳!AU221="","",足元帳!BB221)=2,精算表!$E$14,IF(IF(足元帳!AU221="","",足元帳!BB221)=3,精算表!$G$14,IF(IF(足元帳!AU221="","",足元帳!BB221)=4,精算表!$I$14,IF(IF(足元帳!AU221="","",足元帳!BB221)=5,精算表!$K$14,))))))</f>
        <v/>
      </c>
      <c r="J221" s="217" t="str">
        <f>IFERROR(VLOOKUP(VLOOKUP(IF(足元帳!AU221="","",足元帳!BJ221),管理シート!$CA$4:$CI$13,2,FALSE),精算表!$BL$20:$BS$29,MATCH(E221&amp;"分",精算表!$BL$20:$BS$20,0),FALSE),"")</f>
        <v/>
      </c>
      <c r="K221" s="220" t="str">
        <f>IF(足元帳!AU221="","",足元帳!CC221)</f>
        <v/>
      </c>
      <c r="L221" s="217" t="str">
        <f>IF(足元帳!AU221="","",IF(足元帳!AL221="●","カード利用",""))</f>
        <v/>
      </c>
    </row>
    <row r="222" spans="1:12">
      <c r="A222" t="str">
        <f>IF(B222="","",
    COUNTA($B$2:B222)-COUNTIFS($B$2:B222,"",$B$2:B222,"=*"))</f>
        <v/>
      </c>
      <c r="B222" s="217" t="str">
        <f>IF(足元帳!AU222="","",足元帳!C222)</f>
        <v/>
      </c>
      <c r="C222" s="217" t="str">
        <f>IFERROR(VLOOKUP(IF(足元帳!AU222="","",足元帳!BJ222),管理シート!$CA$4:$CB$23,2,FALSE),"")</f>
        <v/>
      </c>
      <c r="D222" s="217" t="str">
        <f>IF(足元帳!AU222="","",足元帳!K222)</f>
        <v/>
      </c>
      <c r="E222" s="217" t="str">
        <f>IFERROR(VLOOKUP(IF(足元帳!AU222="","",足元帳!BB222),管理シート!$R$4:$W$12,4),"")</f>
        <v/>
      </c>
      <c r="F222" s="217" t="str">
        <f t="shared" si="4"/>
        <v/>
      </c>
      <c r="G222" s="217" t="str">
        <f>IF(足元帳!AU222="","",足元帳!AU222)</f>
        <v/>
      </c>
      <c r="H222" s="217" t="str">
        <f>IF(足元帳!AV222="","",足元帳!AV222)</f>
        <v/>
      </c>
      <c r="I222" s="217" t="str">
        <f>IF(B222="","",IF(IF(足元帳!AU222="","",足元帳!BB222)=1,精算表!$C$14,IF(IF(足元帳!AU222="","",足元帳!BB222)=2,精算表!$E$14,IF(IF(足元帳!AU222="","",足元帳!BB222)=3,精算表!$G$14,IF(IF(足元帳!AU222="","",足元帳!BB222)=4,精算表!$I$14,IF(IF(足元帳!AU222="","",足元帳!BB222)=5,精算表!$K$14,))))))</f>
        <v/>
      </c>
      <c r="J222" s="217" t="str">
        <f>IFERROR(VLOOKUP(VLOOKUP(IF(足元帳!AU222="","",足元帳!BJ222),管理シート!$CA$4:$CI$13,2,FALSE),精算表!$BL$20:$BS$29,MATCH(E222&amp;"分",精算表!$BL$20:$BS$20,0),FALSE),"")</f>
        <v/>
      </c>
      <c r="K222" s="220" t="str">
        <f>IF(足元帳!AU222="","",足元帳!CC222)</f>
        <v/>
      </c>
      <c r="L222" s="217" t="str">
        <f>IF(足元帳!AU222="","",IF(足元帳!AL222="●","カード利用",""))</f>
        <v/>
      </c>
    </row>
    <row r="223" spans="1:12">
      <c r="A223" t="str">
        <f>IF(B223="","",
    COUNTA($B$2:B223)-COUNTIFS($B$2:B223,"",$B$2:B223,"=*"))</f>
        <v/>
      </c>
      <c r="B223" s="217" t="str">
        <f>IF(足元帳!AU223="","",足元帳!C223)</f>
        <v/>
      </c>
      <c r="C223" s="217" t="str">
        <f>IFERROR(VLOOKUP(IF(足元帳!AU223="","",足元帳!BJ223),管理シート!$CA$4:$CB$23,2,FALSE),"")</f>
        <v/>
      </c>
      <c r="D223" s="217" t="str">
        <f>IF(足元帳!AU223="","",足元帳!K223)</f>
        <v/>
      </c>
      <c r="E223" s="217" t="str">
        <f>IFERROR(VLOOKUP(IF(足元帳!AU223="","",足元帳!BB223),管理シート!$R$4:$W$12,4),"")</f>
        <v/>
      </c>
      <c r="F223" s="217" t="str">
        <f t="shared" si="4"/>
        <v/>
      </c>
      <c r="G223" s="217" t="str">
        <f>IF(足元帳!AU223="","",足元帳!AU223)</f>
        <v/>
      </c>
      <c r="H223" s="217" t="str">
        <f>IF(足元帳!AV223="","",足元帳!AV223)</f>
        <v/>
      </c>
      <c r="I223" s="217" t="str">
        <f>IF(B223="","",IF(IF(足元帳!AU223="","",足元帳!BB223)=1,精算表!$C$14,IF(IF(足元帳!AU223="","",足元帳!BB223)=2,精算表!$E$14,IF(IF(足元帳!AU223="","",足元帳!BB223)=3,精算表!$G$14,IF(IF(足元帳!AU223="","",足元帳!BB223)=4,精算表!$I$14,IF(IF(足元帳!AU223="","",足元帳!BB223)=5,精算表!$K$14,))))))</f>
        <v/>
      </c>
      <c r="J223" s="217" t="str">
        <f>IFERROR(VLOOKUP(VLOOKUP(IF(足元帳!AU223="","",足元帳!BJ223),管理シート!$CA$4:$CI$13,2,FALSE),精算表!$BL$20:$BS$29,MATCH(E223&amp;"分",精算表!$BL$20:$BS$20,0),FALSE),"")</f>
        <v/>
      </c>
      <c r="K223" s="220" t="str">
        <f>IF(足元帳!AU223="","",足元帳!CC223)</f>
        <v/>
      </c>
      <c r="L223" s="217" t="str">
        <f>IF(足元帳!AU223="","",IF(足元帳!AL223="●","カード利用",""))</f>
        <v/>
      </c>
    </row>
    <row r="224" spans="1:12">
      <c r="A224" t="str">
        <f>IF(B224="","",
    COUNTA($B$2:B224)-COUNTIFS($B$2:B224,"",$B$2:B224,"=*"))</f>
        <v/>
      </c>
      <c r="B224" s="217" t="str">
        <f>IF(足元帳!AU224="","",足元帳!C224)</f>
        <v/>
      </c>
      <c r="C224" s="217" t="str">
        <f>IFERROR(VLOOKUP(IF(足元帳!AU224="","",足元帳!BJ224),管理シート!$CA$4:$CB$23,2,FALSE),"")</f>
        <v/>
      </c>
      <c r="D224" s="217" t="str">
        <f>IF(足元帳!AU224="","",足元帳!K224)</f>
        <v/>
      </c>
      <c r="E224" s="217" t="str">
        <f>IFERROR(VLOOKUP(IF(足元帳!AU224="","",足元帳!BB224),管理シート!$R$4:$W$12,4),"")</f>
        <v/>
      </c>
      <c r="F224" s="217" t="str">
        <f t="shared" si="4"/>
        <v/>
      </c>
      <c r="G224" s="217" t="str">
        <f>IF(足元帳!AU224="","",足元帳!AU224)</f>
        <v/>
      </c>
      <c r="H224" s="217" t="str">
        <f>IF(足元帳!AV224="","",足元帳!AV224)</f>
        <v/>
      </c>
      <c r="I224" s="217" t="str">
        <f>IF(B224="","",IF(IF(足元帳!AU224="","",足元帳!BB224)=1,精算表!$C$14,IF(IF(足元帳!AU224="","",足元帳!BB224)=2,精算表!$E$14,IF(IF(足元帳!AU224="","",足元帳!BB224)=3,精算表!$G$14,IF(IF(足元帳!AU224="","",足元帳!BB224)=4,精算表!$I$14,IF(IF(足元帳!AU224="","",足元帳!BB224)=5,精算表!$K$14,))))))</f>
        <v/>
      </c>
      <c r="J224" s="217" t="str">
        <f>IFERROR(VLOOKUP(VLOOKUP(IF(足元帳!AU224="","",足元帳!BJ224),管理シート!$CA$4:$CI$13,2,FALSE),精算表!$BL$20:$BS$29,MATCH(E224&amp;"分",精算表!$BL$20:$BS$20,0),FALSE),"")</f>
        <v/>
      </c>
      <c r="K224" s="220" t="str">
        <f>IF(足元帳!AU224="","",足元帳!CC224)</f>
        <v/>
      </c>
      <c r="L224" s="217" t="str">
        <f>IF(足元帳!AU224="","",IF(足元帳!AL224="●","カード利用",""))</f>
        <v/>
      </c>
    </row>
    <row r="225" spans="1:12">
      <c r="A225" t="str">
        <f>IF(B225="","",
    COUNTA($B$2:B225)-COUNTIFS($B$2:B225,"",$B$2:B225,"=*"))</f>
        <v/>
      </c>
      <c r="B225" s="217" t="str">
        <f>IF(足元帳!AU225="","",足元帳!C225)</f>
        <v/>
      </c>
      <c r="C225" s="217" t="str">
        <f>IFERROR(VLOOKUP(IF(足元帳!AU225="","",足元帳!BJ225),管理シート!$CA$4:$CB$23,2,FALSE),"")</f>
        <v/>
      </c>
      <c r="D225" s="217" t="str">
        <f>IF(足元帳!AU225="","",足元帳!K225)</f>
        <v/>
      </c>
      <c r="E225" s="217" t="str">
        <f>IFERROR(VLOOKUP(IF(足元帳!AU225="","",足元帳!BB225),管理シート!$R$4:$W$12,4),"")</f>
        <v/>
      </c>
      <c r="F225" s="217" t="str">
        <f t="shared" si="4"/>
        <v/>
      </c>
      <c r="G225" s="217" t="str">
        <f>IF(足元帳!AU225="","",足元帳!AU225)</f>
        <v/>
      </c>
      <c r="H225" s="217" t="str">
        <f>IF(足元帳!AV225="","",足元帳!AV225)</f>
        <v/>
      </c>
      <c r="I225" s="217" t="str">
        <f>IF(B225="","",IF(IF(足元帳!AU225="","",足元帳!BB225)=1,精算表!$C$14,IF(IF(足元帳!AU225="","",足元帳!BB225)=2,精算表!$E$14,IF(IF(足元帳!AU225="","",足元帳!BB225)=3,精算表!$G$14,IF(IF(足元帳!AU225="","",足元帳!BB225)=4,精算表!$I$14,IF(IF(足元帳!AU225="","",足元帳!BB225)=5,精算表!$K$14,))))))</f>
        <v/>
      </c>
      <c r="J225" s="217" t="str">
        <f>IFERROR(VLOOKUP(VLOOKUP(IF(足元帳!AU225="","",足元帳!BJ225),管理シート!$CA$4:$CI$13,2,FALSE),精算表!$BL$20:$BS$29,MATCH(E225&amp;"分",精算表!$BL$20:$BS$20,0),FALSE),"")</f>
        <v/>
      </c>
      <c r="K225" s="220" t="str">
        <f>IF(足元帳!AU225="","",足元帳!CC225)</f>
        <v/>
      </c>
      <c r="L225" s="217" t="str">
        <f>IF(足元帳!AU225="","",IF(足元帳!AL225="●","カード利用",""))</f>
        <v/>
      </c>
    </row>
    <row r="226" spans="1:12">
      <c r="A226" t="str">
        <f>IF(B226="","",
    COUNTA($B$2:B226)-COUNTIFS($B$2:B226,"",$B$2:B226,"=*"))</f>
        <v/>
      </c>
      <c r="B226" s="217" t="str">
        <f>IF(足元帳!AU226="","",足元帳!C226)</f>
        <v/>
      </c>
      <c r="C226" s="217" t="str">
        <f>IFERROR(VLOOKUP(IF(足元帳!AU226="","",足元帳!BJ226),管理シート!$CA$4:$CB$23,2,FALSE),"")</f>
        <v/>
      </c>
      <c r="D226" s="217" t="str">
        <f>IF(足元帳!AU226="","",足元帳!K226)</f>
        <v/>
      </c>
      <c r="E226" s="217" t="str">
        <f>IFERROR(VLOOKUP(IF(足元帳!AU226="","",足元帳!BB226),管理シート!$R$4:$W$12,4),"")</f>
        <v/>
      </c>
      <c r="F226" s="217" t="str">
        <f t="shared" si="4"/>
        <v/>
      </c>
      <c r="G226" s="217" t="str">
        <f>IF(足元帳!AU226="","",足元帳!AU226)</f>
        <v/>
      </c>
      <c r="H226" s="217" t="str">
        <f>IF(足元帳!AV226="","",足元帳!AV226)</f>
        <v/>
      </c>
      <c r="I226" s="217" t="str">
        <f>IF(B226="","",IF(IF(足元帳!AU226="","",足元帳!BB226)=1,精算表!$C$14,IF(IF(足元帳!AU226="","",足元帳!BB226)=2,精算表!$E$14,IF(IF(足元帳!AU226="","",足元帳!BB226)=3,精算表!$G$14,IF(IF(足元帳!AU226="","",足元帳!BB226)=4,精算表!$I$14,IF(IF(足元帳!AU226="","",足元帳!BB226)=5,精算表!$K$14,))))))</f>
        <v/>
      </c>
      <c r="J226" s="217" t="str">
        <f>IFERROR(VLOOKUP(VLOOKUP(IF(足元帳!AU226="","",足元帳!BJ226),管理シート!$CA$4:$CI$13,2,FALSE),精算表!$BL$20:$BS$29,MATCH(E226&amp;"分",精算表!$BL$20:$BS$20,0),FALSE),"")</f>
        <v/>
      </c>
      <c r="K226" s="220" t="str">
        <f>IF(足元帳!AU226="","",足元帳!CC226)</f>
        <v/>
      </c>
      <c r="L226" s="217" t="str">
        <f>IF(足元帳!AU226="","",IF(足元帳!AL226="●","カード利用",""))</f>
        <v/>
      </c>
    </row>
    <row r="227" spans="1:12">
      <c r="A227" t="str">
        <f>IF(B227="","",
    COUNTA($B$2:B227)-COUNTIFS($B$2:B227,"",$B$2:B227,"=*"))</f>
        <v/>
      </c>
      <c r="B227" s="217" t="str">
        <f>IF(足元帳!AU227="","",足元帳!C227)</f>
        <v/>
      </c>
      <c r="C227" s="217" t="str">
        <f>IFERROR(VLOOKUP(IF(足元帳!AU227="","",足元帳!BJ227),管理シート!$CA$4:$CB$23,2,FALSE),"")</f>
        <v/>
      </c>
      <c r="D227" s="217" t="str">
        <f>IF(足元帳!AU227="","",足元帳!K227)</f>
        <v/>
      </c>
      <c r="E227" s="217" t="str">
        <f>IFERROR(VLOOKUP(IF(足元帳!AU227="","",足元帳!BB227),管理シート!$R$4:$W$12,4),"")</f>
        <v/>
      </c>
      <c r="F227" s="217" t="str">
        <f t="shared" si="4"/>
        <v/>
      </c>
      <c r="G227" s="217" t="str">
        <f>IF(足元帳!AU227="","",足元帳!AU227)</f>
        <v/>
      </c>
      <c r="H227" s="217" t="str">
        <f>IF(足元帳!AV227="","",足元帳!AV227)</f>
        <v/>
      </c>
      <c r="I227" s="217" t="str">
        <f>IF(B227="","",IF(IF(足元帳!AU227="","",足元帳!BB227)=1,精算表!$C$14,IF(IF(足元帳!AU227="","",足元帳!BB227)=2,精算表!$E$14,IF(IF(足元帳!AU227="","",足元帳!BB227)=3,精算表!$G$14,IF(IF(足元帳!AU227="","",足元帳!BB227)=4,精算表!$I$14,IF(IF(足元帳!AU227="","",足元帳!BB227)=5,精算表!$K$14,))))))</f>
        <v/>
      </c>
      <c r="J227" s="217" t="str">
        <f>IFERROR(VLOOKUP(VLOOKUP(IF(足元帳!AU227="","",足元帳!BJ227),管理シート!$CA$4:$CI$13,2,FALSE),精算表!$BL$20:$BS$29,MATCH(E227&amp;"分",精算表!$BL$20:$BS$20,0),FALSE),"")</f>
        <v/>
      </c>
      <c r="K227" s="220" t="str">
        <f>IF(足元帳!AU227="","",足元帳!CC227)</f>
        <v/>
      </c>
      <c r="L227" s="217" t="str">
        <f>IF(足元帳!AU227="","",IF(足元帳!AL227="●","カード利用",""))</f>
        <v/>
      </c>
    </row>
    <row r="228" spans="1:12">
      <c r="A228" t="str">
        <f>IF(B228="","",
    COUNTA($B$2:B228)-COUNTIFS($B$2:B228,"",$B$2:B228,"=*"))</f>
        <v/>
      </c>
      <c r="B228" s="217" t="str">
        <f>IF(足元帳!AU228="","",足元帳!C228)</f>
        <v/>
      </c>
      <c r="C228" s="217" t="str">
        <f>IFERROR(VLOOKUP(IF(足元帳!AU228="","",足元帳!BJ228),管理シート!$CA$4:$CB$23,2,FALSE),"")</f>
        <v/>
      </c>
      <c r="D228" s="217" t="str">
        <f>IF(足元帳!AU228="","",足元帳!K228)</f>
        <v/>
      </c>
      <c r="E228" s="217" t="str">
        <f>IFERROR(VLOOKUP(IF(足元帳!AU228="","",足元帳!BB228),管理シート!$R$4:$W$12,4),"")</f>
        <v/>
      </c>
      <c r="F228" s="217" t="str">
        <f t="shared" si="4"/>
        <v/>
      </c>
      <c r="G228" s="217" t="str">
        <f>IF(足元帳!AU228="","",足元帳!AU228)</f>
        <v/>
      </c>
      <c r="H228" s="217" t="str">
        <f>IF(足元帳!AV228="","",足元帳!AV228)</f>
        <v/>
      </c>
      <c r="I228" s="217" t="str">
        <f>IF(B228="","",IF(IF(足元帳!AU228="","",足元帳!BB228)=1,精算表!$C$14,IF(IF(足元帳!AU228="","",足元帳!BB228)=2,精算表!$E$14,IF(IF(足元帳!AU228="","",足元帳!BB228)=3,精算表!$G$14,IF(IF(足元帳!AU228="","",足元帳!BB228)=4,精算表!$I$14,IF(IF(足元帳!AU228="","",足元帳!BB228)=5,精算表!$K$14,))))))</f>
        <v/>
      </c>
      <c r="J228" s="217" t="str">
        <f>IFERROR(VLOOKUP(VLOOKUP(IF(足元帳!AU228="","",足元帳!BJ228),管理シート!$CA$4:$CI$13,2,FALSE),精算表!$BL$20:$BS$29,MATCH(E228&amp;"分",精算表!$BL$20:$BS$20,0),FALSE),"")</f>
        <v/>
      </c>
      <c r="K228" s="220" t="str">
        <f>IF(足元帳!AU228="","",足元帳!CC228)</f>
        <v/>
      </c>
      <c r="L228" s="217" t="str">
        <f>IF(足元帳!AU228="","",IF(足元帳!AL228="●","カード利用",""))</f>
        <v/>
      </c>
    </row>
    <row r="229" spans="1:12">
      <c r="A229" t="str">
        <f>IF(B229="","",
    COUNTA($B$2:B229)-COUNTIFS($B$2:B229,"",$B$2:B229,"=*"))</f>
        <v/>
      </c>
      <c r="B229" s="217" t="str">
        <f>IF(足元帳!AU229="","",足元帳!C229)</f>
        <v/>
      </c>
      <c r="C229" s="217" t="str">
        <f>IFERROR(VLOOKUP(IF(足元帳!AU229="","",足元帳!BJ229),管理シート!$CA$4:$CB$23,2,FALSE),"")</f>
        <v/>
      </c>
      <c r="D229" s="217" t="str">
        <f>IF(足元帳!AU229="","",足元帳!K229)</f>
        <v/>
      </c>
      <c r="E229" s="217" t="str">
        <f>IFERROR(VLOOKUP(IF(足元帳!AU229="","",足元帳!BB229),管理シート!$R$4:$W$12,4),"")</f>
        <v/>
      </c>
      <c r="F229" s="217" t="str">
        <f t="shared" si="4"/>
        <v/>
      </c>
      <c r="G229" s="217" t="str">
        <f>IF(足元帳!AU229="","",足元帳!AU229)</f>
        <v/>
      </c>
      <c r="H229" s="217" t="str">
        <f>IF(足元帳!AV229="","",足元帳!AV229)</f>
        <v/>
      </c>
      <c r="I229" s="217" t="str">
        <f>IF(B229="","",IF(IF(足元帳!AU229="","",足元帳!BB229)=1,精算表!$C$14,IF(IF(足元帳!AU229="","",足元帳!BB229)=2,精算表!$E$14,IF(IF(足元帳!AU229="","",足元帳!BB229)=3,精算表!$G$14,IF(IF(足元帳!AU229="","",足元帳!BB229)=4,精算表!$I$14,IF(IF(足元帳!AU229="","",足元帳!BB229)=5,精算表!$K$14,))))))</f>
        <v/>
      </c>
      <c r="J229" s="217" t="str">
        <f>IFERROR(VLOOKUP(VLOOKUP(IF(足元帳!AU229="","",足元帳!BJ229),管理シート!$CA$4:$CI$13,2,FALSE),精算表!$BL$20:$BS$29,MATCH(E229&amp;"分",精算表!$BL$20:$BS$20,0),FALSE),"")</f>
        <v/>
      </c>
      <c r="K229" s="220" t="str">
        <f>IF(足元帳!AU229="","",足元帳!CC229)</f>
        <v/>
      </c>
      <c r="L229" s="217" t="str">
        <f>IF(足元帳!AU229="","",IF(足元帳!AL229="●","カード利用",""))</f>
        <v/>
      </c>
    </row>
    <row r="230" spans="1:12">
      <c r="A230" t="str">
        <f>IF(B230="","",
    COUNTA($B$2:B230)-COUNTIFS($B$2:B230,"",$B$2:B230,"=*"))</f>
        <v/>
      </c>
      <c r="B230" s="217" t="str">
        <f>IF(足元帳!AU230="","",足元帳!C230)</f>
        <v/>
      </c>
      <c r="C230" s="217" t="str">
        <f>IFERROR(VLOOKUP(IF(足元帳!AU230="","",足元帳!BJ230),管理シート!$CA$4:$CB$23,2,FALSE),"")</f>
        <v/>
      </c>
      <c r="D230" s="217" t="str">
        <f>IF(足元帳!AU230="","",足元帳!K230)</f>
        <v/>
      </c>
      <c r="E230" s="217" t="str">
        <f>IFERROR(VLOOKUP(IF(足元帳!AU230="","",足元帳!BB230),管理シート!$R$4:$W$12,4),"")</f>
        <v/>
      </c>
      <c r="F230" s="217" t="str">
        <f t="shared" si="4"/>
        <v/>
      </c>
      <c r="G230" s="217" t="str">
        <f>IF(足元帳!AU230="","",足元帳!AU230)</f>
        <v/>
      </c>
      <c r="H230" s="217" t="str">
        <f>IF(足元帳!AV230="","",足元帳!AV230)</f>
        <v/>
      </c>
      <c r="I230" s="217" t="str">
        <f>IF(B230="","",IF(IF(足元帳!AU230="","",足元帳!BB230)=1,精算表!$C$14,IF(IF(足元帳!AU230="","",足元帳!BB230)=2,精算表!$E$14,IF(IF(足元帳!AU230="","",足元帳!BB230)=3,精算表!$G$14,IF(IF(足元帳!AU230="","",足元帳!BB230)=4,精算表!$I$14,IF(IF(足元帳!AU230="","",足元帳!BB230)=5,精算表!$K$14,))))))</f>
        <v/>
      </c>
      <c r="J230" s="217" t="str">
        <f>IFERROR(VLOOKUP(VLOOKUP(IF(足元帳!AU230="","",足元帳!BJ230),管理シート!$CA$4:$CI$13,2,FALSE),精算表!$BL$20:$BS$29,MATCH(E230&amp;"分",精算表!$BL$20:$BS$20,0),FALSE),"")</f>
        <v/>
      </c>
      <c r="K230" s="220" t="str">
        <f>IF(足元帳!AU230="","",足元帳!CC230)</f>
        <v/>
      </c>
      <c r="L230" s="217" t="str">
        <f>IF(足元帳!AU230="","",IF(足元帳!AL230="●","カード利用",""))</f>
        <v/>
      </c>
    </row>
    <row r="231" spans="1:12">
      <c r="A231" t="str">
        <f>IF(B231="","",
    COUNTA($B$2:B231)-COUNTIFS($B$2:B231,"",$B$2:B231,"=*"))</f>
        <v/>
      </c>
      <c r="B231" s="217" t="str">
        <f>IF(足元帳!AU231="","",足元帳!C231)</f>
        <v/>
      </c>
      <c r="C231" s="217" t="str">
        <f>IFERROR(VLOOKUP(IF(足元帳!AU231="","",足元帳!BJ231),管理シート!$CA$4:$CB$23,2,FALSE),"")</f>
        <v/>
      </c>
      <c r="D231" s="217" t="str">
        <f>IF(足元帳!AU231="","",足元帳!K231)</f>
        <v/>
      </c>
      <c r="E231" s="217" t="str">
        <f>IFERROR(VLOOKUP(IF(足元帳!AU231="","",足元帳!BB231),管理シート!$R$4:$W$12,4),"")</f>
        <v/>
      </c>
      <c r="F231" s="217" t="str">
        <f t="shared" si="4"/>
        <v/>
      </c>
      <c r="G231" s="217" t="str">
        <f>IF(足元帳!AU231="","",足元帳!AU231)</f>
        <v/>
      </c>
      <c r="H231" s="217" t="str">
        <f>IF(足元帳!AV231="","",足元帳!AV231)</f>
        <v/>
      </c>
      <c r="I231" s="217" t="str">
        <f>IF(B231="","",IF(IF(足元帳!AU231="","",足元帳!BB231)=1,精算表!$C$14,IF(IF(足元帳!AU231="","",足元帳!BB231)=2,精算表!$E$14,IF(IF(足元帳!AU231="","",足元帳!BB231)=3,精算表!$G$14,IF(IF(足元帳!AU231="","",足元帳!BB231)=4,精算表!$I$14,IF(IF(足元帳!AU231="","",足元帳!BB231)=5,精算表!$K$14,))))))</f>
        <v/>
      </c>
      <c r="J231" s="217" t="str">
        <f>IFERROR(VLOOKUP(VLOOKUP(IF(足元帳!AU231="","",足元帳!BJ231),管理シート!$CA$4:$CI$13,2,FALSE),精算表!$BL$20:$BS$29,MATCH(E231&amp;"分",精算表!$BL$20:$BS$20,0),FALSE),"")</f>
        <v/>
      </c>
      <c r="K231" s="220" t="str">
        <f>IF(足元帳!AU231="","",足元帳!CC231)</f>
        <v/>
      </c>
      <c r="L231" s="217" t="str">
        <f>IF(足元帳!AU231="","",IF(足元帳!AL231="●","カード利用",""))</f>
        <v/>
      </c>
    </row>
    <row r="232" spans="1:12">
      <c r="A232" t="str">
        <f>IF(B232="","",
    COUNTA($B$2:B232)-COUNTIFS($B$2:B232,"",$B$2:B232,"=*"))</f>
        <v/>
      </c>
      <c r="B232" s="217" t="str">
        <f>IF(足元帳!AU232="","",足元帳!C232)</f>
        <v/>
      </c>
      <c r="C232" s="217" t="str">
        <f>IFERROR(VLOOKUP(IF(足元帳!AU232="","",足元帳!BJ232),管理シート!$CA$4:$CB$23,2,FALSE),"")</f>
        <v/>
      </c>
      <c r="D232" s="217" t="str">
        <f>IF(足元帳!AU232="","",足元帳!K232)</f>
        <v/>
      </c>
      <c r="E232" s="217" t="str">
        <f>IFERROR(VLOOKUP(IF(足元帳!AU232="","",足元帳!BB232),管理シート!$R$4:$W$12,4),"")</f>
        <v/>
      </c>
      <c r="F232" s="217" t="str">
        <f t="shared" si="4"/>
        <v/>
      </c>
      <c r="G232" s="217" t="str">
        <f>IF(足元帳!AU232="","",足元帳!AU232)</f>
        <v/>
      </c>
      <c r="H232" s="217" t="str">
        <f>IF(足元帳!AV232="","",足元帳!AV232)</f>
        <v/>
      </c>
      <c r="I232" s="217" t="str">
        <f>IF(B232="","",IF(IF(足元帳!AU232="","",足元帳!BB232)=1,精算表!$C$14,IF(IF(足元帳!AU232="","",足元帳!BB232)=2,精算表!$E$14,IF(IF(足元帳!AU232="","",足元帳!BB232)=3,精算表!$G$14,IF(IF(足元帳!AU232="","",足元帳!BB232)=4,精算表!$I$14,IF(IF(足元帳!AU232="","",足元帳!BB232)=5,精算表!$K$14,))))))</f>
        <v/>
      </c>
      <c r="J232" s="217" t="str">
        <f>IFERROR(VLOOKUP(VLOOKUP(IF(足元帳!AU232="","",足元帳!BJ232),管理シート!$CA$4:$CI$13,2,FALSE),精算表!$BL$20:$BS$29,MATCH(E232&amp;"分",精算表!$BL$20:$BS$20,0),FALSE),"")</f>
        <v/>
      </c>
      <c r="K232" s="220" t="str">
        <f>IF(足元帳!AU232="","",足元帳!CC232)</f>
        <v/>
      </c>
      <c r="L232" s="217" t="str">
        <f>IF(足元帳!AU232="","",IF(足元帳!AL232="●","カード利用",""))</f>
        <v/>
      </c>
    </row>
    <row r="233" spans="1:12">
      <c r="A233" t="str">
        <f>IF(B233="","",
    COUNTA($B$2:B233)-COUNTIFS($B$2:B233,"",$B$2:B233,"=*"))</f>
        <v/>
      </c>
      <c r="B233" s="217" t="str">
        <f>IF(足元帳!AU233="","",足元帳!C233)</f>
        <v/>
      </c>
      <c r="C233" s="217" t="str">
        <f>IFERROR(VLOOKUP(IF(足元帳!AU233="","",足元帳!BJ233),管理シート!$CA$4:$CB$23,2,FALSE),"")</f>
        <v/>
      </c>
      <c r="D233" s="217" t="str">
        <f>IF(足元帳!AU233="","",足元帳!K233)</f>
        <v/>
      </c>
      <c r="E233" s="217" t="str">
        <f>IFERROR(VLOOKUP(IF(足元帳!AU233="","",足元帳!BB233),管理シート!$R$4:$W$12,4),"")</f>
        <v/>
      </c>
      <c r="F233" s="217" t="str">
        <f t="shared" si="4"/>
        <v/>
      </c>
      <c r="G233" s="217" t="str">
        <f>IF(足元帳!AU233="","",足元帳!AU233)</f>
        <v/>
      </c>
      <c r="H233" s="217" t="str">
        <f>IF(足元帳!AV233="","",足元帳!AV233)</f>
        <v/>
      </c>
      <c r="I233" s="217" t="str">
        <f>IF(B233="","",IF(IF(足元帳!AU233="","",足元帳!BB233)=1,精算表!$C$14,IF(IF(足元帳!AU233="","",足元帳!BB233)=2,精算表!$E$14,IF(IF(足元帳!AU233="","",足元帳!BB233)=3,精算表!$G$14,IF(IF(足元帳!AU233="","",足元帳!BB233)=4,精算表!$I$14,IF(IF(足元帳!AU233="","",足元帳!BB233)=5,精算表!$K$14,))))))</f>
        <v/>
      </c>
      <c r="J233" s="217" t="str">
        <f>IFERROR(VLOOKUP(VLOOKUP(IF(足元帳!AU233="","",足元帳!BJ233),管理シート!$CA$4:$CI$13,2,FALSE),精算表!$BL$20:$BS$29,MATCH(E233&amp;"分",精算表!$BL$20:$BS$20,0),FALSE),"")</f>
        <v/>
      </c>
      <c r="K233" s="220" t="str">
        <f>IF(足元帳!AU233="","",足元帳!CC233)</f>
        <v/>
      </c>
      <c r="L233" s="217" t="str">
        <f>IF(足元帳!AU233="","",IF(足元帳!AL233="●","カード利用",""))</f>
        <v/>
      </c>
    </row>
    <row r="234" spans="1:12">
      <c r="A234" t="str">
        <f>IF(B234="","",
    COUNTA($B$2:B234)-COUNTIFS($B$2:B234,"",$B$2:B234,"=*"))</f>
        <v/>
      </c>
      <c r="B234" s="217" t="str">
        <f>IF(足元帳!AU234="","",足元帳!C234)</f>
        <v/>
      </c>
      <c r="C234" s="217" t="str">
        <f>IFERROR(VLOOKUP(IF(足元帳!AU234="","",足元帳!BJ234),管理シート!$CA$4:$CB$23,2,FALSE),"")</f>
        <v/>
      </c>
      <c r="D234" s="217" t="str">
        <f>IF(足元帳!AU234="","",足元帳!K234)</f>
        <v/>
      </c>
      <c r="E234" s="217" t="str">
        <f>IFERROR(VLOOKUP(IF(足元帳!AU234="","",足元帳!BB234),管理シート!$R$4:$W$12,4),"")</f>
        <v/>
      </c>
      <c r="F234" s="217" t="str">
        <f t="shared" si="4"/>
        <v/>
      </c>
      <c r="G234" s="217" t="str">
        <f>IF(足元帳!AU234="","",足元帳!AU234)</f>
        <v/>
      </c>
      <c r="H234" s="217" t="str">
        <f>IF(足元帳!AV234="","",足元帳!AV234)</f>
        <v/>
      </c>
      <c r="I234" s="217" t="str">
        <f>IF(B234="","",IF(IF(足元帳!AU234="","",足元帳!BB234)=1,精算表!$C$14,IF(IF(足元帳!AU234="","",足元帳!BB234)=2,精算表!$E$14,IF(IF(足元帳!AU234="","",足元帳!BB234)=3,精算表!$G$14,IF(IF(足元帳!AU234="","",足元帳!BB234)=4,精算表!$I$14,IF(IF(足元帳!AU234="","",足元帳!BB234)=5,精算表!$K$14,))))))</f>
        <v/>
      </c>
      <c r="J234" s="217" t="str">
        <f>IFERROR(VLOOKUP(VLOOKUP(IF(足元帳!AU234="","",足元帳!BJ234),管理シート!$CA$4:$CI$13,2,FALSE),精算表!$BL$20:$BS$29,MATCH(E234&amp;"分",精算表!$BL$20:$BS$20,0),FALSE),"")</f>
        <v/>
      </c>
      <c r="K234" s="220" t="str">
        <f>IF(足元帳!AU234="","",足元帳!CC234)</f>
        <v/>
      </c>
      <c r="L234" s="217" t="str">
        <f>IF(足元帳!AU234="","",IF(足元帳!AL234="●","カード利用",""))</f>
        <v/>
      </c>
    </row>
    <row r="235" spans="1:12">
      <c r="A235" t="str">
        <f>IF(B235="","",
    COUNTA($B$2:B235)-COUNTIFS($B$2:B235,"",$B$2:B235,"=*"))</f>
        <v/>
      </c>
      <c r="B235" s="217" t="str">
        <f>IF(足元帳!AU235="","",足元帳!C235)</f>
        <v/>
      </c>
      <c r="C235" s="217" t="str">
        <f>IFERROR(VLOOKUP(IF(足元帳!AU235="","",足元帳!BJ235),管理シート!$CA$4:$CB$23,2,FALSE),"")</f>
        <v/>
      </c>
      <c r="D235" s="217" t="str">
        <f>IF(足元帳!AU235="","",足元帳!K235)</f>
        <v/>
      </c>
      <c r="E235" s="217" t="str">
        <f>IFERROR(VLOOKUP(IF(足元帳!AU235="","",足元帳!BB235),管理シート!$R$4:$W$12,4),"")</f>
        <v/>
      </c>
      <c r="F235" s="217" t="str">
        <f t="shared" si="4"/>
        <v/>
      </c>
      <c r="G235" s="217" t="str">
        <f>IF(足元帳!AU235="","",足元帳!AU235)</f>
        <v/>
      </c>
      <c r="H235" s="217" t="str">
        <f>IF(足元帳!AV235="","",足元帳!AV235)</f>
        <v/>
      </c>
      <c r="I235" s="217" t="str">
        <f>IF(B235="","",IF(IF(足元帳!AU235="","",足元帳!BB235)=1,精算表!$C$14,IF(IF(足元帳!AU235="","",足元帳!BB235)=2,精算表!$E$14,IF(IF(足元帳!AU235="","",足元帳!BB235)=3,精算表!$G$14,IF(IF(足元帳!AU235="","",足元帳!BB235)=4,精算表!$I$14,IF(IF(足元帳!AU235="","",足元帳!BB235)=5,精算表!$K$14,))))))</f>
        <v/>
      </c>
      <c r="J235" s="217" t="str">
        <f>IFERROR(VLOOKUP(VLOOKUP(IF(足元帳!AU235="","",足元帳!BJ235),管理シート!$CA$4:$CI$13,2,FALSE),精算表!$BL$20:$BS$29,MATCH(E235&amp;"分",精算表!$BL$20:$BS$20,0),FALSE),"")</f>
        <v/>
      </c>
      <c r="K235" s="220" t="str">
        <f>IF(足元帳!AU235="","",足元帳!CC235)</f>
        <v/>
      </c>
      <c r="L235" s="217" t="str">
        <f>IF(足元帳!AU235="","",IF(足元帳!AL235="●","カード利用",""))</f>
        <v/>
      </c>
    </row>
    <row r="236" spans="1:12">
      <c r="A236" t="str">
        <f>IF(B236="","",
    COUNTA($B$2:B236)-COUNTIFS($B$2:B236,"",$B$2:B236,"=*"))</f>
        <v/>
      </c>
      <c r="B236" s="217" t="str">
        <f>IF(足元帳!AU236="","",足元帳!C236)</f>
        <v/>
      </c>
      <c r="C236" s="217" t="str">
        <f>IFERROR(VLOOKUP(IF(足元帳!AU236="","",足元帳!BJ236),管理シート!$CA$4:$CB$23,2,FALSE),"")</f>
        <v/>
      </c>
      <c r="D236" s="217" t="str">
        <f>IF(足元帳!AU236="","",足元帳!K236)</f>
        <v/>
      </c>
      <c r="E236" s="217" t="str">
        <f>IFERROR(VLOOKUP(IF(足元帳!AU236="","",足元帳!BB236),管理シート!$R$4:$W$12,4),"")</f>
        <v/>
      </c>
      <c r="F236" s="217" t="str">
        <f t="shared" si="4"/>
        <v/>
      </c>
      <c r="G236" s="217" t="str">
        <f>IF(足元帳!AU236="","",足元帳!AU236)</f>
        <v/>
      </c>
      <c r="H236" s="217" t="str">
        <f>IF(足元帳!AV236="","",足元帳!AV236)</f>
        <v/>
      </c>
      <c r="I236" s="217" t="str">
        <f>IF(B236="","",IF(IF(足元帳!AU236="","",足元帳!BB236)=1,精算表!$C$14,IF(IF(足元帳!AU236="","",足元帳!BB236)=2,精算表!$E$14,IF(IF(足元帳!AU236="","",足元帳!BB236)=3,精算表!$G$14,IF(IF(足元帳!AU236="","",足元帳!BB236)=4,精算表!$I$14,IF(IF(足元帳!AU236="","",足元帳!BB236)=5,精算表!$K$14,))))))</f>
        <v/>
      </c>
      <c r="J236" s="217" t="str">
        <f>IFERROR(VLOOKUP(VLOOKUP(IF(足元帳!AU236="","",足元帳!BJ236),管理シート!$CA$4:$CI$13,2,FALSE),精算表!$BL$20:$BS$29,MATCH(E236&amp;"分",精算表!$BL$20:$BS$20,0),FALSE),"")</f>
        <v/>
      </c>
      <c r="K236" s="220" t="str">
        <f>IF(足元帳!AU236="","",足元帳!CC236)</f>
        <v/>
      </c>
      <c r="L236" s="217" t="str">
        <f>IF(足元帳!AU236="","",IF(足元帳!AL236="●","カード利用",""))</f>
        <v/>
      </c>
    </row>
    <row r="237" spans="1:12">
      <c r="A237" t="str">
        <f>IF(B237="","",
    COUNTA($B$2:B237)-COUNTIFS($B$2:B237,"",$B$2:B237,"=*"))</f>
        <v/>
      </c>
      <c r="B237" s="217" t="str">
        <f>IF(足元帳!AU237="","",足元帳!C237)</f>
        <v/>
      </c>
      <c r="C237" s="217" t="str">
        <f>IFERROR(VLOOKUP(IF(足元帳!AU237="","",足元帳!BJ237),管理シート!$CA$4:$CB$23,2,FALSE),"")</f>
        <v/>
      </c>
      <c r="D237" s="217" t="str">
        <f>IF(足元帳!AU237="","",足元帳!K237)</f>
        <v/>
      </c>
      <c r="E237" s="217" t="str">
        <f>IFERROR(VLOOKUP(IF(足元帳!AU237="","",足元帳!BB237),管理シート!$R$4:$W$12,4),"")</f>
        <v/>
      </c>
      <c r="F237" s="217" t="str">
        <f t="shared" si="4"/>
        <v/>
      </c>
      <c r="G237" s="217" t="str">
        <f>IF(足元帳!AU237="","",足元帳!AU237)</f>
        <v/>
      </c>
      <c r="H237" s="217" t="str">
        <f>IF(足元帳!AV237="","",足元帳!AV237)</f>
        <v/>
      </c>
      <c r="I237" s="217" t="str">
        <f>IF(B237="","",IF(IF(足元帳!AU237="","",足元帳!BB237)=1,精算表!$C$14,IF(IF(足元帳!AU237="","",足元帳!BB237)=2,精算表!$E$14,IF(IF(足元帳!AU237="","",足元帳!BB237)=3,精算表!$G$14,IF(IF(足元帳!AU237="","",足元帳!BB237)=4,精算表!$I$14,IF(IF(足元帳!AU237="","",足元帳!BB237)=5,精算表!$K$14,))))))</f>
        <v/>
      </c>
      <c r="J237" s="217" t="str">
        <f>IFERROR(VLOOKUP(VLOOKUP(IF(足元帳!AU237="","",足元帳!BJ237),管理シート!$CA$4:$CI$13,2,FALSE),精算表!$BL$20:$BS$29,MATCH(E237&amp;"分",精算表!$BL$20:$BS$20,0),FALSE),"")</f>
        <v/>
      </c>
      <c r="K237" s="220" t="str">
        <f>IF(足元帳!AU237="","",足元帳!CC237)</f>
        <v/>
      </c>
      <c r="L237" s="217" t="str">
        <f>IF(足元帳!AU237="","",IF(足元帳!AL237="●","カード利用",""))</f>
        <v/>
      </c>
    </row>
    <row r="238" spans="1:12">
      <c r="A238" t="str">
        <f>IF(B238="","",
    COUNTA($B$2:B238)-COUNTIFS($B$2:B238,"",$B$2:B238,"=*"))</f>
        <v/>
      </c>
      <c r="B238" s="217" t="str">
        <f>IF(足元帳!AU238="","",足元帳!C238)</f>
        <v/>
      </c>
      <c r="C238" s="217" t="str">
        <f>IFERROR(VLOOKUP(IF(足元帳!AU238="","",足元帳!BJ238),管理シート!$CA$4:$CB$23,2,FALSE),"")</f>
        <v/>
      </c>
      <c r="D238" s="217" t="str">
        <f>IF(足元帳!AU238="","",足元帳!K238)</f>
        <v/>
      </c>
      <c r="E238" s="217" t="str">
        <f>IFERROR(VLOOKUP(IF(足元帳!AU238="","",足元帳!BB238),管理シート!$R$4:$W$12,4),"")</f>
        <v/>
      </c>
      <c r="F238" s="217" t="str">
        <f t="shared" si="4"/>
        <v/>
      </c>
      <c r="G238" s="217" t="str">
        <f>IF(足元帳!AU238="","",足元帳!AU238)</f>
        <v/>
      </c>
      <c r="H238" s="217" t="str">
        <f>IF(足元帳!AV238="","",足元帳!AV238)</f>
        <v/>
      </c>
      <c r="I238" s="217" t="str">
        <f>IF(B238="","",IF(IF(足元帳!AU238="","",足元帳!BB238)=1,精算表!$C$14,IF(IF(足元帳!AU238="","",足元帳!BB238)=2,精算表!$E$14,IF(IF(足元帳!AU238="","",足元帳!BB238)=3,精算表!$G$14,IF(IF(足元帳!AU238="","",足元帳!BB238)=4,精算表!$I$14,IF(IF(足元帳!AU238="","",足元帳!BB238)=5,精算表!$K$14,))))))</f>
        <v/>
      </c>
      <c r="J238" s="217" t="str">
        <f>IFERROR(VLOOKUP(VLOOKUP(IF(足元帳!AU238="","",足元帳!BJ238),管理シート!$CA$4:$CI$13,2,FALSE),精算表!$BL$20:$BS$29,MATCH(E238&amp;"分",精算表!$BL$20:$BS$20,0),FALSE),"")</f>
        <v/>
      </c>
      <c r="K238" s="220" t="str">
        <f>IF(足元帳!AU238="","",足元帳!CC238)</f>
        <v/>
      </c>
      <c r="L238" s="217" t="str">
        <f>IF(足元帳!AU238="","",IF(足元帳!AL238="●","カード利用",""))</f>
        <v/>
      </c>
    </row>
    <row r="239" spans="1:12">
      <c r="A239" t="str">
        <f>IF(B239="","",
    COUNTA($B$2:B239)-COUNTIFS($B$2:B239,"",$B$2:B239,"=*"))</f>
        <v/>
      </c>
      <c r="B239" s="217" t="str">
        <f>IF(足元帳!AU239="","",足元帳!C239)</f>
        <v/>
      </c>
      <c r="C239" s="217" t="str">
        <f>IFERROR(VLOOKUP(IF(足元帳!AU239="","",足元帳!BJ239),管理シート!$CA$4:$CB$23,2,FALSE),"")</f>
        <v/>
      </c>
      <c r="D239" s="217" t="str">
        <f>IF(足元帳!AU239="","",足元帳!K239)</f>
        <v/>
      </c>
      <c r="E239" s="217" t="str">
        <f>IFERROR(VLOOKUP(IF(足元帳!AU239="","",足元帳!BB239),管理シート!$R$4:$W$12,4),"")</f>
        <v/>
      </c>
      <c r="F239" s="217" t="str">
        <f t="shared" si="4"/>
        <v/>
      </c>
      <c r="G239" s="217" t="str">
        <f>IF(足元帳!AU239="","",足元帳!AU239)</f>
        <v/>
      </c>
      <c r="H239" s="217" t="str">
        <f>IF(足元帳!AV239="","",足元帳!AV239)</f>
        <v/>
      </c>
      <c r="I239" s="217" t="str">
        <f>IF(B239="","",IF(IF(足元帳!AU239="","",足元帳!BB239)=1,精算表!$C$14,IF(IF(足元帳!AU239="","",足元帳!BB239)=2,精算表!$E$14,IF(IF(足元帳!AU239="","",足元帳!BB239)=3,精算表!$G$14,IF(IF(足元帳!AU239="","",足元帳!BB239)=4,精算表!$I$14,IF(IF(足元帳!AU239="","",足元帳!BB239)=5,精算表!$K$14,))))))</f>
        <v/>
      </c>
      <c r="J239" s="217" t="str">
        <f>IFERROR(VLOOKUP(VLOOKUP(IF(足元帳!AU239="","",足元帳!BJ239),管理シート!$CA$4:$CI$13,2,FALSE),精算表!$BL$20:$BS$29,MATCH(E239&amp;"分",精算表!$BL$20:$BS$20,0),FALSE),"")</f>
        <v/>
      </c>
      <c r="K239" s="220" t="str">
        <f>IF(足元帳!AU239="","",足元帳!CC239)</f>
        <v/>
      </c>
      <c r="L239" s="217" t="str">
        <f>IF(足元帳!AU239="","",IF(足元帳!AL239="●","カード利用",""))</f>
        <v/>
      </c>
    </row>
    <row r="240" spans="1:12">
      <c r="A240" t="str">
        <f>IF(B240="","",
    COUNTA($B$2:B240)-COUNTIFS($B$2:B240,"",$B$2:B240,"=*"))</f>
        <v/>
      </c>
      <c r="B240" s="217" t="str">
        <f>IF(足元帳!AU240="","",足元帳!C240)</f>
        <v/>
      </c>
      <c r="C240" s="217" t="str">
        <f>IFERROR(VLOOKUP(IF(足元帳!AU240="","",足元帳!BJ240),管理シート!$CA$4:$CB$23,2,FALSE),"")</f>
        <v/>
      </c>
      <c r="D240" s="217" t="str">
        <f>IF(足元帳!AU240="","",足元帳!K240)</f>
        <v/>
      </c>
      <c r="E240" s="217" t="str">
        <f>IFERROR(VLOOKUP(IF(足元帳!AU240="","",足元帳!BB240),管理シート!$R$4:$W$12,4),"")</f>
        <v/>
      </c>
      <c r="F240" s="217" t="str">
        <f t="shared" si="4"/>
        <v/>
      </c>
      <c r="G240" s="217" t="str">
        <f>IF(足元帳!AU240="","",足元帳!AU240)</f>
        <v/>
      </c>
      <c r="H240" s="217" t="str">
        <f>IF(足元帳!AV240="","",足元帳!AV240)</f>
        <v/>
      </c>
      <c r="I240" s="217" t="str">
        <f>IF(B240="","",IF(IF(足元帳!AU240="","",足元帳!BB240)=1,精算表!$C$14,IF(IF(足元帳!AU240="","",足元帳!BB240)=2,精算表!$E$14,IF(IF(足元帳!AU240="","",足元帳!BB240)=3,精算表!$G$14,IF(IF(足元帳!AU240="","",足元帳!BB240)=4,精算表!$I$14,IF(IF(足元帳!AU240="","",足元帳!BB240)=5,精算表!$K$14,))))))</f>
        <v/>
      </c>
      <c r="J240" s="217" t="str">
        <f>IFERROR(VLOOKUP(VLOOKUP(IF(足元帳!AU240="","",足元帳!BJ240),管理シート!$CA$4:$CI$13,2,FALSE),精算表!$BL$20:$BS$29,MATCH(E240&amp;"分",精算表!$BL$20:$BS$20,0),FALSE),"")</f>
        <v/>
      </c>
      <c r="K240" s="220" t="str">
        <f>IF(足元帳!AU240="","",足元帳!CC240)</f>
        <v/>
      </c>
      <c r="L240" s="217" t="str">
        <f>IF(足元帳!AU240="","",IF(足元帳!AL240="●","カード利用",""))</f>
        <v/>
      </c>
    </row>
    <row r="241" spans="1:12">
      <c r="A241" t="str">
        <f>IF(B241="","",
    COUNTA($B$2:B241)-COUNTIFS($B$2:B241,"",$B$2:B241,"=*"))</f>
        <v/>
      </c>
      <c r="B241" s="217" t="str">
        <f>IF(足元帳!AU241="","",足元帳!C241)</f>
        <v/>
      </c>
      <c r="C241" s="217" t="str">
        <f>IFERROR(VLOOKUP(IF(足元帳!AU241="","",足元帳!BJ241),管理シート!$CA$4:$CB$23,2,FALSE),"")</f>
        <v/>
      </c>
      <c r="D241" s="217" t="str">
        <f>IF(足元帳!AU241="","",足元帳!K241)</f>
        <v/>
      </c>
      <c r="E241" s="217" t="str">
        <f>IFERROR(VLOOKUP(IF(足元帳!AU241="","",足元帳!BB241),管理シート!$R$4:$W$12,4),"")</f>
        <v/>
      </c>
      <c r="F241" s="217" t="str">
        <f t="shared" si="4"/>
        <v/>
      </c>
      <c r="G241" s="217" t="str">
        <f>IF(足元帳!AU241="","",足元帳!AU241)</f>
        <v/>
      </c>
      <c r="H241" s="217" t="str">
        <f>IF(足元帳!AV241="","",足元帳!AV241)</f>
        <v/>
      </c>
      <c r="I241" s="217" t="str">
        <f>IF(B241="","",IF(IF(足元帳!AU241="","",足元帳!BB241)=1,精算表!$C$14,IF(IF(足元帳!AU241="","",足元帳!BB241)=2,精算表!$E$14,IF(IF(足元帳!AU241="","",足元帳!BB241)=3,精算表!$G$14,IF(IF(足元帳!AU241="","",足元帳!BB241)=4,精算表!$I$14,IF(IF(足元帳!AU241="","",足元帳!BB241)=5,精算表!$K$14,))))))</f>
        <v/>
      </c>
      <c r="J241" s="217" t="str">
        <f>IFERROR(VLOOKUP(VLOOKUP(IF(足元帳!AU241="","",足元帳!BJ241),管理シート!$CA$4:$CI$13,2,FALSE),精算表!$BL$20:$BS$29,MATCH(E241&amp;"分",精算表!$BL$20:$BS$20,0),FALSE),"")</f>
        <v/>
      </c>
      <c r="K241" s="220" t="str">
        <f>IF(足元帳!AU241="","",足元帳!CC241)</f>
        <v/>
      </c>
      <c r="L241" s="217" t="str">
        <f>IF(足元帳!AU241="","",IF(足元帳!AL241="●","カード利用",""))</f>
        <v/>
      </c>
    </row>
    <row r="242" spans="1:12">
      <c r="A242" t="str">
        <f>IF(B242="","",
    COUNTA($B$2:B242)-COUNTIFS($B$2:B242,"",$B$2:B242,"=*"))</f>
        <v/>
      </c>
      <c r="B242" s="217" t="str">
        <f>IF(足元帳!AU242="","",足元帳!C242)</f>
        <v/>
      </c>
      <c r="C242" s="217" t="str">
        <f>IFERROR(VLOOKUP(IF(足元帳!AU242="","",足元帳!BJ242),管理シート!$CA$4:$CB$23,2,FALSE),"")</f>
        <v/>
      </c>
      <c r="D242" s="217" t="str">
        <f>IF(足元帳!AU242="","",足元帳!K242)</f>
        <v/>
      </c>
      <c r="E242" s="217" t="str">
        <f>IFERROR(VLOOKUP(IF(足元帳!AU242="","",足元帳!BB242),管理シート!$R$4:$W$12,4),"")</f>
        <v/>
      </c>
      <c r="F242" s="217" t="str">
        <f t="shared" si="4"/>
        <v/>
      </c>
      <c r="G242" s="217" t="str">
        <f>IF(足元帳!AU242="","",足元帳!AU242)</f>
        <v/>
      </c>
      <c r="H242" s="217" t="str">
        <f>IF(足元帳!AV242="","",足元帳!AV242)</f>
        <v/>
      </c>
      <c r="I242" s="217" t="str">
        <f>IF(B242="","",IF(IF(足元帳!AU242="","",足元帳!BB242)=1,精算表!$C$14,IF(IF(足元帳!AU242="","",足元帳!BB242)=2,精算表!$E$14,IF(IF(足元帳!AU242="","",足元帳!BB242)=3,精算表!$G$14,IF(IF(足元帳!AU242="","",足元帳!BB242)=4,精算表!$I$14,IF(IF(足元帳!AU242="","",足元帳!BB242)=5,精算表!$K$14,))))))</f>
        <v/>
      </c>
      <c r="J242" s="217" t="str">
        <f>IFERROR(VLOOKUP(VLOOKUP(IF(足元帳!AU242="","",足元帳!BJ242),管理シート!$CA$4:$CI$13,2,FALSE),精算表!$BL$20:$BS$29,MATCH(E242&amp;"分",精算表!$BL$20:$BS$20,0),FALSE),"")</f>
        <v/>
      </c>
      <c r="K242" s="220" t="str">
        <f>IF(足元帳!AU242="","",足元帳!CC242)</f>
        <v/>
      </c>
      <c r="L242" s="217" t="str">
        <f>IF(足元帳!AU242="","",IF(足元帳!AL242="●","カード利用",""))</f>
        <v/>
      </c>
    </row>
    <row r="243" spans="1:12">
      <c r="A243" t="str">
        <f>IF(B243="","",
    COUNTA($B$2:B243)-COUNTIFS($B$2:B243,"",$B$2:B243,"=*"))</f>
        <v/>
      </c>
      <c r="B243" s="217" t="str">
        <f>IF(足元帳!AU243="","",足元帳!C243)</f>
        <v/>
      </c>
      <c r="C243" s="217" t="str">
        <f>IFERROR(VLOOKUP(IF(足元帳!AU243="","",足元帳!BJ243),管理シート!$CA$4:$CB$23,2,FALSE),"")</f>
        <v/>
      </c>
      <c r="D243" s="217" t="str">
        <f>IF(足元帳!AU243="","",足元帳!K243)</f>
        <v/>
      </c>
      <c r="E243" s="217" t="str">
        <f>IFERROR(VLOOKUP(IF(足元帳!AU243="","",足元帳!BB243),管理シート!$R$4:$W$12,4),"")</f>
        <v/>
      </c>
      <c r="F243" s="217" t="str">
        <f t="shared" si="4"/>
        <v/>
      </c>
      <c r="G243" s="217" t="str">
        <f>IF(足元帳!AU243="","",足元帳!AU243)</f>
        <v/>
      </c>
      <c r="H243" s="217" t="str">
        <f>IF(足元帳!AV243="","",足元帳!AV243)</f>
        <v/>
      </c>
      <c r="I243" s="217" t="str">
        <f>IF(B243="","",IF(IF(足元帳!AU243="","",足元帳!BB243)=1,精算表!$C$14,IF(IF(足元帳!AU243="","",足元帳!BB243)=2,精算表!$E$14,IF(IF(足元帳!AU243="","",足元帳!BB243)=3,精算表!$G$14,IF(IF(足元帳!AU243="","",足元帳!BB243)=4,精算表!$I$14,IF(IF(足元帳!AU243="","",足元帳!BB243)=5,精算表!$K$14,))))))</f>
        <v/>
      </c>
      <c r="J243" s="217" t="str">
        <f>IFERROR(VLOOKUP(VLOOKUP(IF(足元帳!AU243="","",足元帳!BJ243),管理シート!$CA$4:$CI$13,2,FALSE),精算表!$BL$20:$BS$29,MATCH(E243&amp;"分",精算表!$BL$20:$BS$20,0),FALSE),"")</f>
        <v/>
      </c>
      <c r="K243" s="220" t="str">
        <f>IF(足元帳!AU243="","",足元帳!CC243)</f>
        <v/>
      </c>
      <c r="L243" s="217" t="str">
        <f>IF(足元帳!AU243="","",IF(足元帳!AL243="●","カード利用",""))</f>
        <v/>
      </c>
    </row>
    <row r="244" spans="1:12">
      <c r="A244" t="str">
        <f>IF(B244="","",
    COUNTA($B$2:B244)-COUNTIFS($B$2:B244,"",$B$2:B244,"=*"))</f>
        <v/>
      </c>
      <c r="B244" s="217" t="str">
        <f>IF(足元帳!AU244="","",足元帳!C244)</f>
        <v/>
      </c>
      <c r="C244" s="217" t="str">
        <f>IFERROR(VLOOKUP(IF(足元帳!AU244="","",足元帳!BJ244),管理シート!$CA$4:$CB$23,2,FALSE),"")</f>
        <v/>
      </c>
      <c r="D244" s="217" t="str">
        <f>IF(足元帳!AU244="","",足元帳!K244)</f>
        <v/>
      </c>
      <c r="E244" s="217" t="str">
        <f>IFERROR(VLOOKUP(IF(足元帳!AU244="","",足元帳!BB244),管理シート!$R$4:$W$12,4),"")</f>
        <v/>
      </c>
      <c r="F244" s="217" t="str">
        <f t="shared" si="4"/>
        <v/>
      </c>
      <c r="G244" s="217" t="str">
        <f>IF(足元帳!AU244="","",足元帳!AU244)</f>
        <v/>
      </c>
      <c r="H244" s="217" t="str">
        <f>IF(足元帳!AV244="","",足元帳!AV244)</f>
        <v/>
      </c>
      <c r="I244" s="217" t="str">
        <f>IF(B244="","",IF(IF(足元帳!AU244="","",足元帳!BB244)=1,精算表!$C$14,IF(IF(足元帳!AU244="","",足元帳!BB244)=2,精算表!$E$14,IF(IF(足元帳!AU244="","",足元帳!BB244)=3,精算表!$G$14,IF(IF(足元帳!AU244="","",足元帳!BB244)=4,精算表!$I$14,IF(IF(足元帳!AU244="","",足元帳!BB244)=5,精算表!$K$14,))))))</f>
        <v/>
      </c>
      <c r="J244" s="217" t="str">
        <f>IFERROR(VLOOKUP(VLOOKUP(IF(足元帳!AU244="","",足元帳!BJ244),管理シート!$CA$4:$CI$13,2,FALSE),精算表!$BL$20:$BS$29,MATCH(E244&amp;"分",精算表!$BL$20:$BS$20,0),FALSE),"")</f>
        <v/>
      </c>
      <c r="K244" s="220" t="str">
        <f>IF(足元帳!AU244="","",足元帳!CC244)</f>
        <v/>
      </c>
      <c r="L244" s="217" t="str">
        <f>IF(足元帳!AU244="","",IF(足元帳!AL244="●","カード利用",""))</f>
        <v/>
      </c>
    </row>
    <row r="245" spans="1:12">
      <c r="A245" t="str">
        <f>IF(B245="","",
    COUNTA($B$2:B245)-COUNTIFS($B$2:B245,"",$B$2:B245,"=*"))</f>
        <v/>
      </c>
      <c r="B245" s="217" t="str">
        <f>IF(足元帳!AU245="","",足元帳!C245)</f>
        <v/>
      </c>
      <c r="C245" s="217" t="str">
        <f>IFERROR(VLOOKUP(IF(足元帳!AU245="","",足元帳!BJ245),管理シート!$CA$4:$CB$23,2,FALSE),"")</f>
        <v/>
      </c>
      <c r="D245" s="217" t="str">
        <f>IF(足元帳!AU245="","",足元帳!K245)</f>
        <v/>
      </c>
      <c r="E245" s="217" t="str">
        <f>IFERROR(VLOOKUP(IF(足元帳!AU245="","",足元帳!BB245),管理シート!$R$4:$W$12,4),"")</f>
        <v/>
      </c>
      <c r="F245" s="217" t="str">
        <f t="shared" si="4"/>
        <v/>
      </c>
      <c r="G245" s="217" t="str">
        <f>IF(足元帳!AU245="","",足元帳!AU245)</f>
        <v/>
      </c>
      <c r="H245" s="217" t="str">
        <f>IF(足元帳!AV245="","",足元帳!AV245)</f>
        <v/>
      </c>
      <c r="I245" s="217" t="str">
        <f>IF(B245="","",IF(IF(足元帳!AU245="","",足元帳!BB245)=1,精算表!$C$14,IF(IF(足元帳!AU245="","",足元帳!BB245)=2,精算表!$E$14,IF(IF(足元帳!AU245="","",足元帳!BB245)=3,精算表!$G$14,IF(IF(足元帳!AU245="","",足元帳!BB245)=4,精算表!$I$14,IF(IF(足元帳!AU245="","",足元帳!BB245)=5,精算表!$K$14,))))))</f>
        <v/>
      </c>
      <c r="J245" s="217" t="str">
        <f>IFERROR(VLOOKUP(VLOOKUP(IF(足元帳!AU245="","",足元帳!BJ245),管理シート!$CA$4:$CI$13,2,FALSE),精算表!$BL$20:$BS$29,MATCH(E245&amp;"分",精算表!$BL$20:$BS$20,0),FALSE),"")</f>
        <v/>
      </c>
      <c r="K245" s="220" t="str">
        <f>IF(足元帳!AU245="","",足元帳!CC245)</f>
        <v/>
      </c>
      <c r="L245" s="217" t="str">
        <f>IF(足元帳!AU245="","",IF(足元帳!AL245="●","カード利用",""))</f>
        <v/>
      </c>
    </row>
    <row r="246" spans="1:12">
      <c r="A246" t="str">
        <f>IF(B246="","",
    COUNTA($B$2:B246)-COUNTIFS($B$2:B246,"",$B$2:B246,"=*"))</f>
        <v/>
      </c>
      <c r="B246" s="217" t="str">
        <f>IF(足元帳!AU246="","",足元帳!C246)</f>
        <v/>
      </c>
      <c r="C246" s="217" t="str">
        <f>IFERROR(VLOOKUP(IF(足元帳!AU246="","",足元帳!BJ246),管理シート!$CA$4:$CB$23,2,FALSE),"")</f>
        <v/>
      </c>
      <c r="D246" s="217" t="str">
        <f>IF(足元帳!AU246="","",足元帳!K246)</f>
        <v/>
      </c>
      <c r="E246" s="217" t="str">
        <f>IFERROR(VLOOKUP(IF(足元帳!AU246="","",足元帳!BB246),管理シート!$R$4:$W$12,4),"")</f>
        <v/>
      </c>
      <c r="F246" s="217" t="str">
        <f t="shared" si="4"/>
        <v/>
      </c>
      <c r="G246" s="217" t="str">
        <f>IF(足元帳!AU246="","",足元帳!AU246)</f>
        <v/>
      </c>
      <c r="H246" s="217" t="str">
        <f>IF(足元帳!AV246="","",足元帳!AV246)</f>
        <v/>
      </c>
      <c r="I246" s="217" t="str">
        <f>IF(B246="","",IF(IF(足元帳!AU246="","",足元帳!BB246)=1,精算表!$C$14,IF(IF(足元帳!AU246="","",足元帳!BB246)=2,精算表!$E$14,IF(IF(足元帳!AU246="","",足元帳!BB246)=3,精算表!$G$14,IF(IF(足元帳!AU246="","",足元帳!BB246)=4,精算表!$I$14,IF(IF(足元帳!AU246="","",足元帳!BB246)=5,精算表!$K$14,))))))</f>
        <v/>
      </c>
      <c r="J246" s="217" t="str">
        <f>IFERROR(VLOOKUP(VLOOKUP(IF(足元帳!AU246="","",足元帳!BJ246),管理シート!$CA$4:$CI$13,2,FALSE),精算表!$BL$20:$BS$29,MATCH(E246&amp;"分",精算表!$BL$20:$BS$20,0),FALSE),"")</f>
        <v/>
      </c>
      <c r="K246" s="220" t="str">
        <f>IF(足元帳!AU246="","",足元帳!CC246)</f>
        <v/>
      </c>
      <c r="L246" s="217" t="str">
        <f>IF(足元帳!AU246="","",IF(足元帳!AL246="●","カード利用",""))</f>
        <v/>
      </c>
    </row>
    <row r="247" spans="1:12">
      <c r="A247" t="str">
        <f>IF(B247="","",
    COUNTA($B$2:B247)-COUNTIFS($B$2:B247,"",$B$2:B247,"=*"))</f>
        <v/>
      </c>
      <c r="B247" s="217" t="str">
        <f>IF(足元帳!AU247="","",足元帳!C247)</f>
        <v/>
      </c>
      <c r="C247" s="217" t="str">
        <f>IFERROR(VLOOKUP(IF(足元帳!AU247="","",足元帳!BJ247),管理シート!$CA$4:$CB$23,2,FALSE),"")</f>
        <v/>
      </c>
      <c r="D247" s="217" t="str">
        <f>IF(足元帳!AU247="","",足元帳!K247)</f>
        <v/>
      </c>
      <c r="E247" s="217" t="str">
        <f>IFERROR(VLOOKUP(IF(足元帳!AU247="","",足元帳!BB247),管理シート!$R$4:$W$12,4),"")</f>
        <v/>
      </c>
      <c r="F247" s="217" t="str">
        <f t="shared" si="4"/>
        <v/>
      </c>
      <c r="G247" s="217" t="str">
        <f>IF(足元帳!AU247="","",足元帳!AU247)</f>
        <v/>
      </c>
      <c r="H247" s="217" t="str">
        <f>IF(足元帳!AV247="","",足元帳!AV247)</f>
        <v/>
      </c>
      <c r="I247" s="217" t="str">
        <f>IF(B247="","",IF(IF(足元帳!AU247="","",足元帳!BB247)=1,精算表!$C$14,IF(IF(足元帳!AU247="","",足元帳!BB247)=2,精算表!$E$14,IF(IF(足元帳!AU247="","",足元帳!BB247)=3,精算表!$G$14,IF(IF(足元帳!AU247="","",足元帳!BB247)=4,精算表!$I$14,IF(IF(足元帳!AU247="","",足元帳!BB247)=5,精算表!$K$14,))))))</f>
        <v/>
      </c>
      <c r="J247" s="217" t="str">
        <f>IFERROR(VLOOKUP(VLOOKUP(IF(足元帳!AU247="","",足元帳!BJ247),管理シート!$CA$4:$CI$13,2,FALSE),精算表!$BL$20:$BS$29,MATCH(E247&amp;"分",精算表!$BL$20:$BS$20,0),FALSE),"")</f>
        <v/>
      </c>
      <c r="K247" s="220" t="str">
        <f>IF(足元帳!AU247="","",足元帳!CC247)</f>
        <v/>
      </c>
      <c r="L247" s="217" t="str">
        <f>IF(足元帳!AU247="","",IF(足元帳!AL247="●","カード利用",""))</f>
        <v/>
      </c>
    </row>
    <row r="248" spans="1:12">
      <c r="A248" t="str">
        <f>IF(B248="","",
    COUNTA($B$2:B248)-COUNTIFS($B$2:B248,"",$B$2:B248,"=*"))</f>
        <v/>
      </c>
      <c r="B248" s="217" t="str">
        <f>IF(足元帳!AU248="","",足元帳!C248)</f>
        <v/>
      </c>
      <c r="C248" s="217" t="str">
        <f>IFERROR(VLOOKUP(IF(足元帳!AU248="","",足元帳!BJ248),管理シート!$CA$4:$CB$23,2,FALSE),"")</f>
        <v/>
      </c>
      <c r="D248" s="217" t="str">
        <f>IF(足元帳!AU248="","",足元帳!K248)</f>
        <v/>
      </c>
      <c r="E248" s="217" t="str">
        <f>IFERROR(VLOOKUP(IF(足元帳!AU248="","",足元帳!BB248),管理シート!$R$4:$W$12,4),"")</f>
        <v/>
      </c>
      <c r="F248" s="217" t="str">
        <f t="shared" si="4"/>
        <v/>
      </c>
      <c r="G248" s="217" t="str">
        <f>IF(足元帳!AU248="","",足元帳!AU248)</f>
        <v/>
      </c>
      <c r="H248" s="217" t="str">
        <f>IF(足元帳!AV248="","",足元帳!AV248)</f>
        <v/>
      </c>
      <c r="I248" s="217" t="str">
        <f>IF(B248="","",IF(IF(足元帳!AU248="","",足元帳!BB248)=1,精算表!$C$14,IF(IF(足元帳!AU248="","",足元帳!BB248)=2,精算表!$E$14,IF(IF(足元帳!AU248="","",足元帳!BB248)=3,精算表!$G$14,IF(IF(足元帳!AU248="","",足元帳!BB248)=4,精算表!$I$14,IF(IF(足元帳!AU248="","",足元帳!BB248)=5,精算表!$K$14,))))))</f>
        <v/>
      </c>
      <c r="J248" s="217" t="str">
        <f>IFERROR(VLOOKUP(VLOOKUP(IF(足元帳!AU248="","",足元帳!BJ248),管理シート!$CA$4:$CI$13,2,FALSE),精算表!$BL$20:$BS$29,MATCH(E248&amp;"分",精算表!$BL$20:$BS$20,0),FALSE),"")</f>
        <v/>
      </c>
      <c r="K248" s="220" t="str">
        <f>IF(足元帳!AU248="","",足元帳!CC248)</f>
        <v/>
      </c>
      <c r="L248" s="217" t="str">
        <f>IF(足元帳!AU248="","",IF(足元帳!AL248="●","カード利用",""))</f>
        <v/>
      </c>
    </row>
    <row r="249" spans="1:12">
      <c r="A249" t="str">
        <f>IF(B249="","",
    COUNTA($B$2:B249)-COUNTIFS($B$2:B249,"",$B$2:B249,"=*"))</f>
        <v/>
      </c>
      <c r="B249" s="217" t="str">
        <f>IF(足元帳!AU249="","",足元帳!C249)</f>
        <v/>
      </c>
      <c r="C249" s="217" t="str">
        <f>IFERROR(VLOOKUP(IF(足元帳!AU249="","",足元帳!BJ249),管理シート!$CA$4:$CB$23,2,FALSE),"")</f>
        <v/>
      </c>
      <c r="D249" s="217" t="str">
        <f>IF(足元帳!AU249="","",足元帳!K249)</f>
        <v/>
      </c>
      <c r="E249" s="217" t="str">
        <f>IFERROR(VLOOKUP(IF(足元帳!AU249="","",足元帳!BB249),管理シート!$R$4:$W$12,4),"")</f>
        <v/>
      </c>
      <c r="F249" s="217" t="str">
        <f t="shared" si="4"/>
        <v/>
      </c>
      <c r="G249" s="217" t="str">
        <f>IF(足元帳!AU249="","",足元帳!AU249)</f>
        <v/>
      </c>
      <c r="H249" s="217" t="str">
        <f>IF(足元帳!AV249="","",足元帳!AV249)</f>
        <v/>
      </c>
      <c r="I249" s="217" t="str">
        <f>IF(B249="","",IF(IF(足元帳!AU249="","",足元帳!BB249)=1,精算表!$C$14,IF(IF(足元帳!AU249="","",足元帳!BB249)=2,精算表!$E$14,IF(IF(足元帳!AU249="","",足元帳!BB249)=3,精算表!$G$14,IF(IF(足元帳!AU249="","",足元帳!BB249)=4,精算表!$I$14,IF(IF(足元帳!AU249="","",足元帳!BB249)=5,精算表!$K$14,))))))</f>
        <v/>
      </c>
      <c r="J249" s="217" t="str">
        <f>IFERROR(VLOOKUP(VLOOKUP(IF(足元帳!AU249="","",足元帳!BJ249),管理シート!$CA$4:$CI$13,2,FALSE),精算表!$BL$20:$BS$29,MATCH(E249&amp;"分",精算表!$BL$20:$BS$20,0),FALSE),"")</f>
        <v/>
      </c>
      <c r="K249" s="220" t="str">
        <f>IF(足元帳!AU249="","",足元帳!CC249)</f>
        <v/>
      </c>
      <c r="L249" s="217" t="str">
        <f>IF(足元帳!AU249="","",IF(足元帳!AL249="●","カード利用",""))</f>
        <v/>
      </c>
    </row>
    <row r="250" spans="1:12">
      <c r="A250" t="str">
        <f>IF(B250="","",
    COUNTA($B$2:B250)-COUNTIFS($B$2:B250,"",$B$2:B250,"=*"))</f>
        <v/>
      </c>
      <c r="B250" s="217" t="str">
        <f>IF(足元帳!AU250="","",足元帳!C250)</f>
        <v/>
      </c>
      <c r="C250" s="217" t="str">
        <f>IFERROR(VLOOKUP(IF(足元帳!AU250="","",足元帳!BJ250),管理シート!$CA$4:$CB$23,2,FALSE),"")</f>
        <v/>
      </c>
      <c r="D250" s="217" t="str">
        <f>IF(足元帳!AU250="","",足元帳!K250)</f>
        <v/>
      </c>
      <c r="E250" s="217" t="str">
        <f>IFERROR(VLOOKUP(IF(足元帳!AU250="","",足元帳!BB250),管理シート!$R$4:$W$12,4),"")</f>
        <v/>
      </c>
      <c r="F250" s="217" t="str">
        <f t="shared" si="4"/>
        <v/>
      </c>
      <c r="G250" s="217" t="str">
        <f>IF(足元帳!AU250="","",足元帳!AU250)</f>
        <v/>
      </c>
      <c r="H250" s="217" t="str">
        <f>IF(足元帳!AV250="","",足元帳!AV250)</f>
        <v/>
      </c>
      <c r="I250" s="217" t="str">
        <f>IF(B250="","",IF(IF(足元帳!AU250="","",足元帳!BB250)=1,精算表!$C$14,IF(IF(足元帳!AU250="","",足元帳!BB250)=2,精算表!$E$14,IF(IF(足元帳!AU250="","",足元帳!BB250)=3,精算表!$G$14,IF(IF(足元帳!AU250="","",足元帳!BB250)=4,精算表!$I$14,IF(IF(足元帳!AU250="","",足元帳!BB250)=5,精算表!$K$14,))))))</f>
        <v/>
      </c>
      <c r="J250" s="217" t="str">
        <f>IFERROR(VLOOKUP(VLOOKUP(IF(足元帳!AU250="","",足元帳!BJ250),管理シート!$CA$4:$CI$13,2,FALSE),精算表!$BL$20:$BS$29,MATCH(E250&amp;"分",精算表!$BL$20:$BS$20,0),FALSE),"")</f>
        <v/>
      </c>
      <c r="K250" s="220" t="str">
        <f>IF(足元帳!AU250="","",足元帳!CC250)</f>
        <v/>
      </c>
      <c r="L250" s="217" t="str">
        <f>IF(足元帳!AU250="","",IF(足元帳!AL250="●","カード利用",""))</f>
        <v/>
      </c>
    </row>
  </sheetData>
  <phoneticPr fontId="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AL251"/>
  <sheetViews>
    <sheetView topLeftCell="B1" workbookViewId="0">
      <selection activeCell="D3" sqref="D3"/>
    </sheetView>
  </sheetViews>
  <sheetFormatPr defaultColWidth="9" defaultRowHeight="18.75"/>
  <cols>
    <col min="1" max="1" width="9" style="113" hidden="1" customWidth="1"/>
    <col min="2" max="2" width="4.125" style="113" customWidth="1"/>
    <col min="3" max="3" width="7.5" style="113" customWidth="1"/>
    <col min="4" max="4" width="6.25" style="113" customWidth="1"/>
    <col min="5" max="5" width="4.375" style="113" customWidth="1"/>
    <col min="6" max="6" width="7.5" style="113" customWidth="1"/>
    <col min="7" max="7" width="5.5" style="113" customWidth="1"/>
    <col min="8" max="8" width="41.125" style="224" customWidth="1"/>
    <col min="9" max="9" width="9" style="113"/>
    <col min="10" max="10" width="8.625" style="113" customWidth="1"/>
    <col min="11" max="16384" width="9" style="113"/>
  </cols>
  <sheetData>
    <row r="1" spans="1:38" ht="21">
      <c r="I1" s="671">
        <f>精算表!W1</f>
        <v>43755</v>
      </c>
      <c r="J1" s="671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30"/>
    </row>
    <row r="2" spans="1:38">
      <c r="B2" s="116" t="s">
        <v>278</v>
      </c>
      <c r="C2" s="116" t="s">
        <v>279</v>
      </c>
      <c r="D2" s="116" t="s">
        <v>175</v>
      </c>
      <c r="E2" s="116" t="s">
        <v>176</v>
      </c>
      <c r="F2" s="116" t="s">
        <v>284</v>
      </c>
      <c r="G2" s="116" t="s">
        <v>289</v>
      </c>
      <c r="H2" s="221" t="s">
        <v>282</v>
      </c>
      <c r="I2" s="116" t="s">
        <v>286</v>
      </c>
      <c r="J2" s="116" t="s">
        <v>287</v>
      </c>
      <c r="O2" s="113" t="str">
        <f>IF(O275&gt;0,276,IF(O229&gt;0,230,IF(O183&gt;0,230,IF(O137&gt;0,138,IF(O91&gt;0,92,IF(O45&gt;0,46,""))))))</f>
        <v/>
      </c>
      <c r="P2" s="113">
        <f>COUNT(B3:B251)</f>
        <v>0</v>
      </c>
    </row>
    <row r="3" spans="1:38">
      <c r="A3" s="113">
        <v>1</v>
      </c>
      <c r="B3" s="222" t="str">
        <f>IFERROR(VLOOKUP($A3,メルマガ読み込み用!$A$2:$K$250,2,FALSE),"")</f>
        <v/>
      </c>
      <c r="C3" s="222" t="str">
        <f>IFERROR(VLOOKUP($A3,メルマガ読み込み用!$A$2:$K$250,3,FALSE),"")</f>
        <v/>
      </c>
      <c r="D3" s="222" t="str">
        <f>IFERROR(VLOOKUP($A3,メルマガ読み込み用!$A$2:$K$250,4,FALSE),"")</f>
        <v/>
      </c>
      <c r="E3" s="222" t="str">
        <f>IFERROR(VLOOKUP($A3,メルマガ読み込み用!$A$2:$K$250,5,FALSE),"")</f>
        <v/>
      </c>
      <c r="F3" s="222" t="str">
        <f>IFERROR(VLOOKUP($A3,メルマガ読み込み用!$A$2:$K$250,6,FALSE),"")</f>
        <v/>
      </c>
      <c r="G3" s="222" t="str">
        <f>IFERROR(VLOOKUP($A3,メルマガ読み込み用!$A$2:$L$250,12,FALSE),"")</f>
        <v/>
      </c>
      <c r="H3" s="221" t="str">
        <f>IFERROR(VLOOKUP($A3,メルマガ読み込み用!$A$2:$K$250,7,FALSE),"")</f>
        <v/>
      </c>
      <c r="I3" s="222" t="str">
        <f>IFERROR(VLOOKUP($A3,メルマガ読み込み用!$A$2:$K$250,8,FALSE),"")</f>
        <v/>
      </c>
      <c r="J3" s="223" t="str">
        <f>IFERROR(VLOOKUP($A3,メルマガ読み込み用!$A$2:$K$250,11,FALSE),"")</f>
        <v/>
      </c>
    </row>
    <row r="4" spans="1:38">
      <c r="A4" s="113">
        <v>2</v>
      </c>
      <c r="B4" s="222" t="str">
        <f>IFERROR(VLOOKUP($A4,メルマガ読み込み用!$A$2:$K$250,2,FALSE),"")</f>
        <v/>
      </c>
      <c r="C4" s="222" t="str">
        <f>IFERROR(VLOOKUP($A4,メルマガ読み込み用!$A$2:$K$250,3,FALSE),"")</f>
        <v/>
      </c>
      <c r="D4" s="222" t="str">
        <f>IFERROR(VLOOKUP($A4,メルマガ読み込み用!$A$2:$K$250,4,FALSE),"")</f>
        <v/>
      </c>
      <c r="E4" s="222" t="str">
        <f>IFERROR(VLOOKUP($A4,メルマガ読み込み用!$A$2:$K$250,5,FALSE),"")</f>
        <v/>
      </c>
      <c r="F4" s="222" t="str">
        <f>IFERROR(VLOOKUP($A4,メルマガ読み込み用!$A$2:$K$250,6,FALSE),"")</f>
        <v/>
      </c>
      <c r="G4" s="222" t="str">
        <f>IFERROR(VLOOKUP($A4,メルマガ読み込み用!$A$2:$L$250,12,FALSE),"")</f>
        <v/>
      </c>
      <c r="H4" s="221" t="str">
        <f>IFERROR(VLOOKUP($A4,メルマガ読み込み用!$A$2:$K$250,7,FALSE),"")</f>
        <v/>
      </c>
      <c r="I4" s="222" t="str">
        <f>IFERROR(VLOOKUP($A4,メルマガ読み込み用!$A$2:$K$250,8,FALSE),"")</f>
        <v/>
      </c>
      <c r="J4" s="223" t="str">
        <f>IFERROR(VLOOKUP($A4,メルマガ読み込み用!$A$2:$K$250,11,FALSE),"")</f>
        <v/>
      </c>
    </row>
    <row r="5" spans="1:38">
      <c r="A5" s="113">
        <v>3</v>
      </c>
      <c r="B5" s="222" t="str">
        <f>IFERROR(VLOOKUP($A5,メルマガ読み込み用!$A$2:$K$250,2,FALSE),"")</f>
        <v/>
      </c>
      <c r="C5" s="222" t="str">
        <f>IFERROR(VLOOKUP($A5,メルマガ読み込み用!$A$2:$K$250,3,FALSE),"")</f>
        <v/>
      </c>
      <c r="D5" s="222" t="str">
        <f>IFERROR(VLOOKUP($A5,メルマガ読み込み用!$A$2:$K$250,4,FALSE),"")</f>
        <v/>
      </c>
      <c r="E5" s="222" t="str">
        <f>IFERROR(VLOOKUP($A5,メルマガ読み込み用!$A$2:$K$250,5,FALSE),"")</f>
        <v/>
      </c>
      <c r="F5" s="222" t="str">
        <f>IFERROR(VLOOKUP($A5,メルマガ読み込み用!$A$2:$K$250,6,FALSE),"")</f>
        <v/>
      </c>
      <c r="G5" s="222" t="str">
        <f>IFERROR(VLOOKUP($A5,メルマガ読み込み用!$A$2:$L$250,12,FALSE),"")</f>
        <v/>
      </c>
      <c r="H5" s="221" t="str">
        <f>IFERROR(VLOOKUP($A5,メルマガ読み込み用!$A$2:$K$250,7,FALSE),"")</f>
        <v/>
      </c>
      <c r="I5" s="222" t="str">
        <f>IFERROR(VLOOKUP($A5,メルマガ読み込み用!$A$2:$K$250,8,FALSE),"")</f>
        <v/>
      </c>
      <c r="J5" s="223" t="str">
        <f>IFERROR(VLOOKUP($A5,メルマガ読み込み用!$A$2:$K$250,11,FALSE),"")</f>
        <v/>
      </c>
    </row>
    <row r="6" spans="1:38">
      <c r="A6" s="113">
        <v>4</v>
      </c>
      <c r="B6" s="222" t="str">
        <f>IFERROR(VLOOKUP($A6,メルマガ読み込み用!$A$2:$K$250,2,FALSE),"")</f>
        <v/>
      </c>
      <c r="C6" s="222" t="str">
        <f>IFERROR(VLOOKUP($A6,メルマガ読み込み用!$A$2:$K$250,3,FALSE),"")</f>
        <v/>
      </c>
      <c r="D6" s="222" t="str">
        <f>IFERROR(VLOOKUP($A6,メルマガ読み込み用!$A$2:$K$250,4,FALSE),"")</f>
        <v/>
      </c>
      <c r="E6" s="222" t="str">
        <f>IFERROR(VLOOKUP($A6,メルマガ読み込み用!$A$2:$K$250,5,FALSE),"")</f>
        <v/>
      </c>
      <c r="F6" s="222" t="str">
        <f>IFERROR(VLOOKUP($A6,メルマガ読み込み用!$A$2:$K$250,6,FALSE),"")</f>
        <v/>
      </c>
      <c r="G6" s="222" t="str">
        <f>IFERROR(VLOOKUP($A6,メルマガ読み込み用!$A$2:$L$250,12,FALSE),"")</f>
        <v/>
      </c>
      <c r="H6" s="221" t="str">
        <f>IFERROR(VLOOKUP($A6,メルマガ読み込み用!$A$2:$K$250,7,FALSE),"")</f>
        <v/>
      </c>
      <c r="I6" s="222" t="str">
        <f>IFERROR(VLOOKUP($A6,メルマガ読み込み用!$A$2:$K$250,8,FALSE),"")</f>
        <v/>
      </c>
      <c r="J6" s="223" t="str">
        <f>IFERROR(VLOOKUP($A6,メルマガ読み込み用!$A$2:$K$250,11,FALSE),"")</f>
        <v/>
      </c>
    </row>
    <row r="7" spans="1:38">
      <c r="A7" s="113">
        <v>5</v>
      </c>
      <c r="B7" s="222" t="str">
        <f>IFERROR(VLOOKUP($A7,メルマガ読み込み用!$A$2:$K$250,2,FALSE),"")</f>
        <v/>
      </c>
      <c r="C7" s="222" t="str">
        <f>IFERROR(VLOOKUP($A7,メルマガ読み込み用!$A$2:$K$250,3,FALSE),"")</f>
        <v/>
      </c>
      <c r="D7" s="222" t="str">
        <f>IFERROR(VLOOKUP($A7,メルマガ読み込み用!$A$2:$K$250,4,FALSE),"")</f>
        <v/>
      </c>
      <c r="E7" s="222" t="str">
        <f>IFERROR(VLOOKUP($A7,メルマガ読み込み用!$A$2:$K$250,5,FALSE),"")</f>
        <v/>
      </c>
      <c r="F7" s="222" t="str">
        <f>IFERROR(VLOOKUP($A7,メルマガ読み込み用!$A$2:$K$250,6,FALSE),"")</f>
        <v/>
      </c>
      <c r="G7" s="222" t="str">
        <f>IFERROR(VLOOKUP($A7,メルマガ読み込み用!$A$2:$L$250,12,FALSE),"")</f>
        <v/>
      </c>
      <c r="H7" s="221" t="str">
        <f>IFERROR(VLOOKUP($A7,メルマガ読み込み用!$A$2:$K$250,7,FALSE),"")</f>
        <v/>
      </c>
      <c r="I7" s="222" t="str">
        <f>IFERROR(VLOOKUP($A7,メルマガ読み込み用!$A$2:$K$250,8,FALSE),"")</f>
        <v/>
      </c>
      <c r="J7" s="223" t="str">
        <f>IFERROR(VLOOKUP($A7,メルマガ読み込み用!$A$2:$K$250,11,FALSE),"")</f>
        <v/>
      </c>
    </row>
    <row r="8" spans="1:38">
      <c r="A8" s="113">
        <v>6</v>
      </c>
      <c r="B8" s="222" t="str">
        <f>IFERROR(VLOOKUP($A8,メルマガ読み込み用!$A$2:$K$250,2,FALSE),"")</f>
        <v/>
      </c>
      <c r="C8" s="222" t="str">
        <f>IFERROR(VLOOKUP($A8,メルマガ読み込み用!$A$2:$K$250,3,FALSE),"")</f>
        <v/>
      </c>
      <c r="D8" s="222" t="str">
        <f>IFERROR(VLOOKUP($A8,メルマガ読み込み用!$A$2:$K$250,4,FALSE),"")</f>
        <v/>
      </c>
      <c r="E8" s="222" t="str">
        <f>IFERROR(VLOOKUP($A8,メルマガ読み込み用!$A$2:$K$250,5,FALSE),"")</f>
        <v/>
      </c>
      <c r="F8" s="222" t="str">
        <f>IFERROR(VLOOKUP($A8,メルマガ読み込み用!$A$2:$K$250,6,FALSE),"")</f>
        <v/>
      </c>
      <c r="G8" s="222" t="str">
        <f>IFERROR(VLOOKUP($A8,メルマガ読み込み用!$A$2:$L$250,12,FALSE),"")</f>
        <v/>
      </c>
      <c r="H8" s="221" t="str">
        <f>IFERROR(VLOOKUP($A8,メルマガ読み込み用!$A$2:$K$250,7,FALSE),"")</f>
        <v/>
      </c>
      <c r="I8" s="222" t="str">
        <f>IFERROR(VLOOKUP($A8,メルマガ読み込み用!$A$2:$K$250,8,FALSE),"")</f>
        <v/>
      </c>
      <c r="J8" s="223" t="str">
        <f>IFERROR(VLOOKUP($A8,メルマガ読み込み用!$A$2:$K$250,11,FALSE),"")</f>
        <v/>
      </c>
    </row>
    <row r="9" spans="1:38">
      <c r="A9" s="113">
        <v>7</v>
      </c>
      <c r="B9" s="222" t="str">
        <f>IFERROR(VLOOKUP($A9,メルマガ読み込み用!$A$2:$K$250,2,FALSE),"")</f>
        <v/>
      </c>
      <c r="C9" s="222" t="str">
        <f>IFERROR(VLOOKUP($A9,メルマガ読み込み用!$A$2:$K$250,3,FALSE),"")</f>
        <v/>
      </c>
      <c r="D9" s="222" t="str">
        <f>IFERROR(VLOOKUP($A9,メルマガ読み込み用!$A$2:$K$250,4,FALSE),"")</f>
        <v/>
      </c>
      <c r="E9" s="222" t="str">
        <f>IFERROR(VLOOKUP($A9,メルマガ読み込み用!$A$2:$K$250,5,FALSE),"")</f>
        <v/>
      </c>
      <c r="F9" s="222" t="str">
        <f>IFERROR(VLOOKUP($A9,メルマガ読み込み用!$A$2:$K$250,6,FALSE),"")</f>
        <v/>
      </c>
      <c r="G9" s="222" t="str">
        <f>IFERROR(VLOOKUP($A9,メルマガ読み込み用!$A$2:$L$250,12,FALSE),"")</f>
        <v/>
      </c>
      <c r="H9" s="221" t="str">
        <f>IFERROR(VLOOKUP($A9,メルマガ読み込み用!$A$2:$K$250,7,FALSE),"")</f>
        <v/>
      </c>
      <c r="I9" s="222" t="str">
        <f>IFERROR(VLOOKUP($A9,メルマガ読み込み用!$A$2:$K$250,8,FALSE),"")</f>
        <v/>
      </c>
      <c r="J9" s="223" t="str">
        <f>IFERROR(VLOOKUP($A9,メルマガ読み込み用!$A$2:$K$250,11,FALSE),"")</f>
        <v/>
      </c>
    </row>
    <row r="10" spans="1:38">
      <c r="A10" s="113">
        <v>8</v>
      </c>
      <c r="B10" s="222" t="str">
        <f>IFERROR(VLOOKUP($A10,メルマガ読み込み用!$A$2:$K$250,2,FALSE),"")</f>
        <v/>
      </c>
      <c r="C10" s="222" t="str">
        <f>IFERROR(VLOOKUP($A10,メルマガ読み込み用!$A$2:$K$250,3,FALSE),"")</f>
        <v/>
      </c>
      <c r="D10" s="222" t="str">
        <f>IFERROR(VLOOKUP($A10,メルマガ読み込み用!$A$2:$K$250,4,FALSE),"")</f>
        <v/>
      </c>
      <c r="E10" s="222" t="str">
        <f>IFERROR(VLOOKUP($A10,メルマガ読み込み用!$A$2:$K$250,5,FALSE),"")</f>
        <v/>
      </c>
      <c r="F10" s="222" t="str">
        <f>IFERROR(VLOOKUP($A10,メルマガ読み込み用!$A$2:$K$250,6,FALSE),"")</f>
        <v/>
      </c>
      <c r="G10" s="222" t="str">
        <f>IFERROR(VLOOKUP($A10,メルマガ読み込み用!$A$2:$L$250,12,FALSE),"")</f>
        <v/>
      </c>
      <c r="H10" s="221" t="str">
        <f>IFERROR(VLOOKUP($A10,メルマガ読み込み用!$A$2:$K$250,7,FALSE),"")</f>
        <v/>
      </c>
      <c r="I10" s="222" t="str">
        <f>IFERROR(VLOOKUP($A10,メルマガ読み込み用!$A$2:$K$250,8,FALSE),"")</f>
        <v/>
      </c>
      <c r="J10" s="223" t="str">
        <f>IFERROR(VLOOKUP($A10,メルマガ読み込み用!$A$2:$K$250,11,FALSE),"")</f>
        <v/>
      </c>
    </row>
    <row r="11" spans="1:38">
      <c r="A11" s="113">
        <v>9</v>
      </c>
      <c r="B11" s="222" t="str">
        <f>IFERROR(VLOOKUP($A11,メルマガ読み込み用!$A$2:$K$250,2,FALSE),"")</f>
        <v/>
      </c>
      <c r="C11" s="222" t="str">
        <f>IFERROR(VLOOKUP($A11,メルマガ読み込み用!$A$2:$K$250,3,FALSE),"")</f>
        <v/>
      </c>
      <c r="D11" s="222" t="str">
        <f>IFERROR(VLOOKUP($A11,メルマガ読み込み用!$A$2:$K$250,4,FALSE),"")</f>
        <v/>
      </c>
      <c r="E11" s="222" t="str">
        <f>IFERROR(VLOOKUP($A11,メルマガ読み込み用!$A$2:$K$250,5,FALSE),"")</f>
        <v/>
      </c>
      <c r="F11" s="222" t="str">
        <f>IFERROR(VLOOKUP($A11,メルマガ読み込み用!$A$2:$K$250,6,FALSE),"")</f>
        <v/>
      </c>
      <c r="G11" s="222" t="str">
        <f>IFERROR(VLOOKUP($A11,メルマガ読み込み用!$A$2:$L$250,12,FALSE),"")</f>
        <v/>
      </c>
      <c r="H11" s="221" t="str">
        <f>IFERROR(VLOOKUP($A11,メルマガ読み込み用!$A$2:$K$250,7,FALSE),"")</f>
        <v/>
      </c>
      <c r="I11" s="222" t="str">
        <f>IFERROR(VLOOKUP($A11,メルマガ読み込み用!$A$2:$K$250,8,FALSE),"")</f>
        <v/>
      </c>
      <c r="J11" s="223" t="str">
        <f>IFERROR(VLOOKUP($A11,メルマガ読み込み用!$A$2:$K$250,11,FALSE),"")</f>
        <v/>
      </c>
    </row>
    <row r="12" spans="1:38">
      <c r="A12" s="113">
        <v>10</v>
      </c>
      <c r="B12" s="222" t="str">
        <f>IFERROR(VLOOKUP($A12,メルマガ読み込み用!$A$2:$K$250,2,FALSE),"")</f>
        <v/>
      </c>
      <c r="C12" s="222" t="str">
        <f>IFERROR(VLOOKUP($A12,メルマガ読み込み用!$A$2:$K$250,3,FALSE),"")</f>
        <v/>
      </c>
      <c r="D12" s="222" t="str">
        <f>IFERROR(VLOOKUP($A12,メルマガ読み込み用!$A$2:$K$250,4,FALSE),"")</f>
        <v/>
      </c>
      <c r="E12" s="222" t="str">
        <f>IFERROR(VLOOKUP($A12,メルマガ読み込み用!$A$2:$K$250,5,FALSE),"")</f>
        <v/>
      </c>
      <c r="F12" s="222" t="str">
        <f>IFERROR(VLOOKUP($A12,メルマガ読み込み用!$A$2:$K$250,6,FALSE),"")</f>
        <v/>
      </c>
      <c r="G12" s="222" t="str">
        <f>IFERROR(VLOOKUP($A12,メルマガ読み込み用!$A$2:$L$250,12,FALSE),"")</f>
        <v/>
      </c>
      <c r="H12" s="221" t="str">
        <f>IFERROR(VLOOKUP($A12,メルマガ読み込み用!$A$2:$K$250,7,FALSE),"")</f>
        <v/>
      </c>
      <c r="I12" s="222" t="str">
        <f>IFERROR(VLOOKUP($A12,メルマガ読み込み用!$A$2:$K$250,8,FALSE),"")</f>
        <v/>
      </c>
      <c r="J12" s="223" t="str">
        <f>IFERROR(VLOOKUP($A12,メルマガ読み込み用!$A$2:$K$250,11,FALSE),"")</f>
        <v/>
      </c>
    </row>
    <row r="13" spans="1:38">
      <c r="A13" s="113">
        <v>11</v>
      </c>
      <c r="B13" s="222" t="str">
        <f>IFERROR(VLOOKUP($A13,メルマガ読み込み用!$A$2:$K$250,2,FALSE),"")</f>
        <v/>
      </c>
      <c r="C13" s="222" t="str">
        <f>IFERROR(VLOOKUP($A13,メルマガ読み込み用!$A$2:$K$250,3,FALSE),"")</f>
        <v/>
      </c>
      <c r="D13" s="222" t="str">
        <f>IFERROR(VLOOKUP($A13,メルマガ読み込み用!$A$2:$K$250,4,FALSE),"")</f>
        <v/>
      </c>
      <c r="E13" s="222" t="str">
        <f>IFERROR(VLOOKUP($A13,メルマガ読み込み用!$A$2:$K$250,5,FALSE),"")</f>
        <v/>
      </c>
      <c r="F13" s="222" t="str">
        <f>IFERROR(VLOOKUP($A13,メルマガ読み込み用!$A$2:$K$250,6,FALSE),"")</f>
        <v/>
      </c>
      <c r="G13" s="222" t="str">
        <f>IFERROR(VLOOKUP($A13,メルマガ読み込み用!$A$2:$L$250,12,FALSE),"")</f>
        <v/>
      </c>
      <c r="H13" s="221" t="str">
        <f>IFERROR(VLOOKUP($A13,メルマガ読み込み用!$A$2:$K$250,7,FALSE),"")</f>
        <v/>
      </c>
      <c r="I13" s="222" t="str">
        <f>IFERROR(VLOOKUP($A13,メルマガ読み込み用!$A$2:$K$250,8,FALSE),"")</f>
        <v/>
      </c>
      <c r="J13" s="223" t="str">
        <f>IFERROR(VLOOKUP($A13,メルマガ読み込み用!$A$2:$K$250,11,FALSE),"")</f>
        <v/>
      </c>
    </row>
    <row r="14" spans="1:38">
      <c r="A14" s="113">
        <v>12</v>
      </c>
      <c r="B14" s="222" t="str">
        <f>IFERROR(VLOOKUP($A14,メルマガ読み込み用!$A$2:$K$250,2,FALSE),"")</f>
        <v/>
      </c>
      <c r="C14" s="222" t="str">
        <f>IFERROR(VLOOKUP($A14,メルマガ読み込み用!$A$2:$K$250,3,FALSE),"")</f>
        <v/>
      </c>
      <c r="D14" s="222" t="str">
        <f>IFERROR(VLOOKUP($A14,メルマガ読み込み用!$A$2:$K$250,4,FALSE),"")</f>
        <v/>
      </c>
      <c r="E14" s="222" t="str">
        <f>IFERROR(VLOOKUP($A14,メルマガ読み込み用!$A$2:$K$250,5,FALSE),"")</f>
        <v/>
      </c>
      <c r="F14" s="222" t="str">
        <f>IFERROR(VLOOKUP($A14,メルマガ読み込み用!$A$2:$K$250,6,FALSE),"")</f>
        <v/>
      </c>
      <c r="G14" s="222" t="str">
        <f>IFERROR(VLOOKUP($A14,メルマガ読み込み用!$A$2:$L$250,12,FALSE),"")</f>
        <v/>
      </c>
      <c r="H14" s="221" t="str">
        <f>IFERROR(VLOOKUP($A14,メルマガ読み込み用!$A$2:$K$250,7,FALSE),"")</f>
        <v/>
      </c>
      <c r="I14" s="222" t="str">
        <f>IFERROR(VLOOKUP($A14,メルマガ読み込み用!$A$2:$K$250,8,FALSE),"")</f>
        <v/>
      </c>
      <c r="J14" s="223" t="str">
        <f>IFERROR(VLOOKUP($A14,メルマガ読み込み用!$A$2:$K$250,11,FALSE),"")</f>
        <v/>
      </c>
    </row>
    <row r="15" spans="1:38">
      <c r="A15" s="113">
        <v>13</v>
      </c>
      <c r="B15" s="222" t="str">
        <f>IFERROR(VLOOKUP($A15,メルマガ読み込み用!$A$2:$K$250,2,FALSE),"")</f>
        <v/>
      </c>
      <c r="C15" s="222" t="str">
        <f>IFERROR(VLOOKUP($A15,メルマガ読み込み用!$A$2:$K$250,3,FALSE),"")</f>
        <v/>
      </c>
      <c r="D15" s="222" t="str">
        <f>IFERROR(VLOOKUP($A15,メルマガ読み込み用!$A$2:$K$250,4,FALSE),"")</f>
        <v/>
      </c>
      <c r="E15" s="222" t="str">
        <f>IFERROR(VLOOKUP($A15,メルマガ読み込み用!$A$2:$K$250,5,FALSE),"")</f>
        <v/>
      </c>
      <c r="F15" s="222" t="str">
        <f>IFERROR(VLOOKUP($A15,メルマガ読み込み用!$A$2:$K$250,6,FALSE),"")</f>
        <v/>
      </c>
      <c r="G15" s="222" t="str">
        <f>IFERROR(VLOOKUP($A15,メルマガ読み込み用!$A$2:$L$250,12,FALSE),"")</f>
        <v/>
      </c>
      <c r="H15" s="221" t="str">
        <f>IFERROR(VLOOKUP($A15,メルマガ読み込み用!$A$2:$K$250,7,FALSE),"")</f>
        <v/>
      </c>
      <c r="I15" s="222" t="str">
        <f>IFERROR(VLOOKUP($A15,メルマガ読み込み用!$A$2:$K$250,8,FALSE),"")</f>
        <v/>
      </c>
      <c r="J15" s="223" t="str">
        <f>IFERROR(VLOOKUP($A15,メルマガ読み込み用!$A$2:$K$250,11,FALSE),"")</f>
        <v/>
      </c>
    </row>
    <row r="16" spans="1:38">
      <c r="A16" s="113">
        <v>14</v>
      </c>
      <c r="B16" s="222" t="str">
        <f>IFERROR(VLOOKUP($A16,メルマガ読み込み用!$A$2:$K$250,2,FALSE),"")</f>
        <v/>
      </c>
      <c r="C16" s="222" t="str">
        <f>IFERROR(VLOOKUP($A16,メルマガ読み込み用!$A$2:$K$250,3,FALSE),"")</f>
        <v/>
      </c>
      <c r="D16" s="222" t="str">
        <f>IFERROR(VLOOKUP($A16,メルマガ読み込み用!$A$2:$K$250,4,FALSE),"")</f>
        <v/>
      </c>
      <c r="E16" s="222" t="str">
        <f>IFERROR(VLOOKUP($A16,メルマガ読み込み用!$A$2:$K$250,5,FALSE),"")</f>
        <v/>
      </c>
      <c r="F16" s="222" t="str">
        <f>IFERROR(VLOOKUP($A16,メルマガ読み込み用!$A$2:$K$250,6,FALSE),"")</f>
        <v/>
      </c>
      <c r="G16" s="222" t="str">
        <f>IFERROR(VLOOKUP($A16,メルマガ読み込み用!$A$2:$L$250,12,FALSE),"")</f>
        <v/>
      </c>
      <c r="H16" s="221" t="str">
        <f>IFERROR(VLOOKUP($A16,メルマガ読み込み用!$A$2:$K$250,7,FALSE),"")</f>
        <v/>
      </c>
      <c r="I16" s="222" t="str">
        <f>IFERROR(VLOOKUP($A16,メルマガ読み込み用!$A$2:$K$250,8,FALSE),"")</f>
        <v/>
      </c>
      <c r="J16" s="223" t="str">
        <f>IFERROR(VLOOKUP($A16,メルマガ読み込み用!$A$2:$K$250,11,FALSE),"")</f>
        <v/>
      </c>
    </row>
    <row r="17" spans="1:10">
      <c r="A17" s="113">
        <v>15</v>
      </c>
      <c r="B17" s="222" t="str">
        <f>IFERROR(VLOOKUP($A17,メルマガ読み込み用!$A$2:$K$250,2,FALSE),"")</f>
        <v/>
      </c>
      <c r="C17" s="222" t="str">
        <f>IFERROR(VLOOKUP($A17,メルマガ読み込み用!$A$2:$K$250,3,FALSE),"")</f>
        <v/>
      </c>
      <c r="D17" s="222" t="str">
        <f>IFERROR(VLOOKUP($A17,メルマガ読み込み用!$A$2:$K$250,4,FALSE),"")</f>
        <v/>
      </c>
      <c r="E17" s="222" t="str">
        <f>IFERROR(VLOOKUP($A17,メルマガ読み込み用!$A$2:$K$250,5,FALSE),"")</f>
        <v/>
      </c>
      <c r="F17" s="222" t="str">
        <f>IFERROR(VLOOKUP($A17,メルマガ読み込み用!$A$2:$K$250,6,FALSE),"")</f>
        <v/>
      </c>
      <c r="G17" s="222" t="str">
        <f>IFERROR(VLOOKUP($A17,メルマガ読み込み用!$A$2:$L$250,12,FALSE),"")</f>
        <v/>
      </c>
      <c r="H17" s="221" t="str">
        <f>IFERROR(VLOOKUP($A17,メルマガ読み込み用!$A$2:$K$250,7,FALSE),"")</f>
        <v/>
      </c>
      <c r="I17" s="222" t="str">
        <f>IFERROR(VLOOKUP($A17,メルマガ読み込み用!$A$2:$K$250,8,FALSE),"")</f>
        <v/>
      </c>
      <c r="J17" s="223" t="str">
        <f>IFERROR(VLOOKUP($A17,メルマガ読み込み用!$A$2:$K$250,11,FALSE),"")</f>
        <v/>
      </c>
    </row>
    <row r="18" spans="1:10">
      <c r="A18" s="113">
        <v>16</v>
      </c>
      <c r="B18" s="222" t="str">
        <f>IFERROR(VLOOKUP($A18,メルマガ読み込み用!$A$2:$K$250,2,FALSE),"")</f>
        <v/>
      </c>
      <c r="C18" s="222" t="str">
        <f>IFERROR(VLOOKUP($A18,メルマガ読み込み用!$A$2:$K$250,3,FALSE),"")</f>
        <v/>
      </c>
      <c r="D18" s="222" t="str">
        <f>IFERROR(VLOOKUP($A18,メルマガ読み込み用!$A$2:$K$250,4,FALSE),"")</f>
        <v/>
      </c>
      <c r="E18" s="222" t="str">
        <f>IFERROR(VLOOKUP($A18,メルマガ読み込み用!$A$2:$K$250,5,FALSE),"")</f>
        <v/>
      </c>
      <c r="F18" s="222" t="str">
        <f>IFERROR(VLOOKUP($A18,メルマガ読み込み用!$A$2:$K$250,6,FALSE),"")</f>
        <v/>
      </c>
      <c r="G18" s="222" t="str">
        <f>IFERROR(VLOOKUP($A18,メルマガ読み込み用!$A$2:$L$250,12,FALSE),"")</f>
        <v/>
      </c>
      <c r="H18" s="221" t="str">
        <f>IFERROR(VLOOKUP($A18,メルマガ読み込み用!$A$2:$K$250,7,FALSE),"")</f>
        <v/>
      </c>
      <c r="I18" s="222" t="str">
        <f>IFERROR(VLOOKUP($A18,メルマガ読み込み用!$A$2:$K$250,8,FALSE),"")</f>
        <v/>
      </c>
      <c r="J18" s="223" t="str">
        <f>IFERROR(VLOOKUP($A18,メルマガ読み込み用!$A$2:$K$250,11,FALSE),"")</f>
        <v/>
      </c>
    </row>
    <row r="19" spans="1:10">
      <c r="A19" s="113">
        <v>17</v>
      </c>
      <c r="B19" s="222" t="str">
        <f>IFERROR(VLOOKUP($A19,メルマガ読み込み用!$A$2:$K$250,2,FALSE),"")</f>
        <v/>
      </c>
      <c r="C19" s="222" t="str">
        <f>IFERROR(VLOOKUP($A19,メルマガ読み込み用!$A$2:$K$250,3,FALSE),"")</f>
        <v/>
      </c>
      <c r="D19" s="222" t="str">
        <f>IFERROR(VLOOKUP($A19,メルマガ読み込み用!$A$2:$K$250,4,FALSE),"")</f>
        <v/>
      </c>
      <c r="E19" s="222" t="str">
        <f>IFERROR(VLOOKUP($A19,メルマガ読み込み用!$A$2:$K$250,5,FALSE),"")</f>
        <v/>
      </c>
      <c r="F19" s="222" t="str">
        <f>IFERROR(VLOOKUP($A19,メルマガ読み込み用!$A$2:$K$250,6,FALSE),"")</f>
        <v/>
      </c>
      <c r="G19" s="222" t="str">
        <f>IFERROR(VLOOKUP($A19,メルマガ読み込み用!$A$2:$L$250,12,FALSE),"")</f>
        <v/>
      </c>
      <c r="H19" s="221" t="str">
        <f>IFERROR(VLOOKUP($A19,メルマガ読み込み用!$A$2:$K$250,7,FALSE),"")</f>
        <v/>
      </c>
      <c r="I19" s="222" t="str">
        <f>IFERROR(VLOOKUP($A19,メルマガ読み込み用!$A$2:$K$250,8,FALSE),"")</f>
        <v/>
      </c>
      <c r="J19" s="223" t="str">
        <f>IFERROR(VLOOKUP($A19,メルマガ読み込み用!$A$2:$K$250,11,FALSE),"")</f>
        <v/>
      </c>
    </row>
    <row r="20" spans="1:10">
      <c r="A20" s="113">
        <v>18</v>
      </c>
      <c r="B20" s="222" t="str">
        <f>IFERROR(VLOOKUP($A20,メルマガ読み込み用!$A$2:$K$250,2,FALSE),"")</f>
        <v/>
      </c>
      <c r="C20" s="222" t="str">
        <f>IFERROR(VLOOKUP($A20,メルマガ読み込み用!$A$2:$K$250,3,FALSE),"")</f>
        <v/>
      </c>
      <c r="D20" s="222" t="str">
        <f>IFERROR(VLOOKUP($A20,メルマガ読み込み用!$A$2:$K$250,4,FALSE),"")</f>
        <v/>
      </c>
      <c r="E20" s="222" t="str">
        <f>IFERROR(VLOOKUP($A20,メルマガ読み込み用!$A$2:$K$250,5,FALSE),"")</f>
        <v/>
      </c>
      <c r="F20" s="222" t="str">
        <f>IFERROR(VLOOKUP($A20,メルマガ読み込み用!$A$2:$K$250,6,FALSE),"")</f>
        <v/>
      </c>
      <c r="G20" s="222" t="str">
        <f>IFERROR(VLOOKUP($A20,メルマガ読み込み用!$A$2:$L$250,12,FALSE),"")</f>
        <v/>
      </c>
      <c r="H20" s="221" t="str">
        <f>IFERROR(VLOOKUP($A20,メルマガ読み込み用!$A$2:$K$250,7,FALSE),"")</f>
        <v/>
      </c>
      <c r="I20" s="222" t="str">
        <f>IFERROR(VLOOKUP($A20,メルマガ読み込み用!$A$2:$K$250,8,FALSE),"")</f>
        <v/>
      </c>
      <c r="J20" s="223" t="str">
        <f>IFERROR(VLOOKUP($A20,メルマガ読み込み用!$A$2:$K$250,11,FALSE),"")</f>
        <v/>
      </c>
    </row>
    <row r="21" spans="1:10">
      <c r="A21" s="113">
        <v>19</v>
      </c>
      <c r="B21" s="222" t="str">
        <f>IFERROR(VLOOKUP($A21,メルマガ読み込み用!$A$2:$K$250,2,FALSE),"")</f>
        <v/>
      </c>
      <c r="C21" s="222" t="str">
        <f>IFERROR(VLOOKUP($A21,メルマガ読み込み用!$A$2:$K$250,3,FALSE),"")</f>
        <v/>
      </c>
      <c r="D21" s="222" t="str">
        <f>IFERROR(VLOOKUP($A21,メルマガ読み込み用!$A$2:$K$250,4,FALSE),"")</f>
        <v/>
      </c>
      <c r="E21" s="222" t="str">
        <f>IFERROR(VLOOKUP($A21,メルマガ読み込み用!$A$2:$K$250,5,FALSE),"")</f>
        <v/>
      </c>
      <c r="F21" s="222" t="str">
        <f>IFERROR(VLOOKUP($A21,メルマガ読み込み用!$A$2:$K$250,6,FALSE),"")</f>
        <v/>
      </c>
      <c r="G21" s="222" t="str">
        <f>IFERROR(VLOOKUP($A21,メルマガ読み込み用!$A$2:$L$250,12,FALSE),"")</f>
        <v/>
      </c>
      <c r="H21" s="221" t="str">
        <f>IFERROR(VLOOKUP($A21,メルマガ読み込み用!$A$2:$K$250,7,FALSE),"")</f>
        <v/>
      </c>
      <c r="I21" s="222" t="str">
        <f>IFERROR(VLOOKUP($A21,メルマガ読み込み用!$A$2:$K$250,8,FALSE),"")</f>
        <v/>
      </c>
      <c r="J21" s="223" t="str">
        <f>IFERROR(VLOOKUP($A21,メルマガ読み込み用!$A$2:$K$250,11,FALSE),"")</f>
        <v/>
      </c>
    </row>
    <row r="22" spans="1:10">
      <c r="A22" s="113">
        <v>20</v>
      </c>
      <c r="B22" s="222" t="str">
        <f>IFERROR(VLOOKUP($A22,メルマガ読み込み用!$A$2:$K$250,2,FALSE),"")</f>
        <v/>
      </c>
      <c r="C22" s="222" t="str">
        <f>IFERROR(VLOOKUP($A22,メルマガ読み込み用!$A$2:$K$250,3,FALSE),"")</f>
        <v/>
      </c>
      <c r="D22" s="222" t="str">
        <f>IFERROR(VLOOKUP($A22,メルマガ読み込み用!$A$2:$K$250,4,FALSE),"")</f>
        <v/>
      </c>
      <c r="E22" s="222" t="str">
        <f>IFERROR(VLOOKUP($A22,メルマガ読み込み用!$A$2:$K$250,5,FALSE),"")</f>
        <v/>
      </c>
      <c r="F22" s="222" t="str">
        <f>IFERROR(VLOOKUP($A22,メルマガ読み込み用!$A$2:$K$250,6,FALSE),"")</f>
        <v/>
      </c>
      <c r="G22" s="222" t="str">
        <f>IFERROR(VLOOKUP($A22,メルマガ読み込み用!$A$2:$L$250,12,FALSE),"")</f>
        <v/>
      </c>
      <c r="H22" s="221" t="str">
        <f>IFERROR(VLOOKUP($A22,メルマガ読み込み用!$A$2:$K$250,7,FALSE),"")</f>
        <v/>
      </c>
      <c r="I22" s="222" t="str">
        <f>IFERROR(VLOOKUP($A22,メルマガ読み込み用!$A$2:$K$250,8,FALSE),"")</f>
        <v/>
      </c>
      <c r="J22" s="223" t="str">
        <f>IFERROR(VLOOKUP($A22,メルマガ読み込み用!$A$2:$K$250,11,FALSE),"")</f>
        <v/>
      </c>
    </row>
    <row r="23" spans="1:10">
      <c r="A23" s="113">
        <v>21</v>
      </c>
      <c r="B23" s="222" t="str">
        <f>IFERROR(VLOOKUP($A23,メルマガ読み込み用!$A$2:$K$250,2,FALSE),"")</f>
        <v/>
      </c>
      <c r="C23" s="222" t="str">
        <f>IFERROR(VLOOKUP($A23,メルマガ読み込み用!$A$2:$K$250,3,FALSE),"")</f>
        <v/>
      </c>
      <c r="D23" s="222" t="str">
        <f>IFERROR(VLOOKUP($A23,メルマガ読み込み用!$A$2:$K$250,4,FALSE),"")</f>
        <v/>
      </c>
      <c r="E23" s="222" t="str">
        <f>IFERROR(VLOOKUP($A23,メルマガ読み込み用!$A$2:$K$250,5,FALSE),"")</f>
        <v/>
      </c>
      <c r="F23" s="222" t="str">
        <f>IFERROR(VLOOKUP($A23,メルマガ読み込み用!$A$2:$K$250,6,FALSE),"")</f>
        <v/>
      </c>
      <c r="G23" s="222" t="str">
        <f>IFERROR(VLOOKUP($A23,メルマガ読み込み用!$A$2:$L$250,12,FALSE),"")</f>
        <v/>
      </c>
      <c r="H23" s="221" t="str">
        <f>IFERROR(VLOOKUP($A23,メルマガ読み込み用!$A$2:$K$250,7,FALSE),"")</f>
        <v/>
      </c>
      <c r="I23" s="222" t="str">
        <f>IFERROR(VLOOKUP($A23,メルマガ読み込み用!$A$2:$K$250,8,FALSE),"")</f>
        <v/>
      </c>
      <c r="J23" s="223" t="str">
        <f>IFERROR(VLOOKUP($A23,メルマガ読み込み用!$A$2:$K$250,11,FALSE),"")</f>
        <v/>
      </c>
    </row>
    <row r="24" spans="1:10">
      <c r="A24" s="113">
        <v>22</v>
      </c>
      <c r="B24" s="222" t="str">
        <f>IFERROR(VLOOKUP($A24,メルマガ読み込み用!$A$2:$K$250,2,FALSE),"")</f>
        <v/>
      </c>
      <c r="C24" s="222" t="str">
        <f>IFERROR(VLOOKUP($A24,メルマガ読み込み用!$A$2:$K$250,3,FALSE),"")</f>
        <v/>
      </c>
      <c r="D24" s="222" t="str">
        <f>IFERROR(VLOOKUP($A24,メルマガ読み込み用!$A$2:$K$250,4,FALSE),"")</f>
        <v/>
      </c>
      <c r="E24" s="222" t="str">
        <f>IFERROR(VLOOKUP($A24,メルマガ読み込み用!$A$2:$K$250,5,FALSE),"")</f>
        <v/>
      </c>
      <c r="F24" s="222" t="str">
        <f>IFERROR(VLOOKUP($A24,メルマガ読み込み用!$A$2:$K$250,6,FALSE),"")</f>
        <v/>
      </c>
      <c r="G24" s="222" t="str">
        <f>IFERROR(VLOOKUP($A24,メルマガ読み込み用!$A$2:$L$250,12,FALSE),"")</f>
        <v/>
      </c>
      <c r="H24" s="221" t="str">
        <f>IFERROR(VLOOKUP($A24,メルマガ読み込み用!$A$2:$K$250,7,FALSE),"")</f>
        <v/>
      </c>
      <c r="I24" s="222" t="str">
        <f>IFERROR(VLOOKUP($A24,メルマガ読み込み用!$A$2:$K$250,8,FALSE),"")</f>
        <v/>
      </c>
      <c r="J24" s="223" t="str">
        <f>IFERROR(VLOOKUP($A24,メルマガ読み込み用!$A$2:$K$250,11,FALSE),"")</f>
        <v/>
      </c>
    </row>
    <row r="25" spans="1:10">
      <c r="A25" s="113">
        <v>23</v>
      </c>
      <c r="B25" s="222" t="str">
        <f>IFERROR(VLOOKUP($A25,メルマガ読み込み用!$A$2:$K$250,2,FALSE),"")</f>
        <v/>
      </c>
      <c r="C25" s="222" t="str">
        <f>IFERROR(VLOOKUP($A25,メルマガ読み込み用!$A$2:$K$250,3,FALSE),"")</f>
        <v/>
      </c>
      <c r="D25" s="222" t="str">
        <f>IFERROR(VLOOKUP($A25,メルマガ読み込み用!$A$2:$K$250,4,FALSE),"")</f>
        <v/>
      </c>
      <c r="E25" s="222" t="str">
        <f>IFERROR(VLOOKUP($A25,メルマガ読み込み用!$A$2:$K$250,5,FALSE),"")</f>
        <v/>
      </c>
      <c r="F25" s="222" t="str">
        <f>IFERROR(VLOOKUP($A25,メルマガ読み込み用!$A$2:$K$250,6,FALSE),"")</f>
        <v/>
      </c>
      <c r="G25" s="222" t="str">
        <f>IFERROR(VLOOKUP($A25,メルマガ読み込み用!$A$2:$L$250,12,FALSE),"")</f>
        <v/>
      </c>
      <c r="H25" s="221" t="str">
        <f>IFERROR(VLOOKUP($A25,メルマガ読み込み用!$A$2:$K$250,7,FALSE),"")</f>
        <v/>
      </c>
      <c r="I25" s="222" t="str">
        <f>IFERROR(VLOOKUP($A25,メルマガ読み込み用!$A$2:$K$250,8,FALSE),"")</f>
        <v/>
      </c>
      <c r="J25" s="223" t="str">
        <f>IFERROR(VLOOKUP($A25,メルマガ読み込み用!$A$2:$K$250,11,FALSE),"")</f>
        <v/>
      </c>
    </row>
    <row r="26" spans="1:10">
      <c r="A26" s="113">
        <v>24</v>
      </c>
      <c r="B26" s="222" t="str">
        <f>IFERROR(VLOOKUP($A26,メルマガ読み込み用!$A$2:$K$250,2,FALSE),"")</f>
        <v/>
      </c>
      <c r="C26" s="222" t="str">
        <f>IFERROR(VLOOKUP($A26,メルマガ読み込み用!$A$2:$K$250,3,FALSE),"")</f>
        <v/>
      </c>
      <c r="D26" s="222" t="str">
        <f>IFERROR(VLOOKUP($A26,メルマガ読み込み用!$A$2:$K$250,4,FALSE),"")</f>
        <v/>
      </c>
      <c r="E26" s="222" t="str">
        <f>IFERROR(VLOOKUP($A26,メルマガ読み込み用!$A$2:$K$250,5,FALSE),"")</f>
        <v/>
      </c>
      <c r="F26" s="222" t="str">
        <f>IFERROR(VLOOKUP($A26,メルマガ読み込み用!$A$2:$K$250,6,FALSE),"")</f>
        <v/>
      </c>
      <c r="G26" s="222" t="str">
        <f>IFERROR(VLOOKUP($A26,メルマガ読み込み用!$A$2:$L$250,12,FALSE),"")</f>
        <v/>
      </c>
      <c r="H26" s="221" t="str">
        <f>IFERROR(VLOOKUP($A26,メルマガ読み込み用!$A$2:$K$250,7,FALSE),"")</f>
        <v/>
      </c>
      <c r="I26" s="222" t="str">
        <f>IFERROR(VLOOKUP($A26,メルマガ読み込み用!$A$2:$K$250,8,FALSE),"")</f>
        <v/>
      </c>
      <c r="J26" s="223" t="str">
        <f>IFERROR(VLOOKUP($A26,メルマガ読み込み用!$A$2:$K$250,11,FALSE),"")</f>
        <v/>
      </c>
    </row>
    <row r="27" spans="1:10">
      <c r="A27" s="113">
        <v>25</v>
      </c>
      <c r="B27" s="222" t="str">
        <f>IFERROR(VLOOKUP($A27,メルマガ読み込み用!$A$2:$K$250,2,FALSE),"")</f>
        <v/>
      </c>
      <c r="C27" s="222" t="str">
        <f>IFERROR(VLOOKUP($A27,メルマガ読み込み用!$A$2:$K$250,3,FALSE),"")</f>
        <v/>
      </c>
      <c r="D27" s="222" t="str">
        <f>IFERROR(VLOOKUP($A27,メルマガ読み込み用!$A$2:$K$250,4,FALSE),"")</f>
        <v/>
      </c>
      <c r="E27" s="222" t="str">
        <f>IFERROR(VLOOKUP($A27,メルマガ読み込み用!$A$2:$K$250,5,FALSE),"")</f>
        <v/>
      </c>
      <c r="F27" s="222" t="str">
        <f>IFERROR(VLOOKUP($A27,メルマガ読み込み用!$A$2:$K$250,6,FALSE),"")</f>
        <v/>
      </c>
      <c r="G27" s="222" t="str">
        <f>IFERROR(VLOOKUP($A27,メルマガ読み込み用!$A$2:$L$250,12,FALSE),"")</f>
        <v/>
      </c>
      <c r="H27" s="221" t="str">
        <f>IFERROR(VLOOKUP($A27,メルマガ読み込み用!$A$2:$K$250,7,FALSE),"")</f>
        <v/>
      </c>
      <c r="I27" s="222" t="str">
        <f>IFERROR(VLOOKUP($A27,メルマガ読み込み用!$A$2:$K$250,8,FALSE),"")</f>
        <v/>
      </c>
      <c r="J27" s="223" t="str">
        <f>IFERROR(VLOOKUP($A27,メルマガ読み込み用!$A$2:$K$250,11,FALSE),"")</f>
        <v/>
      </c>
    </row>
    <row r="28" spans="1:10">
      <c r="A28" s="113">
        <v>26</v>
      </c>
      <c r="B28" s="222" t="str">
        <f>IFERROR(VLOOKUP($A28,メルマガ読み込み用!$A$2:$K$250,2,FALSE),"")</f>
        <v/>
      </c>
      <c r="C28" s="222" t="str">
        <f>IFERROR(VLOOKUP($A28,メルマガ読み込み用!$A$2:$K$250,3,FALSE),"")</f>
        <v/>
      </c>
      <c r="D28" s="222" t="str">
        <f>IFERROR(VLOOKUP($A28,メルマガ読み込み用!$A$2:$K$250,4,FALSE),"")</f>
        <v/>
      </c>
      <c r="E28" s="222" t="str">
        <f>IFERROR(VLOOKUP($A28,メルマガ読み込み用!$A$2:$K$250,5,FALSE),"")</f>
        <v/>
      </c>
      <c r="F28" s="222" t="str">
        <f>IFERROR(VLOOKUP($A28,メルマガ読み込み用!$A$2:$K$250,6,FALSE),"")</f>
        <v/>
      </c>
      <c r="G28" s="222" t="str">
        <f>IFERROR(VLOOKUP($A28,メルマガ読み込み用!$A$2:$L$250,12,FALSE),"")</f>
        <v/>
      </c>
      <c r="H28" s="221" t="str">
        <f>IFERROR(VLOOKUP($A28,メルマガ読み込み用!$A$2:$K$250,7,FALSE),"")</f>
        <v/>
      </c>
      <c r="I28" s="222" t="str">
        <f>IFERROR(VLOOKUP($A28,メルマガ読み込み用!$A$2:$K$250,8,FALSE),"")</f>
        <v/>
      </c>
      <c r="J28" s="223" t="str">
        <f>IFERROR(VLOOKUP($A28,メルマガ読み込み用!$A$2:$K$250,11,FALSE),"")</f>
        <v/>
      </c>
    </row>
    <row r="29" spans="1:10">
      <c r="A29" s="113">
        <v>27</v>
      </c>
      <c r="B29" s="222" t="str">
        <f>IFERROR(VLOOKUP($A29,メルマガ読み込み用!$A$2:$K$250,2,FALSE),"")</f>
        <v/>
      </c>
      <c r="C29" s="222" t="str">
        <f>IFERROR(VLOOKUP($A29,メルマガ読み込み用!$A$2:$K$250,3,FALSE),"")</f>
        <v/>
      </c>
      <c r="D29" s="222" t="str">
        <f>IFERROR(VLOOKUP($A29,メルマガ読み込み用!$A$2:$K$250,4,FALSE),"")</f>
        <v/>
      </c>
      <c r="E29" s="222" t="str">
        <f>IFERROR(VLOOKUP($A29,メルマガ読み込み用!$A$2:$K$250,5,FALSE),"")</f>
        <v/>
      </c>
      <c r="F29" s="222" t="str">
        <f>IFERROR(VLOOKUP($A29,メルマガ読み込み用!$A$2:$K$250,6,FALSE),"")</f>
        <v/>
      </c>
      <c r="G29" s="222" t="str">
        <f>IFERROR(VLOOKUP($A29,メルマガ読み込み用!$A$2:$L$250,12,FALSE),"")</f>
        <v/>
      </c>
      <c r="H29" s="221" t="str">
        <f>IFERROR(VLOOKUP($A29,メルマガ読み込み用!$A$2:$K$250,7,FALSE),"")</f>
        <v/>
      </c>
      <c r="I29" s="222" t="str">
        <f>IFERROR(VLOOKUP($A29,メルマガ読み込み用!$A$2:$K$250,8,FALSE),"")</f>
        <v/>
      </c>
      <c r="J29" s="223" t="str">
        <f>IFERROR(VLOOKUP($A29,メルマガ読み込み用!$A$2:$K$250,11,FALSE),"")</f>
        <v/>
      </c>
    </row>
    <row r="30" spans="1:10">
      <c r="A30" s="113">
        <v>28</v>
      </c>
      <c r="B30" s="222" t="str">
        <f>IFERROR(VLOOKUP($A30,メルマガ読み込み用!$A$2:$K$250,2,FALSE),"")</f>
        <v/>
      </c>
      <c r="C30" s="222" t="str">
        <f>IFERROR(VLOOKUP($A30,メルマガ読み込み用!$A$2:$K$250,3,FALSE),"")</f>
        <v/>
      </c>
      <c r="D30" s="222" t="str">
        <f>IFERROR(VLOOKUP($A30,メルマガ読み込み用!$A$2:$K$250,4,FALSE),"")</f>
        <v/>
      </c>
      <c r="E30" s="222" t="str">
        <f>IFERROR(VLOOKUP($A30,メルマガ読み込み用!$A$2:$K$250,5,FALSE),"")</f>
        <v/>
      </c>
      <c r="F30" s="222" t="str">
        <f>IFERROR(VLOOKUP($A30,メルマガ読み込み用!$A$2:$K$250,6,FALSE),"")</f>
        <v/>
      </c>
      <c r="G30" s="222" t="str">
        <f>IFERROR(VLOOKUP($A30,メルマガ読み込み用!$A$2:$L$250,12,FALSE),"")</f>
        <v/>
      </c>
      <c r="H30" s="221" t="str">
        <f>IFERROR(VLOOKUP($A30,メルマガ読み込み用!$A$2:$K$250,7,FALSE),"")</f>
        <v/>
      </c>
      <c r="I30" s="222" t="str">
        <f>IFERROR(VLOOKUP($A30,メルマガ読み込み用!$A$2:$K$250,8,FALSE),"")</f>
        <v/>
      </c>
      <c r="J30" s="223" t="str">
        <f>IFERROR(VLOOKUP($A30,メルマガ読み込み用!$A$2:$K$250,11,FALSE),"")</f>
        <v/>
      </c>
    </row>
    <row r="31" spans="1:10">
      <c r="A31" s="113">
        <v>29</v>
      </c>
      <c r="B31" s="222" t="str">
        <f>IFERROR(VLOOKUP($A31,メルマガ読み込み用!$A$2:$K$250,2,FALSE),"")</f>
        <v/>
      </c>
      <c r="C31" s="222" t="str">
        <f>IFERROR(VLOOKUP($A31,メルマガ読み込み用!$A$2:$K$250,3,FALSE),"")</f>
        <v/>
      </c>
      <c r="D31" s="222" t="str">
        <f>IFERROR(VLOOKUP($A31,メルマガ読み込み用!$A$2:$K$250,4,FALSE),"")</f>
        <v/>
      </c>
      <c r="E31" s="222" t="str">
        <f>IFERROR(VLOOKUP($A31,メルマガ読み込み用!$A$2:$K$250,5,FALSE),"")</f>
        <v/>
      </c>
      <c r="F31" s="222" t="str">
        <f>IFERROR(VLOOKUP($A31,メルマガ読み込み用!$A$2:$K$250,6,FALSE),"")</f>
        <v/>
      </c>
      <c r="G31" s="222" t="str">
        <f>IFERROR(VLOOKUP($A31,メルマガ読み込み用!$A$2:$L$250,12,FALSE),"")</f>
        <v/>
      </c>
      <c r="H31" s="221" t="str">
        <f>IFERROR(VLOOKUP($A31,メルマガ読み込み用!$A$2:$K$250,7,FALSE),"")</f>
        <v/>
      </c>
      <c r="I31" s="222" t="str">
        <f>IFERROR(VLOOKUP($A31,メルマガ読み込み用!$A$2:$K$250,8,FALSE),"")</f>
        <v/>
      </c>
      <c r="J31" s="223" t="str">
        <f>IFERROR(VLOOKUP($A31,メルマガ読み込み用!$A$2:$K$250,11,FALSE),"")</f>
        <v/>
      </c>
    </row>
    <row r="32" spans="1:10">
      <c r="A32" s="113">
        <v>30</v>
      </c>
      <c r="B32" s="222" t="str">
        <f>IFERROR(VLOOKUP($A32,メルマガ読み込み用!$A$2:$K$250,2,FALSE),"")</f>
        <v/>
      </c>
      <c r="C32" s="222" t="str">
        <f>IFERROR(VLOOKUP($A32,メルマガ読み込み用!$A$2:$K$250,3,FALSE),"")</f>
        <v/>
      </c>
      <c r="D32" s="222" t="str">
        <f>IFERROR(VLOOKUP($A32,メルマガ読み込み用!$A$2:$K$250,4,FALSE),"")</f>
        <v/>
      </c>
      <c r="E32" s="222" t="str">
        <f>IFERROR(VLOOKUP($A32,メルマガ読み込み用!$A$2:$K$250,5,FALSE),"")</f>
        <v/>
      </c>
      <c r="F32" s="222" t="str">
        <f>IFERROR(VLOOKUP($A32,メルマガ読み込み用!$A$2:$K$250,6,FALSE),"")</f>
        <v/>
      </c>
      <c r="G32" s="222" t="str">
        <f>IFERROR(VLOOKUP($A32,メルマガ読み込み用!$A$2:$L$250,12,FALSE),"")</f>
        <v/>
      </c>
      <c r="H32" s="221" t="str">
        <f>IFERROR(VLOOKUP($A32,メルマガ読み込み用!$A$2:$K$250,7,FALSE),"")</f>
        <v/>
      </c>
      <c r="I32" s="222" t="str">
        <f>IFERROR(VLOOKUP($A32,メルマガ読み込み用!$A$2:$K$250,8,FALSE),"")</f>
        <v/>
      </c>
      <c r="J32" s="223" t="str">
        <f>IFERROR(VLOOKUP($A32,メルマガ読み込み用!$A$2:$K$250,11,FALSE),"")</f>
        <v/>
      </c>
    </row>
    <row r="33" spans="1:10">
      <c r="A33" s="113">
        <v>31</v>
      </c>
      <c r="B33" s="222" t="str">
        <f>IFERROR(VLOOKUP($A33,メルマガ読み込み用!$A$2:$K$250,2,FALSE),"")</f>
        <v/>
      </c>
      <c r="C33" s="222" t="str">
        <f>IFERROR(VLOOKUP($A33,メルマガ読み込み用!$A$2:$K$250,3,FALSE),"")</f>
        <v/>
      </c>
      <c r="D33" s="222" t="str">
        <f>IFERROR(VLOOKUP($A33,メルマガ読み込み用!$A$2:$K$250,4,FALSE),"")</f>
        <v/>
      </c>
      <c r="E33" s="222" t="str">
        <f>IFERROR(VLOOKUP($A33,メルマガ読み込み用!$A$2:$K$250,5,FALSE),"")</f>
        <v/>
      </c>
      <c r="F33" s="222" t="str">
        <f>IFERROR(VLOOKUP($A33,メルマガ読み込み用!$A$2:$K$250,6,FALSE),"")</f>
        <v/>
      </c>
      <c r="G33" s="222" t="str">
        <f>IFERROR(VLOOKUP($A33,メルマガ読み込み用!$A$2:$L$250,12,FALSE),"")</f>
        <v/>
      </c>
      <c r="H33" s="221" t="str">
        <f>IFERROR(VLOOKUP($A33,メルマガ読み込み用!$A$2:$K$250,7,FALSE),"")</f>
        <v/>
      </c>
      <c r="I33" s="222" t="str">
        <f>IFERROR(VLOOKUP($A33,メルマガ読み込み用!$A$2:$K$250,8,FALSE),"")</f>
        <v/>
      </c>
      <c r="J33" s="223" t="str">
        <f>IFERROR(VLOOKUP($A33,メルマガ読み込み用!$A$2:$K$250,11,FALSE),"")</f>
        <v/>
      </c>
    </row>
    <row r="34" spans="1:10">
      <c r="A34" s="113">
        <v>32</v>
      </c>
      <c r="B34" s="222" t="str">
        <f>IFERROR(VLOOKUP($A34,メルマガ読み込み用!$A$2:$K$250,2,FALSE),"")</f>
        <v/>
      </c>
      <c r="C34" s="222" t="str">
        <f>IFERROR(VLOOKUP($A34,メルマガ読み込み用!$A$2:$K$250,3,FALSE),"")</f>
        <v/>
      </c>
      <c r="D34" s="222" t="str">
        <f>IFERROR(VLOOKUP($A34,メルマガ読み込み用!$A$2:$K$250,4,FALSE),"")</f>
        <v/>
      </c>
      <c r="E34" s="222" t="str">
        <f>IFERROR(VLOOKUP($A34,メルマガ読み込み用!$A$2:$K$250,5,FALSE),"")</f>
        <v/>
      </c>
      <c r="F34" s="222" t="str">
        <f>IFERROR(VLOOKUP($A34,メルマガ読み込み用!$A$2:$K$250,6,FALSE),"")</f>
        <v/>
      </c>
      <c r="G34" s="222" t="str">
        <f>IFERROR(VLOOKUP($A34,メルマガ読み込み用!$A$2:$L$250,12,FALSE),"")</f>
        <v/>
      </c>
      <c r="H34" s="221" t="str">
        <f>IFERROR(VLOOKUP($A34,メルマガ読み込み用!$A$2:$K$250,7,FALSE),"")</f>
        <v/>
      </c>
      <c r="I34" s="222" t="str">
        <f>IFERROR(VLOOKUP($A34,メルマガ読み込み用!$A$2:$K$250,8,FALSE),"")</f>
        <v/>
      </c>
      <c r="J34" s="223" t="str">
        <f>IFERROR(VLOOKUP($A34,メルマガ読み込み用!$A$2:$K$250,11,FALSE),"")</f>
        <v/>
      </c>
    </row>
    <row r="35" spans="1:10">
      <c r="A35" s="113">
        <v>33</v>
      </c>
      <c r="B35" s="222" t="str">
        <f>IFERROR(VLOOKUP($A35,メルマガ読み込み用!$A$2:$K$250,2,FALSE),"")</f>
        <v/>
      </c>
      <c r="C35" s="222" t="str">
        <f>IFERROR(VLOOKUP($A35,メルマガ読み込み用!$A$2:$K$250,3,FALSE),"")</f>
        <v/>
      </c>
      <c r="D35" s="222" t="str">
        <f>IFERROR(VLOOKUP($A35,メルマガ読み込み用!$A$2:$K$250,4,FALSE),"")</f>
        <v/>
      </c>
      <c r="E35" s="222" t="str">
        <f>IFERROR(VLOOKUP($A35,メルマガ読み込み用!$A$2:$K$250,5,FALSE),"")</f>
        <v/>
      </c>
      <c r="F35" s="222" t="str">
        <f>IFERROR(VLOOKUP($A35,メルマガ読み込み用!$A$2:$K$250,6,FALSE),"")</f>
        <v/>
      </c>
      <c r="G35" s="222" t="str">
        <f>IFERROR(VLOOKUP($A35,メルマガ読み込み用!$A$2:$L$250,12,FALSE),"")</f>
        <v/>
      </c>
      <c r="H35" s="221" t="str">
        <f>IFERROR(VLOOKUP($A35,メルマガ読み込み用!$A$2:$K$250,7,FALSE),"")</f>
        <v/>
      </c>
      <c r="I35" s="222" t="str">
        <f>IFERROR(VLOOKUP($A35,メルマガ読み込み用!$A$2:$K$250,8,FALSE),"")</f>
        <v/>
      </c>
      <c r="J35" s="223" t="str">
        <f>IFERROR(VLOOKUP($A35,メルマガ読み込み用!$A$2:$K$250,11,FALSE),"")</f>
        <v/>
      </c>
    </row>
    <row r="36" spans="1:10">
      <c r="A36" s="113">
        <v>34</v>
      </c>
      <c r="B36" s="222" t="str">
        <f>IFERROR(VLOOKUP($A36,メルマガ読み込み用!$A$2:$K$250,2,FALSE),"")</f>
        <v/>
      </c>
      <c r="C36" s="222" t="str">
        <f>IFERROR(VLOOKUP($A36,メルマガ読み込み用!$A$2:$K$250,3,FALSE),"")</f>
        <v/>
      </c>
      <c r="D36" s="222" t="str">
        <f>IFERROR(VLOOKUP($A36,メルマガ読み込み用!$A$2:$K$250,4,FALSE),"")</f>
        <v/>
      </c>
      <c r="E36" s="222" t="str">
        <f>IFERROR(VLOOKUP($A36,メルマガ読み込み用!$A$2:$K$250,5,FALSE),"")</f>
        <v/>
      </c>
      <c r="F36" s="222" t="str">
        <f>IFERROR(VLOOKUP($A36,メルマガ読み込み用!$A$2:$K$250,6,FALSE),"")</f>
        <v/>
      </c>
      <c r="G36" s="222" t="str">
        <f>IFERROR(VLOOKUP($A36,メルマガ読み込み用!$A$2:$L$250,12,FALSE),"")</f>
        <v/>
      </c>
      <c r="H36" s="221" t="str">
        <f>IFERROR(VLOOKUP($A36,メルマガ読み込み用!$A$2:$K$250,7,FALSE),"")</f>
        <v/>
      </c>
      <c r="I36" s="222" t="str">
        <f>IFERROR(VLOOKUP($A36,メルマガ読み込み用!$A$2:$K$250,8,FALSE),"")</f>
        <v/>
      </c>
      <c r="J36" s="223" t="str">
        <f>IFERROR(VLOOKUP($A36,メルマガ読み込み用!$A$2:$K$250,11,FALSE),"")</f>
        <v/>
      </c>
    </row>
    <row r="37" spans="1:10">
      <c r="A37" s="113">
        <v>35</v>
      </c>
      <c r="B37" s="222" t="str">
        <f>IFERROR(VLOOKUP($A37,メルマガ読み込み用!$A$2:$K$250,2,FALSE),"")</f>
        <v/>
      </c>
      <c r="C37" s="222" t="str">
        <f>IFERROR(VLOOKUP($A37,メルマガ読み込み用!$A$2:$K$250,3,FALSE),"")</f>
        <v/>
      </c>
      <c r="D37" s="222" t="str">
        <f>IFERROR(VLOOKUP($A37,メルマガ読み込み用!$A$2:$K$250,4,FALSE),"")</f>
        <v/>
      </c>
      <c r="E37" s="222" t="str">
        <f>IFERROR(VLOOKUP($A37,メルマガ読み込み用!$A$2:$K$250,5,FALSE),"")</f>
        <v/>
      </c>
      <c r="F37" s="222" t="str">
        <f>IFERROR(VLOOKUP($A37,メルマガ読み込み用!$A$2:$K$250,6,FALSE),"")</f>
        <v/>
      </c>
      <c r="G37" s="222" t="str">
        <f>IFERROR(VLOOKUP($A37,メルマガ読み込み用!$A$2:$L$250,12,FALSE),"")</f>
        <v/>
      </c>
      <c r="H37" s="221" t="str">
        <f>IFERROR(VLOOKUP($A37,メルマガ読み込み用!$A$2:$K$250,7,FALSE),"")</f>
        <v/>
      </c>
      <c r="I37" s="222" t="str">
        <f>IFERROR(VLOOKUP($A37,メルマガ読み込み用!$A$2:$K$250,8,FALSE),"")</f>
        <v/>
      </c>
      <c r="J37" s="223" t="str">
        <f>IFERROR(VLOOKUP($A37,メルマガ読み込み用!$A$2:$K$250,11,FALSE),"")</f>
        <v/>
      </c>
    </row>
    <row r="38" spans="1:10">
      <c r="A38" s="113">
        <v>36</v>
      </c>
      <c r="B38" s="222" t="str">
        <f>IFERROR(VLOOKUP($A38,メルマガ読み込み用!$A$2:$K$250,2,FALSE),"")</f>
        <v/>
      </c>
      <c r="C38" s="222" t="str">
        <f>IFERROR(VLOOKUP($A38,メルマガ読み込み用!$A$2:$K$250,3,FALSE),"")</f>
        <v/>
      </c>
      <c r="D38" s="222" t="str">
        <f>IFERROR(VLOOKUP($A38,メルマガ読み込み用!$A$2:$K$250,4,FALSE),"")</f>
        <v/>
      </c>
      <c r="E38" s="222" t="str">
        <f>IFERROR(VLOOKUP($A38,メルマガ読み込み用!$A$2:$K$250,5,FALSE),"")</f>
        <v/>
      </c>
      <c r="F38" s="222" t="str">
        <f>IFERROR(VLOOKUP($A38,メルマガ読み込み用!$A$2:$K$250,6,FALSE),"")</f>
        <v/>
      </c>
      <c r="G38" s="222" t="str">
        <f>IFERROR(VLOOKUP($A38,メルマガ読み込み用!$A$2:$L$250,12,FALSE),"")</f>
        <v/>
      </c>
      <c r="H38" s="221" t="str">
        <f>IFERROR(VLOOKUP($A38,メルマガ読み込み用!$A$2:$K$250,7,FALSE),"")</f>
        <v/>
      </c>
      <c r="I38" s="222" t="str">
        <f>IFERROR(VLOOKUP($A38,メルマガ読み込み用!$A$2:$K$250,8,FALSE),"")</f>
        <v/>
      </c>
      <c r="J38" s="223" t="str">
        <f>IFERROR(VLOOKUP($A38,メルマガ読み込み用!$A$2:$K$250,11,FALSE),"")</f>
        <v/>
      </c>
    </row>
    <row r="39" spans="1:10">
      <c r="A39" s="113">
        <v>37</v>
      </c>
      <c r="B39" s="222" t="str">
        <f>IFERROR(VLOOKUP($A39,メルマガ読み込み用!$A$2:$K$250,2,FALSE),"")</f>
        <v/>
      </c>
      <c r="C39" s="222" t="str">
        <f>IFERROR(VLOOKUP($A39,メルマガ読み込み用!$A$2:$K$250,3,FALSE),"")</f>
        <v/>
      </c>
      <c r="D39" s="222" t="str">
        <f>IFERROR(VLOOKUP($A39,メルマガ読み込み用!$A$2:$K$250,4,FALSE),"")</f>
        <v/>
      </c>
      <c r="E39" s="222" t="str">
        <f>IFERROR(VLOOKUP($A39,メルマガ読み込み用!$A$2:$K$250,5,FALSE),"")</f>
        <v/>
      </c>
      <c r="F39" s="222" t="str">
        <f>IFERROR(VLOOKUP($A39,メルマガ読み込み用!$A$2:$K$250,6,FALSE),"")</f>
        <v/>
      </c>
      <c r="G39" s="222" t="str">
        <f>IFERROR(VLOOKUP($A39,メルマガ読み込み用!$A$2:$L$250,12,FALSE),"")</f>
        <v/>
      </c>
      <c r="H39" s="221" t="str">
        <f>IFERROR(VLOOKUP($A39,メルマガ読み込み用!$A$2:$K$250,7,FALSE),"")</f>
        <v/>
      </c>
      <c r="I39" s="222" t="str">
        <f>IFERROR(VLOOKUP($A39,メルマガ読み込み用!$A$2:$K$250,8,FALSE),"")</f>
        <v/>
      </c>
      <c r="J39" s="223" t="str">
        <f>IFERROR(VLOOKUP($A39,メルマガ読み込み用!$A$2:$K$250,11,FALSE),"")</f>
        <v/>
      </c>
    </row>
    <row r="40" spans="1:10">
      <c r="A40" s="113">
        <v>38</v>
      </c>
      <c r="B40" s="222" t="str">
        <f>IFERROR(VLOOKUP($A40,メルマガ読み込み用!$A$2:$K$250,2,FALSE),"")</f>
        <v/>
      </c>
      <c r="C40" s="222" t="str">
        <f>IFERROR(VLOOKUP($A40,メルマガ読み込み用!$A$2:$K$250,3,FALSE),"")</f>
        <v/>
      </c>
      <c r="D40" s="222" t="str">
        <f>IFERROR(VLOOKUP($A40,メルマガ読み込み用!$A$2:$K$250,4,FALSE),"")</f>
        <v/>
      </c>
      <c r="E40" s="222" t="str">
        <f>IFERROR(VLOOKUP($A40,メルマガ読み込み用!$A$2:$K$250,5,FALSE),"")</f>
        <v/>
      </c>
      <c r="F40" s="222" t="str">
        <f>IFERROR(VLOOKUP($A40,メルマガ読み込み用!$A$2:$K$250,6,FALSE),"")</f>
        <v/>
      </c>
      <c r="G40" s="222" t="str">
        <f>IFERROR(VLOOKUP($A40,メルマガ読み込み用!$A$2:$L$250,12,FALSE),"")</f>
        <v/>
      </c>
      <c r="H40" s="221" t="str">
        <f>IFERROR(VLOOKUP($A40,メルマガ読み込み用!$A$2:$K$250,7,FALSE),"")</f>
        <v/>
      </c>
      <c r="I40" s="222" t="str">
        <f>IFERROR(VLOOKUP($A40,メルマガ読み込み用!$A$2:$K$250,8,FALSE),"")</f>
        <v/>
      </c>
      <c r="J40" s="223" t="str">
        <f>IFERROR(VLOOKUP($A40,メルマガ読み込み用!$A$2:$K$250,11,FALSE),"")</f>
        <v/>
      </c>
    </row>
    <row r="41" spans="1:10">
      <c r="A41" s="113">
        <v>39</v>
      </c>
      <c r="B41" s="222" t="str">
        <f>IFERROR(VLOOKUP($A41,メルマガ読み込み用!$A$2:$K$250,2,FALSE),"")</f>
        <v/>
      </c>
      <c r="C41" s="222" t="str">
        <f>IFERROR(VLOOKUP($A41,メルマガ読み込み用!$A$2:$K$250,3,FALSE),"")</f>
        <v/>
      </c>
      <c r="D41" s="222" t="str">
        <f>IFERROR(VLOOKUP($A41,メルマガ読み込み用!$A$2:$K$250,4,FALSE),"")</f>
        <v/>
      </c>
      <c r="E41" s="222" t="str">
        <f>IFERROR(VLOOKUP($A41,メルマガ読み込み用!$A$2:$K$250,5,FALSE),"")</f>
        <v/>
      </c>
      <c r="F41" s="222" t="str">
        <f>IFERROR(VLOOKUP($A41,メルマガ読み込み用!$A$2:$K$250,6,FALSE),"")</f>
        <v/>
      </c>
      <c r="G41" s="222" t="str">
        <f>IFERROR(VLOOKUP($A41,メルマガ読み込み用!$A$2:$L$250,12,FALSE),"")</f>
        <v/>
      </c>
      <c r="H41" s="221" t="str">
        <f>IFERROR(VLOOKUP($A41,メルマガ読み込み用!$A$2:$K$250,7,FALSE),"")</f>
        <v/>
      </c>
      <c r="I41" s="222" t="str">
        <f>IFERROR(VLOOKUP($A41,メルマガ読み込み用!$A$2:$K$250,8,FALSE),"")</f>
        <v/>
      </c>
      <c r="J41" s="223" t="str">
        <f>IFERROR(VLOOKUP($A41,メルマガ読み込み用!$A$2:$K$250,11,FALSE),"")</f>
        <v/>
      </c>
    </row>
    <row r="42" spans="1:10">
      <c r="A42" s="113">
        <v>40</v>
      </c>
      <c r="B42" s="222" t="str">
        <f>IFERROR(VLOOKUP($A42,メルマガ読み込み用!$A$2:$K$250,2,FALSE),"")</f>
        <v/>
      </c>
      <c r="C42" s="222" t="str">
        <f>IFERROR(VLOOKUP($A42,メルマガ読み込み用!$A$2:$K$250,3,FALSE),"")</f>
        <v/>
      </c>
      <c r="D42" s="222" t="str">
        <f>IFERROR(VLOOKUP($A42,メルマガ読み込み用!$A$2:$K$250,4,FALSE),"")</f>
        <v/>
      </c>
      <c r="E42" s="222" t="str">
        <f>IFERROR(VLOOKUP($A42,メルマガ読み込み用!$A$2:$K$250,5,FALSE),"")</f>
        <v/>
      </c>
      <c r="F42" s="222" t="str">
        <f>IFERROR(VLOOKUP($A42,メルマガ読み込み用!$A$2:$K$250,6,FALSE),"")</f>
        <v/>
      </c>
      <c r="G42" s="222" t="str">
        <f>IFERROR(VLOOKUP($A42,メルマガ読み込み用!$A$2:$L$250,12,FALSE),"")</f>
        <v/>
      </c>
      <c r="H42" s="221" t="str">
        <f>IFERROR(VLOOKUP($A42,メルマガ読み込み用!$A$2:$K$250,7,FALSE),"")</f>
        <v/>
      </c>
      <c r="I42" s="222" t="str">
        <f>IFERROR(VLOOKUP($A42,メルマガ読み込み用!$A$2:$K$250,8,FALSE),"")</f>
        <v/>
      </c>
      <c r="J42" s="223" t="str">
        <f>IFERROR(VLOOKUP($A42,メルマガ読み込み用!$A$2:$K$250,11,FALSE),"")</f>
        <v/>
      </c>
    </row>
    <row r="43" spans="1:10">
      <c r="A43" s="113">
        <v>41</v>
      </c>
      <c r="B43" s="222" t="str">
        <f>IFERROR(VLOOKUP($A43,メルマガ読み込み用!$A$2:$K$250,2,FALSE),"")</f>
        <v/>
      </c>
      <c r="C43" s="222" t="str">
        <f>IFERROR(VLOOKUP($A43,メルマガ読み込み用!$A$2:$K$250,3,FALSE),"")</f>
        <v/>
      </c>
      <c r="D43" s="222" t="str">
        <f>IFERROR(VLOOKUP($A43,メルマガ読み込み用!$A$2:$K$250,4,FALSE),"")</f>
        <v/>
      </c>
      <c r="E43" s="222" t="str">
        <f>IFERROR(VLOOKUP($A43,メルマガ読み込み用!$A$2:$K$250,5,FALSE),"")</f>
        <v/>
      </c>
      <c r="F43" s="222" t="str">
        <f>IFERROR(VLOOKUP($A43,メルマガ読み込み用!$A$2:$K$250,6,FALSE),"")</f>
        <v/>
      </c>
      <c r="G43" s="222" t="str">
        <f>IFERROR(VLOOKUP($A43,メルマガ読み込み用!$A$2:$L$250,12,FALSE),"")</f>
        <v/>
      </c>
      <c r="H43" s="221" t="str">
        <f>IFERROR(VLOOKUP($A43,メルマガ読み込み用!$A$2:$K$250,7,FALSE),"")</f>
        <v/>
      </c>
      <c r="I43" s="222" t="str">
        <f>IFERROR(VLOOKUP($A43,メルマガ読み込み用!$A$2:$K$250,8,FALSE),"")</f>
        <v/>
      </c>
      <c r="J43" s="223" t="str">
        <f>IFERROR(VLOOKUP($A43,メルマガ読み込み用!$A$2:$K$250,11,FALSE),"")</f>
        <v/>
      </c>
    </row>
    <row r="44" spans="1:10">
      <c r="A44" s="113">
        <v>42</v>
      </c>
      <c r="B44" s="222" t="str">
        <f>IFERROR(VLOOKUP($A44,メルマガ読み込み用!$A$2:$K$250,2,FALSE),"")</f>
        <v/>
      </c>
      <c r="C44" s="222" t="str">
        <f>IFERROR(VLOOKUP($A44,メルマガ読み込み用!$A$2:$K$250,3,FALSE),"")</f>
        <v/>
      </c>
      <c r="D44" s="222" t="str">
        <f>IFERROR(VLOOKUP($A44,メルマガ読み込み用!$A$2:$K$250,4,FALSE),"")</f>
        <v/>
      </c>
      <c r="E44" s="222" t="str">
        <f>IFERROR(VLOOKUP($A44,メルマガ読み込み用!$A$2:$K$250,5,FALSE),"")</f>
        <v/>
      </c>
      <c r="F44" s="222" t="str">
        <f>IFERROR(VLOOKUP($A44,メルマガ読み込み用!$A$2:$K$250,6,FALSE),"")</f>
        <v/>
      </c>
      <c r="G44" s="222" t="str">
        <f>IFERROR(VLOOKUP($A44,メルマガ読み込み用!$A$2:$L$250,12,FALSE),"")</f>
        <v/>
      </c>
      <c r="H44" s="221" t="str">
        <f>IFERROR(VLOOKUP($A44,メルマガ読み込み用!$A$2:$K$250,7,FALSE),"")</f>
        <v/>
      </c>
      <c r="I44" s="222" t="str">
        <f>IFERROR(VLOOKUP($A44,メルマガ読み込み用!$A$2:$K$250,8,FALSE),"")</f>
        <v/>
      </c>
      <c r="J44" s="223" t="str">
        <f>IFERROR(VLOOKUP($A44,メルマガ読み込み用!$A$2:$K$250,11,FALSE),"")</f>
        <v/>
      </c>
    </row>
    <row r="45" spans="1:10">
      <c r="A45" s="113">
        <v>43</v>
      </c>
      <c r="B45" s="222" t="str">
        <f>IFERROR(VLOOKUP($A45,メルマガ読み込み用!$A$2:$K$250,2,FALSE),"")</f>
        <v/>
      </c>
      <c r="C45" s="222" t="str">
        <f>IFERROR(VLOOKUP($A45,メルマガ読み込み用!$A$2:$K$250,3,FALSE),"")</f>
        <v/>
      </c>
      <c r="D45" s="222" t="str">
        <f>IFERROR(VLOOKUP($A45,メルマガ読み込み用!$A$2:$K$250,4,FALSE),"")</f>
        <v/>
      </c>
      <c r="E45" s="222" t="str">
        <f>IFERROR(VLOOKUP($A45,メルマガ読み込み用!$A$2:$K$250,5,FALSE),"")</f>
        <v/>
      </c>
      <c r="F45" s="222" t="str">
        <f>IFERROR(VLOOKUP($A45,メルマガ読み込み用!$A$2:$K$250,6,FALSE),"")</f>
        <v/>
      </c>
      <c r="G45" s="222" t="str">
        <f>IFERROR(VLOOKUP($A45,メルマガ読み込み用!$A$2:$L$250,12,FALSE),"")</f>
        <v/>
      </c>
      <c r="H45" s="221" t="str">
        <f>IFERROR(VLOOKUP($A45,メルマガ読み込み用!$A$2:$K$250,7,FALSE),"")</f>
        <v/>
      </c>
      <c r="I45" s="222" t="str">
        <f>IFERROR(VLOOKUP($A45,メルマガ読み込み用!$A$2:$K$250,8,FALSE),"")</f>
        <v/>
      </c>
      <c r="J45" s="223" t="str">
        <f>IFERROR(VLOOKUP($A45,メルマガ読み込み用!$A$2:$K$250,11,FALSE),"")</f>
        <v/>
      </c>
    </row>
    <row r="46" spans="1:10">
      <c r="A46" s="113">
        <v>44</v>
      </c>
      <c r="B46" s="222" t="str">
        <f>IFERROR(VLOOKUP($A46,メルマガ読み込み用!$A$2:$K$250,2,FALSE),"")</f>
        <v/>
      </c>
      <c r="C46" s="222" t="str">
        <f>IFERROR(VLOOKUP($A46,メルマガ読み込み用!$A$2:$K$250,3,FALSE),"")</f>
        <v/>
      </c>
      <c r="D46" s="222" t="str">
        <f>IFERROR(VLOOKUP($A46,メルマガ読み込み用!$A$2:$K$250,4,FALSE),"")</f>
        <v/>
      </c>
      <c r="E46" s="222" t="str">
        <f>IFERROR(VLOOKUP($A46,メルマガ読み込み用!$A$2:$K$250,5,FALSE),"")</f>
        <v/>
      </c>
      <c r="F46" s="222" t="str">
        <f>IFERROR(VLOOKUP($A46,メルマガ読み込み用!$A$2:$K$250,6,FALSE),"")</f>
        <v/>
      </c>
      <c r="G46" s="222" t="str">
        <f>IFERROR(VLOOKUP($A46,メルマガ読み込み用!$A$2:$L$250,12,FALSE),"")</f>
        <v/>
      </c>
      <c r="H46" s="221" t="str">
        <f>IFERROR(VLOOKUP($A46,メルマガ読み込み用!$A$2:$K$250,7,FALSE),"")</f>
        <v/>
      </c>
      <c r="I46" s="222" t="str">
        <f>IFERROR(VLOOKUP($A46,メルマガ読み込み用!$A$2:$K$250,8,FALSE),"")</f>
        <v/>
      </c>
      <c r="J46" s="223" t="str">
        <f>IFERROR(VLOOKUP($A46,メルマガ読み込み用!$A$2:$K$250,11,FALSE),"")</f>
        <v/>
      </c>
    </row>
    <row r="47" spans="1:10">
      <c r="A47" s="113">
        <v>45</v>
      </c>
      <c r="B47" s="222" t="str">
        <f>IFERROR(VLOOKUP($A47,メルマガ読み込み用!$A$2:$K$250,2,FALSE),"")</f>
        <v/>
      </c>
      <c r="C47" s="222" t="str">
        <f>IFERROR(VLOOKUP($A47,メルマガ読み込み用!$A$2:$K$250,3,FALSE),"")</f>
        <v/>
      </c>
      <c r="D47" s="222" t="str">
        <f>IFERROR(VLOOKUP($A47,メルマガ読み込み用!$A$2:$K$250,4,FALSE),"")</f>
        <v/>
      </c>
      <c r="E47" s="222" t="str">
        <f>IFERROR(VLOOKUP($A47,メルマガ読み込み用!$A$2:$K$250,5,FALSE),"")</f>
        <v/>
      </c>
      <c r="F47" s="222" t="str">
        <f>IFERROR(VLOOKUP($A47,メルマガ読み込み用!$A$2:$K$250,6,FALSE),"")</f>
        <v/>
      </c>
      <c r="G47" s="222" t="str">
        <f>IFERROR(VLOOKUP($A47,メルマガ読み込み用!$A$2:$L$250,12,FALSE),"")</f>
        <v/>
      </c>
      <c r="H47" s="221" t="str">
        <f>IFERROR(VLOOKUP($A47,メルマガ読み込み用!$A$2:$K$250,7,FALSE),"")</f>
        <v/>
      </c>
      <c r="I47" s="222" t="str">
        <f>IFERROR(VLOOKUP($A47,メルマガ読み込み用!$A$2:$K$250,8,FALSE),"")</f>
        <v/>
      </c>
      <c r="J47" s="223" t="str">
        <f>IFERROR(VLOOKUP($A47,メルマガ読み込み用!$A$2:$K$250,11,FALSE),"")</f>
        <v/>
      </c>
    </row>
    <row r="48" spans="1:10">
      <c r="A48" s="113">
        <v>46</v>
      </c>
      <c r="B48" s="222" t="str">
        <f>IFERROR(VLOOKUP($A48,メルマガ読み込み用!$A$2:$K$250,2,FALSE),"")</f>
        <v/>
      </c>
      <c r="C48" s="222" t="str">
        <f>IFERROR(VLOOKUP($A48,メルマガ読み込み用!$A$2:$K$250,3,FALSE),"")</f>
        <v/>
      </c>
      <c r="D48" s="222" t="str">
        <f>IFERROR(VLOOKUP($A48,メルマガ読み込み用!$A$2:$K$250,4,FALSE),"")</f>
        <v/>
      </c>
      <c r="E48" s="222" t="str">
        <f>IFERROR(VLOOKUP($A48,メルマガ読み込み用!$A$2:$K$250,5,FALSE),"")</f>
        <v/>
      </c>
      <c r="F48" s="222" t="str">
        <f>IFERROR(VLOOKUP($A48,メルマガ読み込み用!$A$2:$K$250,6,FALSE),"")</f>
        <v/>
      </c>
      <c r="G48" s="222" t="str">
        <f>IFERROR(VLOOKUP($A48,メルマガ読み込み用!$A$2:$L$250,12,FALSE),"")</f>
        <v/>
      </c>
      <c r="H48" s="221" t="str">
        <f>IFERROR(VLOOKUP($A48,メルマガ読み込み用!$A$2:$K$250,7,FALSE),"")</f>
        <v/>
      </c>
      <c r="I48" s="222" t="str">
        <f>IFERROR(VLOOKUP($A48,メルマガ読み込み用!$A$2:$K$250,8,FALSE),"")</f>
        <v/>
      </c>
      <c r="J48" s="223" t="str">
        <f>IFERROR(VLOOKUP($A48,メルマガ読み込み用!$A$2:$K$250,11,FALSE),"")</f>
        <v/>
      </c>
    </row>
    <row r="49" spans="1:10">
      <c r="A49" s="113">
        <v>47</v>
      </c>
      <c r="B49" s="222" t="str">
        <f>IFERROR(VLOOKUP($A49,メルマガ読み込み用!$A$2:$K$250,2,FALSE),"")</f>
        <v/>
      </c>
      <c r="C49" s="222" t="str">
        <f>IFERROR(VLOOKUP($A49,メルマガ読み込み用!$A$2:$K$250,3,FALSE),"")</f>
        <v/>
      </c>
      <c r="D49" s="222" t="str">
        <f>IFERROR(VLOOKUP($A49,メルマガ読み込み用!$A$2:$K$250,4,FALSE),"")</f>
        <v/>
      </c>
      <c r="E49" s="222" t="str">
        <f>IFERROR(VLOOKUP($A49,メルマガ読み込み用!$A$2:$K$250,5,FALSE),"")</f>
        <v/>
      </c>
      <c r="F49" s="222" t="str">
        <f>IFERROR(VLOOKUP($A49,メルマガ読み込み用!$A$2:$K$250,6,FALSE),"")</f>
        <v/>
      </c>
      <c r="G49" s="222" t="str">
        <f>IFERROR(VLOOKUP($A49,メルマガ読み込み用!$A$2:$L$250,12,FALSE),"")</f>
        <v/>
      </c>
      <c r="H49" s="221" t="str">
        <f>IFERROR(VLOOKUP($A49,メルマガ読み込み用!$A$2:$K$250,7,FALSE),"")</f>
        <v/>
      </c>
      <c r="I49" s="222" t="str">
        <f>IFERROR(VLOOKUP($A49,メルマガ読み込み用!$A$2:$K$250,8,FALSE),"")</f>
        <v/>
      </c>
      <c r="J49" s="223" t="str">
        <f>IFERROR(VLOOKUP($A49,メルマガ読み込み用!$A$2:$K$250,11,FALSE),"")</f>
        <v/>
      </c>
    </row>
    <row r="50" spans="1:10">
      <c r="A50" s="113">
        <v>48</v>
      </c>
      <c r="B50" s="222" t="str">
        <f>IFERROR(VLOOKUP($A50,メルマガ読み込み用!$A$2:$K$250,2,FALSE),"")</f>
        <v/>
      </c>
      <c r="C50" s="222" t="str">
        <f>IFERROR(VLOOKUP($A50,メルマガ読み込み用!$A$2:$K$250,3,FALSE),"")</f>
        <v/>
      </c>
      <c r="D50" s="222" t="str">
        <f>IFERROR(VLOOKUP($A50,メルマガ読み込み用!$A$2:$K$250,4,FALSE),"")</f>
        <v/>
      </c>
      <c r="E50" s="222" t="str">
        <f>IFERROR(VLOOKUP($A50,メルマガ読み込み用!$A$2:$K$250,5,FALSE),"")</f>
        <v/>
      </c>
      <c r="F50" s="222" t="str">
        <f>IFERROR(VLOOKUP($A50,メルマガ読み込み用!$A$2:$K$250,6,FALSE),"")</f>
        <v/>
      </c>
      <c r="G50" s="222" t="str">
        <f>IFERROR(VLOOKUP($A50,メルマガ読み込み用!$A$2:$L$250,12,FALSE),"")</f>
        <v/>
      </c>
      <c r="H50" s="221" t="str">
        <f>IFERROR(VLOOKUP($A50,メルマガ読み込み用!$A$2:$K$250,7,FALSE),"")</f>
        <v/>
      </c>
      <c r="I50" s="222" t="str">
        <f>IFERROR(VLOOKUP($A50,メルマガ読み込み用!$A$2:$K$250,8,FALSE),"")</f>
        <v/>
      </c>
      <c r="J50" s="223" t="str">
        <f>IFERROR(VLOOKUP($A50,メルマガ読み込み用!$A$2:$K$250,11,FALSE),"")</f>
        <v/>
      </c>
    </row>
    <row r="51" spans="1:10">
      <c r="A51" s="113">
        <v>49</v>
      </c>
      <c r="B51" s="222" t="str">
        <f>IFERROR(VLOOKUP($A51,メルマガ読み込み用!$A$2:$K$250,2,FALSE),"")</f>
        <v/>
      </c>
      <c r="C51" s="222" t="str">
        <f>IFERROR(VLOOKUP($A51,メルマガ読み込み用!$A$2:$K$250,3,FALSE),"")</f>
        <v/>
      </c>
      <c r="D51" s="222" t="str">
        <f>IFERROR(VLOOKUP($A51,メルマガ読み込み用!$A$2:$K$250,4,FALSE),"")</f>
        <v/>
      </c>
      <c r="E51" s="222" t="str">
        <f>IFERROR(VLOOKUP($A51,メルマガ読み込み用!$A$2:$K$250,5,FALSE),"")</f>
        <v/>
      </c>
      <c r="F51" s="222" t="str">
        <f>IFERROR(VLOOKUP($A51,メルマガ読み込み用!$A$2:$K$250,6,FALSE),"")</f>
        <v/>
      </c>
      <c r="G51" s="222" t="str">
        <f>IFERROR(VLOOKUP($A51,メルマガ読み込み用!$A$2:$L$250,12,FALSE),"")</f>
        <v/>
      </c>
      <c r="H51" s="221" t="str">
        <f>IFERROR(VLOOKUP($A51,メルマガ読み込み用!$A$2:$K$250,7,FALSE),"")</f>
        <v/>
      </c>
      <c r="I51" s="222" t="str">
        <f>IFERROR(VLOOKUP($A51,メルマガ読み込み用!$A$2:$K$250,8,FALSE),"")</f>
        <v/>
      </c>
      <c r="J51" s="223" t="str">
        <f>IFERROR(VLOOKUP($A51,メルマガ読み込み用!$A$2:$K$250,11,FALSE),"")</f>
        <v/>
      </c>
    </row>
    <row r="52" spans="1:10">
      <c r="A52" s="113">
        <v>50</v>
      </c>
      <c r="B52" s="222" t="str">
        <f>IFERROR(VLOOKUP($A52,メルマガ読み込み用!$A$2:$K$250,2,FALSE),"")</f>
        <v/>
      </c>
      <c r="C52" s="222" t="str">
        <f>IFERROR(VLOOKUP($A52,メルマガ読み込み用!$A$2:$K$250,3,FALSE),"")</f>
        <v/>
      </c>
      <c r="D52" s="222" t="str">
        <f>IFERROR(VLOOKUP($A52,メルマガ読み込み用!$A$2:$K$250,4,FALSE),"")</f>
        <v/>
      </c>
      <c r="E52" s="222" t="str">
        <f>IFERROR(VLOOKUP($A52,メルマガ読み込み用!$A$2:$K$250,5,FALSE),"")</f>
        <v/>
      </c>
      <c r="F52" s="222" t="str">
        <f>IFERROR(VLOOKUP($A52,メルマガ読み込み用!$A$2:$K$250,6,FALSE),"")</f>
        <v/>
      </c>
      <c r="G52" s="222" t="str">
        <f>IFERROR(VLOOKUP($A52,メルマガ読み込み用!$A$2:$L$250,12,FALSE),"")</f>
        <v/>
      </c>
      <c r="H52" s="221" t="str">
        <f>IFERROR(VLOOKUP($A52,メルマガ読み込み用!$A$2:$K$250,7,FALSE),"")</f>
        <v/>
      </c>
      <c r="I52" s="222" t="str">
        <f>IFERROR(VLOOKUP($A52,メルマガ読み込み用!$A$2:$K$250,8,FALSE),"")</f>
        <v/>
      </c>
      <c r="J52" s="223" t="str">
        <f>IFERROR(VLOOKUP($A52,メルマガ読み込み用!$A$2:$K$250,11,FALSE),"")</f>
        <v/>
      </c>
    </row>
    <row r="53" spans="1:10">
      <c r="A53" s="113">
        <v>51</v>
      </c>
      <c r="B53" s="222" t="str">
        <f>IFERROR(VLOOKUP($A53,メルマガ読み込み用!$A$2:$K$250,2,FALSE),"")</f>
        <v/>
      </c>
      <c r="C53" s="222" t="str">
        <f>IFERROR(VLOOKUP($A53,メルマガ読み込み用!$A$2:$K$250,3,FALSE),"")</f>
        <v/>
      </c>
      <c r="D53" s="222" t="str">
        <f>IFERROR(VLOOKUP($A53,メルマガ読み込み用!$A$2:$K$250,4,FALSE),"")</f>
        <v/>
      </c>
      <c r="E53" s="222" t="str">
        <f>IFERROR(VLOOKUP($A53,メルマガ読み込み用!$A$2:$K$250,5,FALSE),"")</f>
        <v/>
      </c>
      <c r="F53" s="222" t="str">
        <f>IFERROR(VLOOKUP($A53,メルマガ読み込み用!$A$2:$K$250,6,FALSE),"")</f>
        <v/>
      </c>
      <c r="G53" s="222" t="str">
        <f>IFERROR(VLOOKUP($A53,メルマガ読み込み用!$A$2:$L$250,12,FALSE),"")</f>
        <v/>
      </c>
      <c r="H53" s="221" t="str">
        <f>IFERROR(VLOOKUP($A53,メルマガ読み込み用!$A$2:$K$250,7,FALSE),"")</f>
        <v/>
      </c>
      <c r="I53" s="222" t="str">
        <f>IFERROR(VLOOKUP($A53,メルマガ読み込み用!$A$2:$K$250,8,FALSE),"")</f>
        <v/>
      </c>
      <c r="J53" s="223" t="str">
        <f>IFERROR(VLOOKUP($A53,メルマガ読み込み用!$A$2:$K$250,11,FALSE),"")</f>
        <v/>
      </c>
    </row>
    <row r="54" spans="1:10">
      <c r="A54" s="113">
        <v>52</v>
      </c>
      <c r="B54" s="222" t="str">
        <f>IFERROR(VLOOKUP($A54,メルマガ読み込み用!$A$2:$K$250,2,FALSE),"")</f>
        <v/>
      </c>
      <c r="C54" s="222" t="str">
        <f>IFERROR(VLOOKUP($A54,メルマガ読み込み用!$A$2:$K$250,3,FALSE),"")</f>
        <v/>
      </c>
      <c r="D54" s="222" t="str">
        <f>IFERROR(VLOOKUP($A54,メルマガ読み込み用!$A$2:$K$250,4,FALSE),"")</f>
        <v/>
      </c>
      <c r="E54" s="222" t="str">
        <f>IFERROR(VLOOKUP($A54,メルマガ読み込み用!$A$2:$K$250,5,FALSE),"")</f>
        <v/>
      </c>
      <c r="F54" s="222" t="str">
        <f>IFERROR(VLOOKUP($A54,メルマガ読み込み用!$A$2:$K$250,6,FALSE),"")</f>
        <v/>
      </c>
      <c r="G54" s="222" t="str">
        <f>IFERROR(VLOOKUP($A54,メルマガ読み込み用!$A$2:$L$250,12,FALSE),"")</f>
        <v/>
      </c>
      <c r="H54" s="221" t="str">
        <f>IFERROR(VLOOKUP($A54,メルマガ読み込み用!$A$2:$K$250,7,FALSE),"")</f>
        <v/>
      </c>
      <c r="I54" s="222" t="str">
        <f>IFERROR(VLOOKUP($A54,メルマガ読み込み用!$A$2:$K$250,8,FALSE),"")</f>
        <v/>
      </c>
      <c r="J54" s="223" t="str">
        <f>IFERROR(VLOOKUP($A54,メルマガ読み込み用!$A$2:$K$250,11,FALSE),"")</f>
        <v/>
      </c>
    </row>
    <row r="55" spans="1:10">
      <c r="A55" s="113">
        <v>53</v>
      </c>
      <c r="B55" s="222" t="str">
        <f>IFERROR(VLOOKUP($A55,メルマガ読み込み用!$A$2:$K$250,2,FALSE),"")</f>
        <v/>
      </c>
      <c r="C55" s="222" t="str">
        <f>IFERROR(VLOOKUP($A55,メルマガ読み込み用!$A$2:$K$250,3,FALSE),"")</f>
        <v/>
      </c>
      <c r="D55" s="222" t="str">
        <f>IFERROR(VLOOKUP($A55,メルマガ読み込み用!$A$2:$K$250,4,FALSE),"")</f>
        <v/>
      </c>
      <c r="E55" s="222" t="str">
        <f>IFERROR(VLOOKUP($A55,メルマガ読み込み用!$A$2:$K$250,5,FALSE),"")</f>
        <v/>
      </c>
      <c r="F55" s="222" t="str">
        <f>IFERROR(VLOOKUP($A55,メルマガ読み込み用!$A$2:$K$250,6,FALSE),"")</f>
        <v/>
      </c>
      <c r="G55" s="222" t="str">
        <f>IFERROR(VLOOKUP($A55,メルマガ読み込み用!$A$2:$L$250,12,FALSE),"")</f>
        <v/>
      </c>
      <c r="H55" s="221" t="str">
        <f>IFERROR(VLOOKUP($A55,メルマガ読み込み用!$A$2:$K$250,7,FALSE),"")</f>
        <v/>
      </c>
      <c r="I55" s="222" t="str">
        <f>IFERROR(VLOOKUP($A55,メルマガ読み込み用!$A$2:$K$250,8,FALSE),"")</f>
        <v/>
      </c>
      <c r="J55" s="223" t="str">
        <f>IFERROR(VLOOKUP($A55,メルマガ読み込み用!$A$2:$K$250,11,FALSE),"")</f>
        <v/>
      </c>
    </row>
    <row r="56" spans="1:10">
      <c r="A56" s="113">
        <v>54</v>
      </c>
      <c r="B56" s="222" t="str">
        <f>IFERROR(VLOOKUP($A56,メルマガ読み込み用!$A$2:$K$250,2,FALSE),"")</f>
        <v/>
      </c>
      <c r="C56" s="222" t="str">
        <f>IFERROR(VLOOKUP($A56,メルマガ読み込み用!$A$2:$K$250,3,FALSE),"")</f>
        <v/>
      </c>
      <c r="D56" s="222" t="str">
        <f>IFERROR(VLOOKUP($A56,メルマガ読み込み用!$A$2:$K$250,4,FALSE),"")</f>
        <v/>
      </c>
      <c r="E56" s="222" t="str">
        <f>IFERROR(VLOOKUP($A56,メルマガ読み込み用!$A$2:$K$250,5,FALSE),"")</f>
        <v/>
      </c>
      <c r="F56" s="222" t="str">
        <f>IFERROR(VLOOKUP($A56,メルマガ読み込み用!$A$2:$K$250,6,FALSE),"")</f>
        <v/>
      </c>
      <c r="G56" s="222" t="str">
        <f>IFERROR(VLOOKUP($A56,メルマガ読み込み用!$A$2:$L$250,12,FALSE),"")</f>
        <v/>
      </c>
      <c r="H56" s="221" t="str">
        <f>IFERROR(VLOOKUP($A56,メルマガ読み込み用!$A$2:$K$250,7,FALSE),"")</f>
        <v/>
      </c>
      <c r="I56" s="222" t="str">
        <f>IFERROR(VLOOKUP($A56,メルマガ読み込み用!$A$2:$K$250,8,FALSE),"")</f>
        <v/>
      </c>
      <c r="J56" s="223" t="str">
        <f>IFERROR(VLOOKUP($A56,メルマガ読み込み用!$A$2:$K$250,11,FALSE),"")</f>
        <v/>
      </c>
    </row>
    <row r="57" spans="1:10">
      <c r="A57" s="113">
        <v>55</v>
      </c>
      <c r="B57" s="222" t="str">
        <f>IFERROR(VLOOKUP($A57,メルマガ読み込み用!$A$2:$K$250,2,FALSE),"")</f>
        <v/>
      </c>
      <c r="C57" s="222" t="str">
        <f>IFERROR(VLOOKUP($A57,メルマガ読み込み用!$A$2:$K$250,3,FALSE),"")</f>
        <v/>
      </c>
      <c r="D57" s="222" t="str">
        <f>IFERROR(VLOOKUP($A57,メルマガ読み込み用!$A$2:$K$250,4,FALSE),"")</f>
        <v/>
      </c>
      <c r="E57" s="222" t="str">
        <f>IFERROR(VLOOKUP($A57,メルマガ読み込み用!$A$2:$K$250,5,FALSE),"")</f>
        <v/>
      </c>
      <c r="F57" s="222" t="str">
        <f>IFERROR(VLOOKUP($A57,メルマガ読み込み用!$A$2:$K$250,6,FALSE),"")</f>
        <v/>
      </c>
      <c r="G57" s="222" t="str">
        <f>IFERROR(VLOOKUP($A57,メルマガ読み込み用!$A$2:$L$250,12,FALSE),"")</f>
        <v/>
      </c>
      <c r="H57" s="221" t="str">
        <f>IFERROR(VLOOKUP($A57,メルマガ読み込み用!$A$2:$K$250,7,FALSE),"")</f>
        <v/>
      </c>
      <c r="I57" s="222" t="str">
        <f>IFERROR(VLOOKUP($A57,メルマガ読み込み用!$A$2:$K$250,8,FALSE),"")</f>
        <v/>
      </c>
      <c r="J57" s="223" t="str">
        <f>IFERROR(VLOOKUP($A57,メルマガ読み込み用!$A$2:$K$250,11,FALSE),"")</f>
        <v/>
      </c>
    </row>
    <row r="58" spans="1:10">
      <c r="A58" s="113">
        <v>56</v>
      </c>
      <c r="B58" s="222" t="str">
        <f>IFERROR(VLOOKUP($A58,メルマガ読み込み用!$A$2:$K$250,2,FALSE),"")</f>
        <v/>
      </c>
      <c r="C58" s="222" t="str">
        <f>IFERROR(VLOOKUP($A58,メルマガ読み込み用!$A$2:$K$250,3,FALSE),"")</f>
        <v/>
      </c>
      <c r="D58" s="222" t="str">
        <f>IFERROR(VLOOKUP($A58,メルマガ読み込み用!$A$2:$K$250,4,FALSE),"")</f>
        <v/>
      </c>
      <c r="E58" s="222" t="str">
        <f>IFERROR(VLOOKUP($A58,メルマガ読み込み用!$A$2:$K$250,5,FALSE),"")</f>
        <v/>
      </c>
      <c r="F58" s="222" t="str">
        <f>IFERROR(VLOOKUP($A58,メルマガ読み込み用!$A$2:$K$250,6,FALSE),"")</f>
        <v/>
      </c>
      <c r="G58" s="222" t="str">
        <f>IFERROR(VLOOKUP($A58,メルマガ読み込み用!$A$2:$L$250,12,FALSE),"")</f>
        <v/>
      </c>
      <c r="H58" s="221" t="str">
        <f>IFERROR(VLOOKUP($A58,メルマガ読み込み用!$A$2:$K$250,7,FALSE),"")</f>
        <v/>
      </c>
      <c r="I58" s="222" t="str">
        <f>IFERROR(VLOOKUP($A58,メルマガ読み込み用!$A$2:$K$250,8,FALSE),"")</f>
        <v/>
      </c>
      <c r="J58" s="223" t="str">
        <f>IFERROR(VLOOKUP($A58,メルマガ読み込み用!$A$2:$K$250,11,FALSE),"")</f>
        <v/>
      </c>
    </row>
    <row r="59" spans="1:10">
      <c r="A59" s="113">
        <v>57</v>
      </c>
      <c r="B59" s="222" t="str">
        <f>IFERROR(VLOOKUP($A59,メルマガ読み込み用!$A$2:$K$250,2,FALSE),"")</f>
        <v/>
      </c>
      <c r="C59" s="222" t="str">
        <f>IFERROR(VLOOKUP($A59,メルマガ読み込み用!$A$2:$K$250,3,FALSE),"")</f>
        <v/>
      </c>
      <c r="D59" s="222" t="str">
        <f>IFERROR(VLOOKUP($A59,メルマガ読み込み用!$A$2:$K$250,4,FALSE),"")</f>
        <v/>
      </c>
      <c r="E59" s="222" t="str">
        <f>IFERROR(VLOOKUP($A59,メルマガ読み込み用!$A$2:$K$250,5,FALSE),"")</f>
        <v/>
      </c>
      <c r="F59" s="222" t="str">
        <f>IFERROR(VLOOKUP($A59,メルマガ読み込み用!$A$2:$K$250,6,FALSE),"")</f>
        <v/>
      </c>
      <c r="G59" s="222" t="str">
        <f>IFERROR(VLOOKUP($A59,メルマガ読み込み用!$A$2:$L$250,12,FALSE),"")</f>
        <v/>
      </c>
      <c r="H59" s="221" t="str">
        <f>IFERROR(VLOOKUP($A59,メルマガ読み込み用!$A$2:$K$250,7,FALSE),"")</f>
        <v/>
      </c>
      <c r="I59" s="222" t="str">
        <f>IFERROR(VLOOKUP($A59,メルマガ読み込み用!$A$2:$K$250,8,FALSE),"")</f>
        <v/>
      </c>
      <c r="J59" s="223" t="str">
        <f>IFERROR(VLOOKUP($A59,メルマガ読み込み用!$A$2:$K$250,11,FALSE),"")</f>
        <v/>
      </c>
    </row>
    <row r="60" spans="1:10">
      <c r="A60" s="113">
        <v>58</v>
      </c>
      <c r="B60" s="222" t="str">
        <f>IFERROR(VLOOKUP($A60,メルマガ読み込み用!$A$2:$K$250,2,FALSE),"")</f>
        <v/>
      </c>
      <c r="C60" s="222" t="str">
        <f>IFERROR(VLOOKUP($A60,メルマガ読み込み用!$A$2:$K$250,3,FALSE),"")</f>
        <v/>
      </c>
      <c r="D60" s="222" t="str">
        <f>IFERROR(VLOOKUP($A60,メルマガ読み込み用!$A$2:$K$250,4,FALSE),"")</f>
        <v/>
      </c>
      <c r="E60" s="222" t="str">
        <f>IFERROR(VLOOKUP($A60,メルマガ読み込み用!$A$2:$K$250,5,FALSE),"")</f>
        <v/>
      </c>
      <c r="F60" s="222" t="str">
        <f>IFERROR(VLOOKUP($A60,メルマガ読み込み用!$A$2:$K$250,6,FALSE),"")</f>
        <v/>
      </c>
      <c r="G60" s="222" t="str">
        <f>IFERROR(VLOOKUP($A60,メルマガ読み込み用!$A$2:$L$250,12,FALSE),"")</f>
        <v/>
      </c>
      <c r="H60" s="221" t="str">
        <f>IFERROR(VLOOKUP($A60,メルマガ読み込み用!$A$2:$K$250,7,FALSE),"")</f>
        <v/>
      </c>
      <c r="I60" s="222" t="str">
        <f>IFERROR(VLOOKUP($A60,メルマガ読み込み用!$A$2:$K$250,8,FALSE),"")</f>
        <v/>
      </c>
      <c r="J60" s="223" t="str">
        <f>IFERROR(VLOOKUP($A60,メルマガ読み込み用!$A$2:$K$250,11,FALSE),"")</f>
        <v/>
      </c>
    </row>
    <row r="61" spans="1:10">
      <c r="A61" s="113">
        <v>59</v>
      </c>
      <c r="B61" s="222" t="str">
        <f>IFERROR(VLOOKUP($A61,メルマガ読み込み用!$A$2:$K$250,2,FALSE),"")</f>
        <v/>
      </c>
      <c r="C61" s="222" t="str">
        <f>IFERROR(VLOOKUP($A61,メルマガ読み込み用!$A$2:$K$250,3,FALSE),"")</f>
        <v/>
      </c>
      <c r="D61" s="222" t="str">
        <f>IFERROR(VLOOKUP($A61,メルマガ読み込み用!$A$2:$K$250,4,FALSE),"")</f>
        <v/>
      </c>
      <c r="E61" s="222" t="str">
        <f>IFERROR(VLOOKUP($A61,メルマガ読み込み用!$A$2:$K$250,5,FALSE),"")</f>
        <v/>
      </c>
      <c r="F61" s="222" t="str">
        <f>IFERROR(VLOOKUP($A61,メルマガ読み込み用!$A$2:$K$250,6,FALSE),"")</f>
        <v/>
      </c>
      <c r="G61" s="222" t="str">
        <f>IFERROR(VLOOKUP($A61,メルマガ読み込み用!$A$2:$L$250,12,FALSE),"")</f>
        <v/>
      </c>
      <c r="H61" s="221" t="str">
        <f>IFERROR(VLOOKUP($A61,メルマガ読み込み用!$A$2:$K$250,7,FALSE),"")</f>
        <v/>
      </c>
      <c r="I61" s="222" t="str">
        <f>IFERROR(VLOOKUP($A61,メルマガ読み込み用!$A$2:$K$250,8,FALSE),"")</f>
        <v/>
      </c>
      <c r="J61" s="223" t="str">
        <f>IFERROR(VLOOKUP($A61,メルマガ読み込み用!$A$2:$K$250,11,FALSE),"")</f>
        <v/>
      </c>
    </row>
    <row r="62" spans="1:10">
      <c r="A62" s="113">
        <v>60</v>
      </c>
      <c r="B62" s="222" t="str">
        <f>IFERROR(VLOOKUP($A62,メルマガ読み込み用!$A$2:$K$250,2,FALSE),"")</f>
        <v/>
      </c>
      <c r="C62" s="222" t="str">
        <f>IFERROR(VLOOKUP($A62,メルマガ読み込み用!$A$2:$K$250,3,FALSE),"")</f>
        <v/>
      </c>
      <c r="D62" s="222" t="str">
        <f>IFERROR(VLOOKUP($A62,メルマガ読み込み用!$A$2:$K$250,4,FALSE),"")</f>
        <v/>
      </c>
      <c r="E62" s="222" t="str">
        <f>IFERROR(VLOOKUP($A62,メルマガ読み込み用!$A$2:$K$250,5,FALSE),"")</f>
        <v/>
      </c>
      <c r="F62" s="222" t="str">
        <f>IFERROR(VLOOKUP($A62,メルマガ読み込み用!$A$2:$K$250,6,FALSE),"")</f>
        <v/>
      </c>
      <c r="G62" s="222" t="str">
        <f>IFERROR(VLOOKUP($A62,メルマガ読み込み用!$A$2:$L$250,12,FALSE),"")</f>
        <v/>
      </c>
      <c r="H62" s="221" t="str">
        <f>IFERROR(VLOOKUP($A62,メルマガ読み込み用!$A$2:$K$250,7,FALSE),"")</f>
        <v/>
      </c>
      <c r="I62" s="222" t="str">
        <f>IFERROR(VLOOKUP($A62,メルマガ読み込み用!$A$2:$K$250,8,FALSE),"")</f>
        <v/>
      </c>
      <c r="J62" s="223" t="str">
        <f>IFERROR(VLOOKUP($A62,メルマガ読み込み用!$A$2:$K$250,11,FALSE),"")</f>
        <v/>
      </c>
    </row>
    <row r="63" spans="1:10">
      <c r="A63" s="113">
        <v>61</v>
      </c>
      <c r="B63" s="222" t="str">
        <f>IFERROR(VLOOKUP($A63,メルマガ読み込み用!$A$2:$K$250,2,FALSE),"")</f>
        <v/>
      </c>
      <c r="C63" s="222" t="str">
        <f>IFERROR(VLOOKUP($A63,メルマガ読み込み用!$A$2:$K$250,3,FALSE),"")</f>
        <v/>
      </c>
      <c r="D63" s="222" t="str">
        <f>IFERROR(VLOOKUP($A63,メルマガ読み込み用!$A$2:$K$250,4,FALSE),"")</f>
        <v/>
      </c>
      <c r="E63" s="222" t="str">
        <f>IFERROR(VLOOKUP($A63,メルマガ読み込み用!$A$2:$K$250,5,FALSE),"")</f>
        <v/>
      </c>
      <c r="F63" s="222" t="str">
        <f>IFERROR(VLOOKUP($A63,メルマガ読み込み用!$A$2:$K$250,6,FALSE),"")</f>
        <v/>
      </c>
      <c r="G63" s="222" t="str">
        <f>IFERROR(VLOOKUP($A63,メルマガ読み込み用!$A$2:$L$250,12,FALSE),"")</f>
        <v/>
      </c>
      <c r="H63" s="221" t="str">
        <f>IFERROR(VLOOKUP($A63,メルマガ読み込み用!$A$2:$K$250,7,FALSE),"")</f>
        <v/>
      </c>
      <c r="I63" s="222" t="str">
        <f>IFERROR(VLOOKUP($A63,メルマガ読み込み用!$A$2:$K$250,8,FALSE),"")</f>
        <v/>
      </c>
      <c r="J63" s="223" t="str">
        <f>IFERROR(VLOOKUP($A63,メルマガ読み込み用!$A$2:$K$250,11,FALSE),"")</f>
        <v/>
      </c>
    </row>
    <row r="64" spans="1:10">
      <c r="A64" s="113">
        <v>62</v>
      </c>
      <c r="B64" s="222" t="str">
        <f>IFERROR(VLOOKUP($A64,メルマガ読み込み用!$A$2:$K$250,2,FALSE),"")</f>
        <v/>
      </c>
      <c r="C64" s="222" t="str">
        <f>IFERROR(VLOOKUP($A64,メルマガ読み込み用!$A$2:$K$250,3,FALSE),"")</f>
        <v/>
      </c>
      <c r="D64" s="222" t="str">
        <f>IFERROR(VLOOKUP($A64,メルマガ読み込み用!$A$2:$K$250,4,FALSE),"")</f>
        <v/>
      </c>
      <c r="E64" s="222" t="str">
        <f>IFERROR(VLOOKUP($A64,メルマガ読み込み用!$A$2:$K$250,5,FALSE),"")</f>
        <v/>
      </c>
      <c r="F64" s="222" t="str">
        <f>IFERROR(VLOOKUP($A64,メルマガ読み込み用!$A$2:$K$250,6,FALSE),"")</f>
        <v/>
      </c>
      <c r="G64" s="222" t="str">
        <f>IFERROR(VLOOKUP($A64,メルマガ読み込み用!$A$2:$L$250,12,FALSE),"")</f>
        <v/>
      </c>
      <c r="H64" s="221" t="str">
        <f>IFERROR(VLOOKUP($A64,メルマガ読み込み用!$A$2:$K$250,7,FALSE),"")</f>
        <v/>
      </c>
      <c r="I64" s="222" t="str">
        <f>IFERROR(VLOOKUP($A64,メルマガ読み込み用!$A$2:$K$250,8,FALSE),"")</f>
        <v/>
      </c>
      <c r="J64" s="223" t="str">
        <f>IFERROR(VLOOKUP($A64,メルマガ読み込み用!$A$2:$K$250,11,FALSE),"")</f>
        <v/>
      </c>
    </row>
    <row r="65" spans="1:10">
      <c r="A65" s="113">
        <v>63</v>
      </c>
      <c r="B65" s="222" t="str">
        <f>IFERROR(VLOOKUP($A65,メルマガ読み込み用!$A$2:$K$250,2,FALSE),"")</f>
        <v/>
      </c>
      <c r="C65" s="222" t="str">
        <f>IFERROR(VLOOKUP($A65,メルマガ読み込み用!$A$2:$K$250,3,FALSE),"")</f>
        <v/>
      </c>
      <c r="D65" s="222" t="str">
        <f>IFERROR(VLOOKUP($A65,メルマガ読み込み用!$A$2:$K$250,4,FALSE),"")</f>
        <v/>
      </c>
      <c r="E65" s="222" t="str">
        <f>IFERROR(VLOOKUP($A65,メルマガ読み込み用!$A$2:$K$250,5,FALSE),"")</f>
        <v/>
      </c>
      <c r="F65" s="222" t="str">
        <f>IFERROR(VLOOKUP($A65,メルマガ読み込み用!$A$2:$K$250,6,FALSE),"")</f>
        <v/>
      </c>
      <c r="G65" s="222" t="str">
        <f>IFERROR(VLOOKUP($A65,メルマガ読み込み用!$A$2:$L$250,12,FALSE),"")</f>
        <v/>
      </c>
      <c r="H65" s="221" t="str">
        <f>IFERROR(VLOOKUP($A65,メルマガ読み込み用!$A$2:$K$250,7,FALSE),"")</f>
        <v/>
      </c>
      <c r="I65" s="222" t="str">
        <f>IFERROR(VLOOKUP($A65,メルマガ読み込み用!$A$2:$K$250,8,FALSE),"")</f>
        <v/>
      </c>
      <c r="J65" s="223" t="str">
        <f>IFERROR(VLOOKUP($A65,メルマガ読み込み用!$A$2:$K$250,11,FALSE),"")</f>
        <v/>
      </c>
    </row>
    <row r="66" spans="1:10">
      <c r="A66" s="113">
        <v>64</v>
      </c>
      <c r="B66" s="222" t="str">
        <f>IFERROR(VLOOKUP($A66,メルマガ読み込み用!$A$2:$K$250,2,FALSE),"")</f>
        <v/>
      </c>
      <c r="C66" s="222" t="str">
        <f>IFERROR(VLOOKUP($A66,メルマガ読み込み用!$A$2:$K$250,3,FALSE),"")</f>
        <v/>
      </c>
      <c r="D66" s="222" t="str">
        <f>IFERROR(VLOOKUP($A66,メルマガ読み込み用!$A$2:$K$250,4,FALSE),"")</f>
        <v/>
      </c>
      <c r="E66" s="222" t="str">
        <f>IFERROR(VLOOKUP($A66,メルマガ読み込み用!$A$2:$K$250,5,FALSE),"")</f>
        <v/>
      </c>
      <c r="F66" s="222" t="str">
        <f>IFERROR(VLOOKUP($A66,メルマガ読み込み用!$A$2:$K$250,6,FALSE),"")</f>
        <v/>
      </c>
      <c r="G66" s="222" t="str">
        <f>IFERROR(VLOOKUP($A66,メルマガ読み込み用!$A$2:$L$250,12,FALSE),"")</f>
        <v/>
      </c>
      <c r="H66" s="221" t="str">
        <f>IFERROR(VLOOKUP($A66,メルマガ読み込み用!$A$2:$K$250,7,FALSE),"")</f>
        <v/>
      </c>
      <c r="I66" s="222" t="str">
        <f>IFERROR(VLOOKUP($A66,メルマガ読み込み用!$A$2:$K$250,8,FALSE),"")</f>
        <v/>
      </c>
      <c r="J66" s="223" t="str">
        <f>IFERROR(VLOOKUP($A66,メルマガ読み込み用!$A$2:$K$250,11,FALSE),"")</f>
        <v/>
      </c>
    </row>
    <row r="67" spans="1:10">
      <c r="A67" s="113">
        <v>65</v>
      </c>
      <c r="B67" s="222" t="str">
        <f>IFERROR(VLOOKUP($A67,メルマガ読み込み用!$A$2:$K$250,2,FALSE),"")</f>
        <v/>
      </c>
      <c r="C67" s="222" t="str">
        <f>IFERROR(VLOOKUP($A67,メルマガ読み込み用!$A$2:$K$250,3,FALSE),"")</f>
        <v/>
      </c>
      <c r="D67" s="222" t="str">
        <f>IFERROR(VLOOKUP($A67,メルマガ読み込み用!$A$2:$K$250,4,FALSE),"")</f>
        <v/>
      </c>
      <c r="E67" s="222" t="str">
        <f>IFERROR(VLOOKUP($A67,メルマガ読み込み用!$A$2:$K$250,5,FALSE),"")</f>
        <v/>
      </c>
      <c r="F67" s="222" t="str">
        <f>IFERROR(VLOOKUP($A67,メルマガ読み込み用!$A$2:$K$250,6,FALSE),"")</f>
        <v/>
      </c>
      <c r="G67" s="222" t="str">
        <f>IFERROR(VLOOKUP($A67,メルマガ読み込み用!$A$2:$L$250,12,FALSE),"")</f>
        <v/>
      </c>
      <c r="H67" s="221" t="str">
        <f>IFERROR(VLOOKUP($A67,メルマガ読み込み用!$A$2:$K$250,7,FALSE),"")</f>
        <v/>
      </c>
      <c r="I67" s="222" t="str">
        <f>IFERROR(VLOOKUP($A67,メルマガ読み込み用!$A$2:$K$250,8,FALSE),"")</f>
        <v/>
      </c>
      <c r="J67" s="223" t="str">
        <f>IFERROR(VLOOKUP($A67,メルマガ読み込み用!$A$2:$K$250,11,FALSE),"")</f>
        <v/>
      </c>
    </row>
    <row r="68" spans="1:10">
      <c r="A68" s="113">
        <v>66</v>
      </c>
      <c r="B68" s="222" t="str">
        <f>IFERROR(VLOOKUP($A68,メルマガ読み込み用!$A$2:$K$250,2,FALSE),"")</f>
        <v/>
      </c>
      <c r="C68" s="222" t="str">
        <f>IFERROR(VLOOKUP($A68,メルマガ読み込み用!$A$2:$K$250,3,FALSE),"")</f>
        <v/>
      </c>
      <c r="D68" s="222" t="str">
        <f>IFERROR(VLOOKUP($A68,メルマガ読み込み用!$A$2:$K$250,4,FALSE),"")</f>
        <v/>
      </c>
      <c r="E68" s="222" t="str">
        <f>IFERROR(VLOOKUP($A68,メルマガ読み込み用!$A$2:$K$250,5,FALSE),"")</f>
        <v/>
      </c>
      <c r="F68" s="222" t="str">
        <f>IFERROR(VLOOKUP($A68,メルマガ読み込み用!$A$2:$K$250,6,FALSE),"")</f>
        <v/>
      </c>
      <c r="G68" s="222" t="str">
        <f>IFERROR(VLOOKUP($A68,メルマガ読み込み用!$A$2:$L$250,12,FALSE),"")</f>
        <v/>
      </c>
      <c r="H68" s="221" t="str">
        <f>IFERROR(VLOOKUP($A68,メルマガ読み込み用!$A$2:$K$250,7,FALSE),"")</f>
        <v/>
      </c>
      <c r="I68" s="222" t="str">
        <f>IFERROR(VLOOKUP($A68,メルマガ読み込み用!$A$2:$K$250,8,FALSE),"")</f>
        <v/>
      </c>
      <c r="J68" s="223" t="str">
        <f>IFERROR(VLOOKUP($A68,メルマガ読み込み用!$A$2:$K$250,11,FALSE),"")</f>
        <v/>
      </c>
    </row>
    <row r="69" spans="1:10">
      <c r="A69" s="113">
        <v>67</v>
      </c>
      <c r="B69" s="222" t="str">
        <f>IFERROR(VLOOKUP($A69,メルマガ読み込み用!$A$2:$K$250,2,FALSE),"")</f>
        <v/>
      </c>
      <c r="C69" s="222" t="str">
        <f>IFERROR(VLOOKUP($A69,メルマガ読み込み用!$A$2:$K$250,3,FALSE),"")</f>
        <v/>
      </c>
      <c r="D69" s="222" t="str">
        <f>IFERROR(VLOOKUP($A69,メルマガ読み込み用!$A$2:$K$250,4,FALSE),"")</f>
        <v/>
      </c>
      <c r="E69" s="222" t="str">
        <f>IFERROR(VLOOKUP($A69,メルマガ読み込み用!$A$2:$K$250,5,FALSE),"")</f>
        <v/>
      </c>
      <c r="F69" s="222" t="str">
        <f>IFERROR(VLOOKUP($A69,メルマガ読み込み用!$A$2:$K$250,6,FALSE),"")</f>
        <v/>
      </c>
      <c r="G69" s="222" t="str">
        <f>IFERROR(VLOOKUP($A69,メルマガ読み込み用!$A$2:$L$250,12,FALSE),"")</f>
        <v/>
      </c>
      <c r="H69" s="221" t="str">
        <f>IFERROR(VLOOKUP($A69,メルマガ読み込み用!$A$2:$K$250,7,FALSE),"")</f>
        <v/>
      </c>
      <c r="I69" s="222" t="str">
        <f>IFERROR(VLOOKUP($A69,メルマガ読み込み用!$A$2:$K$250,8,FALSE),"")</f>
        <v/>
      </c>
      <c r="J69" s="223" t="str">
        <f>IFERROR(VLOOKUP($A69,メルマガ読み込み用!$A$2:$K$250,11,FALSE),"")</f>
        <v/>
      </c>
    </row>
    <row r="70" spans="1:10">
      <c r="A70" s="113">
        <v>68</v>
      </c>
      <c r="B70" s="222" t="str">
        <f>IFERROR(VLOOKUP($A70,メルマガ読み込み用!$A$2:$K$250,2,FALSE),"")</f>
        <v/>
      </c>
      <c r="C70" s="222" t="str">
        <f>IFERROR(VLOOKUP($A70,メルマガ読み込み用!$A$2:$K$250,3,FALSE),"")</f>
        <v/>
      </c>
      <c r="D70" s="222" t="str">
        <f>IFERROR(VLOOKUP($A70,メルマガ読み込み用!$A$2:$K$250,4,FALSE),"")</f>
        <v/>
      </c>
      <c r="E70" s="222" t="str">
        <f>IFERROR(VLOOKUP($A70,メルマガ読み込み用!$A$2:$K$250,5,FALSE),"")</f>
        <v/>
      </c>
      <c r="F70" s="222" t="str">
        <f>IFERROR(VLOOKUP($A70,メルマガ読み込み用!$A$2:$K$250,6,FALSE),"")</f>
        <v/>
      </c>
      <c r="G70" s="222" t="str">
        <f>IFERROR(VLOOKUP($A70,メルマガ読み込み用!$A$2:$L$250,12,FALSE),"")</f>
        <v/>
      </c>
      <c r="H70" s="221" t="str">
        <f>IFERROR(VLOOKUP($A70,メルマガ読み込み用!$A$2:$K$250,7,FALSE),"")</f>
        <v/>
      </c>
      <c r="I70" s="222" t="str">
        <f>IFERROR(VLOOKUP($A70,メルマガ読み込み用!$A$2:$K$250,8,FALSE),"")</f>
        <v/>
      </c>
      <c r="J70" s="223" t="str">
        <f>IFERROR(VLOOKUP($A70,メルマガ読み込み用!$A$2:$K$250,11,FALSE),"")</f>
        <v/>
      </c>
    </row>
    <row r="71" spans="1:10">
      <c r="A71" s="113">
        <v>69</v>
      </c>
      <c r="B71" s="222" t="str">
        <f>IFERROR(VLOOKUP($A71,メルマガ読み込み用!$A$2:$K$250,2,FALSE),"")</f>
        <v/>
      </c>
      <c r="C71" s="222" t="str">
        <f>IFERROR(VLOOKUP($A71,メルマガ読み込み用!$A$2:$K$250,3,FALSE),"")</f>
        <v/>
      </c>
      <c r="D71" s="222" t="str">
        <f>IFERROR(VLOOKUP($A71,メルマガ読み込み用!$A$2:$K$250,4,FALSE),"")</f>
        <v/>
      </c>
      <c r="E71" s="222" t="str">
        <f>IFERROR(VLOOKUP($A71,メルマガ読み込み用!$A$2:$K$250,5,FALSE),"")</f>
        <v/>
      </c>
      <c r="F71" s="222" t="str">
        <f>IFERROR(VLOOKUP($A71,メルマガ読み込み用!$A$2:$K$250,6,FALSE),"")</f>
        <v/>
      </c>
      <c r="G71" s="222" t="str">
        <f>IFERROR(VLOOKUP($A71,メルマガ読み込み用!$A$2:$L$250,12,FALSE),"")</f>
        <v/>
      </c>
      <c r="H71" s="221" t="str">
        <f>IFERROR(VLOOKUP($A71,メルマガ読み込み用!$A$2:$K$250,7,FALSE),"")</f>
        <v/>
      </c>
      <c r="I71" s="222" t="str">
        <f>IFERROR(VLOOKUP($A71,メルマガ読み込み用!$A$2:$K$250,8,FALSE),"")</f>
        <v/>
      </c>
      <c r="J71" s="223" t="str">
        <f>IFERROR(VLOOKUP($A71,メルマガ読み込み用!$A$2:$K$250,11,FALSE),"")</f>
        <v/>
      </c>
    </row>
    <row r="72" spans="1:10">
      <c r="A72" s="113">
        <v>70</v>
      </c>
      <c r="B72" s="222" t="str">
        <f>IFERROR(VLOOKUP($A72,メルマガ読み込み用!$A$2:$K$250,2,FALSE),"")</f>
        <v/>
      </c>
      <c r="C72" s="222" t="str">
        <f>IFERROR(VLOOKUP($A72,メルマガ読み込み用!$A$2:$K$250,3,FALSE),"")</f>
        <v/>
      </c>
      <c r="D72" s="222" t="str">
        <f>IFERROR(VLOOKUP($A72,メルマガ読み込み用!$A$2:$K$250,4,FALSE),"")</f>
        <v/>
      </c>
      <c r="E72" s="222" t="str">
        <f>IFERROR(VLOOKUP($A72,メルマガ読み込み用!$A$2:$K$250,5,FALSE),"")</f>
        <v/>
      </c>
      <c r="F72" s="222" t="str">
        <f>IFERROR(VLOOKUP($A72,メルマガ読み込み用!$A$2:$K$250,6,FALSE),"")</f>
        <v/>
      </c>
      <c r="G72" s="222" t="str">
        <f>IFERROR(VLOOKUP($A72,メルマガ読み込み用!$A$2:$L$250,12,FALSE),"")</f>
        <v/>
      </c>
      <c r="H72" s="221" t="str">
        <f>IFERROR(VLOOKUP($A72,メルマガ読み込み用!$A$2:$K$250,7,FALSE),"")</f>
        <v/>
      </c>
      <c r="I72" s="222" t="str">
        <f>IFERROR(VLOOKUP($A72,メルマガ読み込み用!$A$2:$K$250,8,FALSE),"")</f>
        <v/>
      </c>
      <c r="J72" s="223" t="str">
        <f>IFERROR(VLOOKUP($A72,メルマガ読み込み用!$A$2:$K$250,11,FALSE),"")</f>
        <v/>
      </c>
    </row>
    <row r="73" spans="1:10">
      <c r="A73" s="113">
        <v>71</v>
      </c>
      <c r="B73" s="222" t="str">
        <f>IFERROR(VLOOKUP($A73,メルマガ読み込み用!$A$2:$K$250,2,FALSE),"")</f>
        <v/>
      </c>
      <c r="C73" s="222" t="str">
        <f>IFERROR(VLOOKUP($A73,メルマガ読み込み用!$A$2:$K$250,3,FALSE),"")</f>
        <v/>
      </c>
      <c r="D73" s="222" t="str">
        <f>IFERROR(VLOOKUP($A73,メルマガ読み込み用!$A$2:$K$250,4,FALSE),"")</f>
        <v/>
      </c>
      <c r="E73" s="222" t="str">
        <f>IFERROR(VLOOKUP($A73,メルマガ読み込み用!$A$2:$K$250,5,FALSE),"")</f>
        <v/>
      </c>
      <c r="F73" s="222" t="str">
        <f>IFERROR(VLOOKUP($A73,メルマガ読み込み用!$A$2:$K$250,6,FALSE),"")</f>
        <v/>
      </c>
      <c r="G73" s="222" t="str">
        <f>IFERROR(VLOOKUP($A73,メルマガ読み込み用!$A$2:$L$250,12,FALSE),"")</f>
        <v/>
      </c>
      <c r="H73" s="221" t="str">
        <f>IFERROR(VLOOKUP($A73,メルマガ読み込み用!$A$2:$K$250,7,FALSE),"")</f>
        <v/>
      </c>
      <c r="I73" s="222" t="str">
        <f>IFERROR(VLOOKUP($A73,メルマガ読み込み用!$A$2:$K$250,8,FALSE),"")</f>
        <v/>
      </c>
      <c r="J73" s="223" t="str">
        <f>IFERROR(VLOOKUP($A73,メルマガ読み込み用!$A$2:$K$250,11,FALSE),"")</f>
        <v/>
      </c>
    </row>
    <row r="74" spans="1:10">
      <c r="A74" s="113">
        <v>72</v>
      </c>
      <c r="B74" s="222" t="str">
        <f>IFERROR(VLOOKUP($A74,メルマガ読み込み用!$A$2:$K$250,2,FALSE),"")</f>
        <v/>
      </c>
      <c r="C74" s="222" t="str">
        <f>IFERROR(VLOOKUP($A74,メルマガ読み込み用!$A$2:$K$250,3,FALSE),"")</f>
        <v/>
      </c>
      <c r="D74" s="222" t="str">
        <f>IFERROR(VLOOKUP($A74,メルマガ読み込み用!$A$2:$K$250,4,FALSE),"")</f>
        <v/>
      </c>
      <c r="E74" s="222" t="str">
        <f>IFERROR(VLOOKUP($A74,メルマガ読み込み用!$A$2:$K$250,5,FALSE),"")</f>
        <v/>
      </c>
      <c r="F74" s="222" t="str">
        <f>IFERROR(VLOOKUP($A74,メルマガ読み込み用!$A$2:$K$250,6,FALSE),"")</f>
        <v/>
      </c>
      <c r="G74" s="222" t="str">
        <f>IFERROR(VLOOKUP($A74,メルマガ読み込み用!$A$2:$L$250,12,FALSE),"")</f>
        <v/>
      </c>
      <c r="H74" s="221" t="str">
        <f>IFERROR(VLOOKUP($A74,メルマガ読み込み用!$A$2:$K$250,7,FALSE),"")</f>
        <v/>
      </c>
      <c r="I74" s="222" t="str">
        <f>IFERROR(VLOOKUP($A74,メルマガ読み込み用!$A$2:$K$250,8,FALSE),"")</f>
        <v/>
      </c>
      <c r="J74" s="223" t="str">
        <f>IFERROR(VLOOKUP($A74,メルマガ読み込み用!$A$2:$K$250,11,FALSE),"")</f>
        <v/>
      </c>
    </row>
    <row r="75" spans="1:10">
      <c r="A75" s="113">
        <v>73</v>
      </c>
      <c r="B75" s="222" t="str">
        <f>IFERROR(VLOOKUP($A75,メルマガ読み込み用!$A$2:$K$250,2,FALSE),"")</f>
        <v/>
      </c>
      <c r="C75" s="222" t="str">
        <f>IFERROR(VLOOKUP($A75,メルマガ読み込み用!$A$2:$K$250,3,FALSE),"")</f>
        <v/>
      </c>
      <c r="D75" s="222" t="str">
        <f>IFERROR(VLOOKUP($A75,メルマガ読み込み用!$A$2:$K$250,4,FALSE),"")</f>
        <v/>
      </c>
      <c r="E75" s="222" t="str">
        <f>IFERROR(VLOOKUP($A75,メルマガ読み込み用!$A$2:$K$250,5,FALSE),"")</f>
        <v/>
      </c>
      <c r="F75" s="222" t="str">
        <f>IFERROR(VLOOKUP($A75,メルマガ読み込み用!$A$2:$K$250,6,FALSE),"")</f>
        <v/>
      </c>
      <c r="G75" s="222" t="str">
        <f>IFERROR(VLOOKUP($A75,メルマガ読み込み用!$A$2:$L$250,12,FALSE),"")</f>
        <v/>
      </c>
      <c r="H75" s="221" t="str">
        <f>IFERROR(VLOOKUP($A75,メルマガ読み込み用!$A$2:$K$250,7,FALSE),"")</f>
        <v/>
      </c>
      <c r="I75" s="222" t="str">
        <f>IFERROR(VLOOKUP($A75,メルマガ読み込み用!$A$2:$K$250,8,FALSE),"")</f>
        <v/>
      </c>
      <c r="J75" s="223" t="str">
        <f>IFERROR(VLOOKUP($A75,メルマガ読み込み用!$A$2:$K$250,11,FALSE),"")</f>
        <v/>
      </c>
    </row>
    <row r="76" spans="1:10">
      <c r="A76" s="113">
        <v>74</v>
      </c>
      <c r="B76" s="222" t="str">
        <f>IFERROR(VLOOKUP($A76,メルマガ読み込み用!$A$2:$K$250,2,FALSE),"")</f>
        <v/>
      </c>
      <c r="C76" s="222" t="str">
        <f>IFERROR(VLOOKUP($A76,メルマガ読み込み用!$A$2:$K$250,3,FALSE),"")</f>
        <v/>
      </c>
      <c r="D76" s="222" t="str">
        <f>IFERROR(VLOOKUP($A76,メルマガ読み込み用!$A$2:$K$250,4,FALSE),"")</f>
        <v/>
      </c>
      <c r="E76" s="222" t="str">
        <f>IFERROR(VLOOKUP($A76,メルマガ読み込み用!$A$2:$K$250,5,FALSE),"")</f>
        <v/>
      </c>
      <c r="F76" s="222" t="str">
        <f>IFERROR(VLOOKUP($A76,メルマガ読み込み用!$A$2:$K$250,6,FALSE),"")</f>
        <v/>
      </c>
      <c r="G76" s="222" t="str">
        <f>IFERROR(VLOOKUP($A76,メルマガ読み込み用!$A$2:$L$250,12,FALSE),"")</f>
        <v/>
      </c>
      <c r="H76" s="221" t="str">
        <f>IFERROR(VLOOKUP($A76,メルマガ読み込み用!$A$2:$K$250,7,FALSE),"")</f>
        <v/>
      </c>
      <c r="I76" s="222" t="str">
        <f>IFERROR(VLOOKUP($A76,メルマガ読み込み用!$A$2:$K$250,8,FALSE),"")</f>
        <v/>
      </c>
      <c r="J76" s="223" t="str">
        <f>IFERROR(VLOOKUP($A76,メルマガ読み込み用!$A$2:$K$250,11,FALSE),"")</f>
        <v/>
      </c>
    </row>
    <row r="77" spans="1:10">
      <c r="A77" s="113">
        <v>75</v>
      </c>
      <c r="B77" s="222" t="str">
        <f>IFERROR(VLOOKUP($A77,メルマガ読み込み用!$A$2:$K$250,2,FALSE),"")</f>
        <v/>
      </c>
      <c r="C77" s="222" t="str">
        <f>IFERROR(VLOOKUP($A77,メルマガ読み込み用!$A$2:$K$250,3,FALSE),"")</f>
        <v/>
      </c>
      <c r="D77" s="222" t="str">
        <f>IFERROR(VLOOKUP($A77,メルマガ読み込み用!$A$2:$K$250,4,FALSE),"")</f>
        <v/>
      </c>
      <c r="E77" s="222" t="str">
        <f>IFERROR(VLOOKUP($A77,メルマガ読み込み用!$A$2:$K$250,5,FALSE),"")</f>
        <v/>
      </c>
      <c r="F77" s="222" t="str">
        <f>IFERROR(VLOOKUP($A77,メルマガ読み込み用!$A$2:$K$250,6,FALSE),"")</f>
        <v/>
      </c>
      <c r="G77" s="222" t="str">
        <f>IFERROR(VLOOKUP($A77,メルマガ読み込み用!$A$2:$L$250,12,FALSE),"")</f>
        <v/>
      </c>
      <c r="H77" s="221" t="str">
        <f>IFERROR(VLOOKUP($A77,メルマガ読み込み用!$A$2:$K$250,7,FALSE),"")</f>
        <v/>
      </c>
      <c r="I77" s="222" t="str">
        <f>IFERROR(VLOOKUP($A77,メルマガ読み込み用!$A$2:$K$250,8,FALSE),"")</f>
        <v/>
      </c>
      <c r="J77" s="223" t="str">
        <f>IFERROR(VLOOKUP($A77,メルマガ読み込み用!$A$2:$K$250,11,FALSE),"")</f>
        <v/>
      </c>
    </row>
    <row r="78" spans="1:10">
      <c r="A78" s="113">
        <v>76</v>
      </c>
      <c r="B78" s="222" t="str">
        <f>IFERROR(VLOOKUP($A78,メルマガ読み込み用!$A$2:$K$250,2,FALSE),"")</f>
        <v/>
      </c>
      <c r="C78" s="222" t="str">
        <f>IFERROR(VLOOKUP($A78,メルマガ読み込み用!$A$2:$K$250,3,FALSE),"")</f>
        <v/>
      </c>
      <c r="D78" s="222" t="str">
        <f>IFERROR(VLOOKUP($A78,メルマガ読み込み用!$A$2:$K$250,4,FALSE),"")</f>
        <v/>
      </c>
      <c r="E78" s="222" t="str">
        <f>IFERROR(VLOOKUP($A78,メルマガ読み込み用!$A$2:$K$250,5,FALSE),"")</f>
        <v/>
      </c>
      <c r="F78" s="222" t="str">
        <f>IFERROR(VLOOKUP($A78,メルマガ読み込み用!$A$2:$K$250,6,FALSE),"")</f>
        <v/>
      </c>
      <c r="G78" s="222" t="str">
        <f>IFERROR(VLOOKUP($A78,メルマガ読み込み用!$A$2:$L$250,12,FALSE),"")</f>
        <v/>
      </c>
      <c r="H78" s="221" t="str">
        <f>IFERROR(VLOOKUP($A78,メルマガ読み込み用!$A$2:$K$250,7,FALSE),"")</f>
        <v/>
      </c>
      <c r="I78" s="222" t="str">
        <f>IFERROR(VLOOKUP($A78,メルマガ読み込み用!$A$2:$K$250,8,FALSE),"")</f>
        <v/>
      </c>
      <c r="J78" s="223" t="str">
        <f>IFERROR(VLOOKUP($A78,メルマガ読み込み用!$A$2:$K$250,11,FALSE),"")</f>
        <v/>
      </c>
    </row>
    <row r="79" spans="1:10">
      <c r="A79" s="113">
        <v>77</v>
      </c>
      <c r="B79" s="222" t="str">
        <f>IFERROR(VLOOKUP($A79,メルマガ読み込み用!$A$2:$K$250,2,FALSE),"")</f>
        <v/>
      </c>
      <c r="C79" s="222" t="str">
        <f>IFERROR(VLOOKUP($A79,メルマガ読み込み用!$A$2:$K$250,3,FALSE),"")</f>
        <v/>
      </c>
      <c r="D79" s="222" t="str">
        <f>IFERROR(VLOOKUP($A79,メルマガ読み込み用!$A$2:$K$250,4,FALSE),"")</f>
        <v/>
      </c>
      <c r="E79" s="222" t="str">
        <f>IFERROR(VLOOKUP($A79,メルマガ読み込み用!$A$2:$K$250,5,FALSE),"")</f>
        <v/>
      </c>
      <c r="F79" s="222" t="str">
        <f>IFERROR(VLOOKUP($A79,メルマガ読み込み用!$A$2:$K$250,6,FALSE),"")</f>
        <v/>
      </c>
      <c r="G79" s="222" t="str">
        <f>IFERROR(VLOOKUP($A79,メルマガ読み込み用!$A$2:$L$250,12,FALSE),"")</f>
        <v/>
      </c>
      <c r="H79" s="221" t="str">
        <f>IFERROR(VLOOKUP($A79,メルマガ読み込み用!$A$2:$K$250,7,FALSE),"")</f>
        <v/>
      </c>
      <c r="I79" s="222" t="str">
        <f>IFERROR(VLOOKUP($A79,メルマガ読み込み用!$A$2:$K$250,8,FALSE),"")</f>
        <v/>
      </c>
      <c r="J79" s="223" t="str">
        <f>IFERROR(VLOOKUP($A79,メルマガ読み込み用!$A$2:$K$250,11,FALSE),"")</f>
        <v/>
      </c>
    </row>
    <row r="80" spans="1:10">
      <c r="A80" s="113">
        <v>78</v>
      </c>
      <c r="B80" s="222" t="str">
        <f>IFERROR(VLOOKUP($A80,メルマガ読み込み用!$A$2:$K$250,2,FALSE),"")</f>
        <v/>
      </c>
      <c r="C80" s="222" t="str">
        <f>IFERROR(VLOOKUP($A80,メルマガ読み込み用!$A$2:$K$250,3,FALSE),"")</f>
        <v/>
      </c>
      <c r="D80" s="222" t="str">
        <f>IFERROR(VLOOKUP($A80,メルマガ読み込み用!$A$2:$K$250,4,FALSE),"")</f>
        <v/>
      </c>
      <c r="E80" s="222" t="str">
        <f>IFERROR(VLOOKUP($A80,メルマガ読み込み用!$A$2:$K$250,5,FALSE),"")</f>
        <v/>
      </c>
      <c r="F80" s="222" t="str">
        <f>IFERROR(VLOOKUP($A80,メルマガ読み込み用!$A$2:$K$250,6,FALSE),"")</f>
        <v/>
      </c>
      <c r="G80" s="222" t="str">
        <f>IFERROR(VLOOKUP($A80,メルマガ読み込み用!$A$2:$L$250,12,FALSE),"")</f>
        <v/>
      </c>
      <c r="H80" s="221" t="str">
        <f>IFERROR(VLOOKUP($A80,メルマガ読み込み用!$A$2:$K$250,7,FALSE),"")</f>
        <v/>
      </c>
      <c r="I80" s="222" t="str">
        <f>IFERROR(VLOOKUP($A80,メルマガ読み込み用!$A$2:$K$250,8,FALSE),"")</f>
        <v/>
      </c>
      <c r="J80" s="223" t="str">
        <f>IFERROR(VLOOKUP($A80,メルマガ読み込み用!$A$2:$K$250,11,FALSE),"")</f>
        <v/>
      </c>
    </row>
    <row r="81" spans="1:10">
      <c r="A81" s="113">
        <v>79</v>
      </c>
      <c r="B81" s="222" t="str">
        <f>IFERROR(VLOOKUP($A81,メルマガ読み込み用!$A$2:$K$250,2,FALSE),"")</f>
        <v/>
      </c>
      <c r="C81" s="222" t="str">
        <f>IFERROR(VLOOKUP($A81,メルマガ読み込み用!$A$2:$K$250,3,FALSE),"")</f>
        <v/>
      </c>
      <c r="D81" s="222" t="str">
        <f>IFERROR(VLOOKUP($A81,メルマガ読み込み用!$A$2:$K$250,4,FALSE),"")</f>
        <v/>
      </c>
      <c r="E81" s="222" t="str">
        <f>IFERROR(VLOOKUP($A81,メルマガ読み込み用!$A$2:$K$250,5,FALSE),"")</f>
        <v/>
      </c>
      <c r="F81" s="222" t="str">
        <f>IFERROR(VLOOKUP($A81,メルマガ読み込み用!$A$2:$K$250,6,FALSE),"")</f>
        <v/>
      </c>
      <c r="G81" s="222" t="str">
        <f>IFERROR(VLOOKUP($A81,メルマガ読み込み用!$A$2:$L$250,12,FALSE),"")</f>
        <v/>
      </c>
      <c r="H81" s="221" t="str">
        <f>IFERROR(VLOOKUP($A81,メルマガ読み込み用!$A$2:$K$250,7,FALSE),"")</f>
        <v/>
      </c>
      <c r="I81" s="222" t="str">
        <f>IFERROR(VLOOKUP($A81,メルマガ読み込み用!$A$2:$K$250,8,FALSE),"")</f>
        <v/>
      </c>
      <c r="J81" s="223" t="str">
        <f>IFERROR(VLOOKUP($A81,メルマガ読み込み用!$A$2:$K$250,11,FALSE),"")</f>
        <v/>
      </c>
    </row>
    <row r="82" spans="1:10">
      <c r="A82" s="113">
        <v>80</v>
      </c>
      <c r="B82" s="222" t="str">
        <f>IFERROR(VLOOKUP($A82,メルマガ読み込み用!$A$2:$K$250,2,FALSE),"")</f>
        <v/>
      </c>
      <c r="C82" s="222" t="str">
        <f>IFERROR(VLOOKUP($A82,メルマガ読み込み用!$A$2:$K$250,3,FALSE),"")</f>
        <v/>
      </c>
      <c r="D82" s="222" t="str">
        <f>IFERROR(VLOOKUP($A82,メルマガ読み込み用!$A$2:$K$250,4,FALSE),"")</f>
        <v/>
      </c>
      <c r="E82" s="222" t="str">
        <f>IFERROR(VLOOKUP($A82,メルマガ読み込み用!$A$2:$K$250,5,FALSE),"")</f>
        <v/>
      </c>
      <c r="F82" s="222" t="str">
        <f>IFERROR(VLOOKUP($A82,メルマガ読み込み用!$A$2:$K$250,6,FALSE),"")</f>
        <v/>
      </c>
      <c r="G82" s="222" t="str">
        <f>IFERROR(VLOOKUP($A82,メルマガ読み込み用!$A$2:$L$250,12,FALSE),"")</f>
        <v/>
      </c>
      <c r="H82" s="221" t="str">
        <f>IFERROR(VLOOKUP($A82,メルマガ読み込み用!$A$2:$K$250,7,FALSE),"")</f>
        <v/>
      </c>
      <c r="I82" s="222" t="str">
        <f>IFERROR(VLOOKUP($A82,メルマガ読み込み用!$A$2:$K$250,8,FALSE),"")</f>
        <v/>
      </c>
      <c r="J82" s="223" t="str">
        <f>IFERROR(VLOOKUP($A82,メルマガ読み込み用!$A$2:$K$250,11,FALSE),"")</f>
        <v/>
      </c>
    </row>
    <row r="83" spans="1:10">
      <c r="A83" s="113">
        <v>81</v>
      </c>
      <c r="B83" s="222" t="str">
        <f>IFERROR(VLOOKUP($A83,メルマガ読み込み用!$A$2:$K$250,2,FALSE),"")</f>
        <v/>
      </c>
      <c r="C83" s="222" t="str">
        <f>IFERROR(VLOOKUP($A83,メルマガ読み込み用!$A$2:$K$250,3,FALSE),"")</f>
        <v/>
      </c>
      <c r="D83" s="222" t="str">
        <f>IFERROR(VLOOKUP($A83,メルマガ読み込み用!$A$2:$K$250,4,FALSE),"")</f>
        <v/>
      </c>
      <c r="E83" s="222" t="str">
        <f>IFERROR(VLOOKUP($A83,メルマガ読み込み用!$A$2:$K$250,5,FALSE),"")</f>
        <v/>
      </c>
      <c r="F83" s="222" t="str">
        <f>IFERROR(VLOOKUP($A83,メルマガ読み込み用!$A$2:$K$250,6,FALSE),"")</f>
        <v/>
      </c>
      <c r="G83" s="222" t="str">
        <f>IFERROR(VLOOKUP($A83,メルマガ読み込み用!$A$2:$L$250,12,FALSE),"")</f>
        <v/>
      </c>
      <c r="H83" s="221" t="str">
        <f>IFERROR(VLOOKUP($A83,メルマガ読み込み用!$A$2:$K$250,7,FALSE),"")</f>
        <v/>
      </c>
      <c r="I83" s="222" t="str">
        <f>IFERROR(VLOOKUP($A83,メルマガ読み込み用!$A$2:$K$250,8,FALSE),"")</f>
        <v/>
      </c>
      <c r="J83" s="223" t="str">
        <f>IFERROR(VLOOKUP($A83,メルマガ読み込み用!$A$2:$K$250,11,FALSE),"")</f>
        <v/>
      </c>
    </row>
    <row r="84" spans="1:10">
      <c r="A84" s="113">
        <v>82</v>
      </c>
      <c r="B84" s="222" t="str">
        <f>IFERROR(VLOOKUP($A84,メルマガ読み込み用!$A$2:$K$250,2,FALSE),"")</f>
        <v/>
      </c>
      <c r="C84" s="222" t="str">
        <f>IFERROR(VLOOKUP($A84,メルマガ読み込み用!$A$2:$K$250,3,FALSE),"")</f>
        <v/>
      </c>
      <c r="D84" s="222" t="str">
        <f>IFERROR(VLOOKUP($A84,メルマガ読み込み用!$A$2:$K$250,4,FALSE),"")</f>
        <v/>
      </c>
      <c r="E84" s="222" t="str">
        <f>IFERROR(VLOOKUP($A84,メルマガ読み込み用!$A$2:$K$250,5,FALSE),"")</f>
        <v/>
      </c>
      <c r="F84" s="222" t="str">
        <f>IFERROR(VLOOKUP($A84,メルマガ読み込み用!$A$2:$K$250,6,FALSE),"")</f>
        <v/>
      </c>
      <c r="G84" s="222" t="str">
        <f>IFERROR(VLOOKUP($A84,メルマガ読み込み用!$A$2:$L$250,12,FALSE),"")</f>
        <v/>
      </c>
      <c r="H84" s="221" t="str">
        <f>IFERROR(VLOOKUP($A84,メルマガ読み込み用!$A$2:$K$250,7,FALSE),"")</f>
        <v/>
      </c>
      <c r="I84" s="222" t="str">
        <f>IFERROR(VLOOKUP($A84,メルマガ読み込み用!$A$2:$K$250,8,FALSE),"")</f>
        <v/>
      </c>
      <c r="J84" s="223" t="str">
        <f>IFERROR(VLOOKUP($A84,メルマガ読み込み用!$A$2:$K$250,11,FALSE),"")</f>
        <v/>
      </c>
    </row>
    <row r="85" spans="1:10">
      <c r="A85" s="113">
        <v>83</v>
      </c>
      <c r="B85" s="222" t="str">
        <f>IFERROR(VLOOKUP($A85,メルマガ読み込み用!$A$2:$K$250,2,FALSE),"")</f>
        <v/>
      </c>
      <c r="C85" s="222" t="str">
        <f>IFERROR(VLOOKUP($A85,メルマガ読み込み用!$A$2:$K$250,3,FALSE),"")</f>
        <v/>
      </c>
      <c r="D85" s="222" t="str">
        <f>IFERROR(VLOOKUP($A85,メルマガ読み込み用!$A$2:$K$250,4,FALSE),"")</f>
        <v/>
      </c>
      <c r="E85" s="222" t="str">
        <f>IFERROR(VLOOKUP($A85,メルマガ読み込み用!$A$2:$K$250,5,FALSE),"")</f>
        <v/>
      </c>
      <c r="F85" s="222" t="str">
        <f>IFERROR(VLOOKUP($A85,メルマガ読み込み用!$A$2:$K$250,6,FALSE),"")</f>
        <v/>
      </c>
      <c r="G85" s="222" t="str">
        <f>IFERROR(VLOOKUP($A85,メルマガ読み込み用!$A$2:$L$250,12,FALSE),"")</f>
        <v/>
      </c>
      <c r="H85" s="221" t="str">
        <f>IFERROR(VLOOKUP($A85,メルマガ読み込み用!$A$2:$K$250,7,FALSE),"")</f>
        <v/>
      </c>
      <c r="I85" s="222" t="str">
        <f>IFERROR(VLOOKUP($A85,メルマガ読み込み用!$A$2:$K$250,8,FALSE),"")</f>
        <v/>
      </c>
      <c r="J85" s="223" t="str">
        <f>IFERROR(VLOOKUP($A85,メルマガ読み込み用!$A$2:$K$250,11,FALSE),"")</f>
        <v/>
      </c>
    </row>
    <row r="86" spans="1:10">
      <c r="A86" s="113">
        <v>84</v>
      </c>
      <c r="B86" s="222" t="str">
        <f>IFERROR(VLOOKUP($A86,メルマガ読み込み用!$A$2:$K$250,2,FALSE),"")</f>
        <v/>
      </c>
      <c r="C86" s="222" t="str">
        <f>IFERROR(VLOOKUP($A86,メルマガ読み込み用!$A$2:$K$250,3,FALSE),"")</f>
        <v/>
      </c>
      <c r="D86" s="222" t="str">
        <f>IFERROR(VLOOKUP($A86,メルマガ読み込み用!$A$2:$K$250,4,FALSE),"")</f>
        <v/>
      </c>
      <c r="E86" s="222" t="str">
        <f>IFERROR(VLOOKUP($A86,メルマガ読み込み用!$A$2:$K$250,5,FALSE),"")</f>
        <v/>
      </c>
      <c r="F86" s="222" t="str">
        <f>IFERROR(VLOOKUP($A86,メルマガ読み込み用!$A$2:$K$250,6,FALSE),"")</f>
        <v/>
      </c>
      <c r="G86" s="222" t="str">
        <f>IFERROR(VLOOKUP($A86,メルマガ読み込み用!$A$2:$L$250,12,FALSE),"")</f>
        <v/>
      </c>
      <c r="H86" s="221" t="str">
        <f>IFERROR(VLOOKUP($A86,メルマガ読み込み用!$A$2:$K$250,7,FALSE),"")</f>
        <v/>
      </c>
      <c r="I86" s="222" t="str">
        <f>IFERROR(VLOOKUP($A86,メルマガ読み込み用!$A$2:$K$250,8,FALSE),"")</f>
        <v/>
      </c>
      <c r="J86" s="223" t="str">
        <f>IFERROR(VLOOKUP($A86,メルマガ読み込み用!$A$2:$K$250,11,FALSE),"")</f>
        <v/>
      </c>
    </row>
    <row r="87" spans="1:10">
      <c r="A87" s="113">
        <v>85</v>
      </c>
      <c r="B87" s="222" t="str">
        <f>IFERROR(VLOOKUP($A87,メルマガ読み込み用!$A$2:$K$250,2,FALSE),"")</f>
        <v/>
      </c>
      <c r="C87" s="222" t="str">
        <f>IFERROR(VLOOKUP($A87,メルマガ読み込み用!$A$2:$K$250,3,FALSE),"")</f>
        <v/>
      </c>
      <c r="D87" s="222" t="str">
        <f>IFERROR(VLOOKUP($A87,メルマガ読み込み用!$A$2:$K$250,4,FALSE),"")</f>
        <v/>
      </c>
      <c r="E87" s="222" t="str">
        <f>IFERROR(VLOOKUP($A87,メルマガ読み込み用!$A$2:$K$250,5,FALSE),"")</f>
        <v/>
      </c>
      <c r="F87" s="222" t="str">
        <f>IFERROR(VLOOKUP($A87,メルマガ読み込み用!$A$2:$K$250,6,FALSE),"")</f>
        <v/>
      </c>
      <c r="G87" s="222" t="str">
        <f>IFERROR(VLOOKUP($A87,メルマガ読み込み用!$A$2:$L$250,12,FALSE),"")</f>
        <v/>
      </c>
      <c r="H87" s="221" t="str">
        <f>IFERROR(VLOOKUP($A87,メルマガ読み込み用!$A$2:$K$250,7,FALSE),"")</f>
        <v/>
      </c>
      <c r="I87" s="222" t="str">
        <f>IFERROR(VLOOKUP($A87,メルマガ読み込み用!$A$2:$K$250,8,FALSE),"")</f>
        <v/>
      </c>
      <c r="J87" s="223" t="str">
        <f>IFERROR(VLOOKUP($A87,メルマガ読み込み用!$A$2:$K$250,11,FALSE),"")</f>
        <v/>
      </c>
    </row>
    <row r="88" spans="1:10">
      <c r="A88" s="113">
        <v>86</v>
      </c>
      <c r="B88" s="222" t="str">
        <f>IFERROR(VLOOKUP($A88,メルマガ読み込み用!$A$2:$K$250,2,FALSE),"")</f>
        <v/>
      </c>
      <c r="C88" s="222" t="str">
        <f>IFERROR(VLOOKUP($A88,メルマガ読み込み用!$A$2:$K$250,3,FALSE),"")</f>
        <v/>
      </c>
      <c r="D88" s="222" t="str">
        <f>IFERROR(VLOOKUP($A88,メルマガ読み込み用!$A$2:$K$250,4,FALSE),"")</f>
        <v/>
      </c>
      <c r="E88" s="222" t="str">
        <f>IFERROR(VLOOKUP($A88,メルマガ読み込み用!$A$2:$K$250,5,FALSE),"")</f>
        <v/>
      </c>
      <c r="F88" s="222" t="str">
        <f>IFERROR(VLOOKUP($A88,メルマガ読み込み用!$A$2:$K$250,6,FALSE),"")</f>
        <v/>
      </c>
      <c r="G88" s="222" t="str">
        <f>IFERROR(VLOOKUP($A88,メルマガ読み込み用!$A$2:$L$250,12,FALSE),"")</f>
        <v/>
      </c>
      <c r="H88" s="221" t="str">
        <f>IFERROR(VLOOKUP($A88,メルマガ読み込み用!$A$2:$K$250,7,FALSE),"")</f>
        <v/>
      </c>
      <c r="I88" s="222" t="str">
        <f>IFERROR(VLOOKUP($A88,メルマガ読み込み用!$A$2:$K$250,8,FALSE),"")</f>
        <v/>
      </c>
      <c r="J88" s="223" t="str">
        <f>IFERROR(VLOOKUP($A88,メルマガ読み込み用!$A$2:$K$250,11,FALSE),"")</f>
        <v/>
      </c>
    </row>
    <row r="89" spans="1:10">
      <c r="A89" s="113">
        <v>87</v>
      </c>
      <c r="B89" s="222" t="str">
        <f>IFERROR(VLOOKUP($A89,メルマガ読み込み用!$A$2:$K$250,2,FALSE),"")</f>
        <v/>
      </c>
      <c r="C89" s="222" t="str">
        <f>IFERROR(VLOOKUP($A89,メルマガ読み込み用!$A$2:$K$250,3,FALSE),"")</f>
        <v/>
      </c>
      <c r="D89" s="222" t="str">
        <f>IFERROR(VLOOKUP($A89,メルマガ読み込み用!$A$2:$K$250,4,FALSE),"")</f>
        <v/>
      </c>
      <c r="E89" s="222" t="str">
        <f>IFERROR(VLOOKUP($A89,メルマガ読み込み用!$A$2:$K$250,5,FALSE),"")</f>
        <v/>
      </c>
      <c r="F89" s="222" t="str">
        <f>IFERROR(VLOOKUP($A89,メルマガ読み込み用!$A$2:$K$250,6,FALSE),"")</f>
        <v/>
      </c>
      <c r="G89" s="222" t="str">
        <f>IFERROR(VLOOKUP($A89,メルマガ読み込み用!$A$2:$L$250,12,FALSE),"")</f>
        <v/>
      </c>
      <c r="H89" s="221" t="str">
        <f>IFERROR(VLOOKUP($A89,メルマガ読み込み用!$A$2:$K$250,7,FALSE),"")</f>
        <v/>
      </c>
      <c r="I89" s="222" t="str">
        <f>IFERROR(VLOOKUP($A89,メルマガ読み込み用!$A$2:$K$250,8,FALSE),"")</f>
        <v/>
      </c>
      <c r="J89" s="223" t="str">
        <f>IFERROR(VLOOKUP($A89,メルマガ読み込み用!$A$2:$K$250,11,FALSE),"")</f>
        <v/>
      </c>
    </row>
    <row r="90" spans="1:10">
      <c r="A90" s="113">
        <v>88</v>
      </c>
      <c r="B90" s="222" t="str">
        <f>IFERROR(VLOOKUP($A90,メルマガ読み込み用!$A$2:$K$250,2,FALSE),"")</f>
        <v/>
      </c>
      <c r="C90" s="222" t="str">
        <f>IFERROR(VLOOKUP($A90,メルマガ読み込み用!$A$2:$K$250,3,FALSE),"")</f>
        <v/>
      </c>
      <c r="D90" s="222" t="str">
        <f>IFERROR(VLOOKUP($A90,メルマガ読み込み用!$A$2:$K$250,4,FALSE),"")</f>
        <v/>
      </c>
      <c r="E90" s="222" t="str">
        <f>IFERROR(VLOOKUP($A90,メルマガ読み込み用!$A$2:$K$250,5,FALSE),"")</f>
        <v/>
      </c>
      <c r="F90" s="222" t="str">
        <f>IFERROR(VLOOKUP($A90,メルマガ読み込み用!$A$2:$K$250,6,FALSE),"")</f>
        <v/>
      </c>
      <c r="G90" s="222" t="str">
        <f>IFERROR(VLOOKUP($A90,メルマガ読み込み用!$A$2:$L$250,12,FALSE),"")</f>
        <v/>
      </c>
      <c r="H90" s="221" t="str">
        <f>IFERROR(VLOOKUP($A90,メルマガ読み込み用!$A$2:$K$250,7,FALSE),"")</f>
        <v/>
      </c>
      <c r="I90" s="222" t="str">
        <f>IFERROR(VLOOKUP($A90,メルマガ読み込み用!$A$2:$K$250,8,FALSE),"")</f>
        <v/>
      </c>
      <c r="J90" s="223" t="str">
        <f>IFERROR(VLOOKUP($A90,メルマガ読み込み用!$A$2:$K$250,11,FALSE),"")</f>
        <v/>
      </c>
    </row>
    <row r="91" spans="1:10">
      <c r="A91" s="113">
        <v>89</v>
      </c>
      <c r="B91" s="222" t="str">
        <f>IFERROR(VLOOKUP($A91,メルマガ読み込み用!$A$2:$K$250,2,FALSE),"")</f>
        <v/>
      </c>
      <c r="C91" s="222" t="str">
        <f>IFERROR(VLOOKUP($A91,メルマガ読み込み用!$A$2:$K$250,3,FALSE),"")</f>
        <v/>
      </c>
      <c r="D91" s="222" t="str">
        <f>IFERROR(VLOOKUP($A91,メルマガ読み込み用!$A$2:$K$250,4,FALSE),"")</f>
        <v/>
      </c>
      <c r="E91" s="222" t="str">
        <f>IFERROR(VLOOKUP($A91,メルマガ読み込み用!$A$2:$K$250,5,FALSE),"")</f>
        <v/>
      </c>
      <c r="F91" s="222" t="str">
        <f>IFERROR(VLOOKUP($A91,メルマガ読み込み用!$A$2:$K$250,6,FALSE),"")</f>
        <v/>
      </c>
      <c r="G91" s="222" t="str">
        <f>IFERROR(VLOOKUP($A91,メルマガ読み込み用!$A$2:$L$250,12,FALSE),"")</f>
        <v/>
      </c>
      <c r="H91" s="221" t="str">
        <f>IFERROR(VLOOKUP($A91,メルマガ読み込み用!$A$2:$K$250,7,FALSE),"")</f>
        <v/>
      </c>
      <c r="I91" s="222" t="str">
        <f>IFERROR(VLOOKUP($A91,メルマガ読み込み用!$A$2:$K$250,8,FALSE),"")</f>
        <v/>
      </c>
      <c r="J91" s="223" t="str">
        <f>IFERROR(VLOOKUP($A91,メルマガ読み込み用!$A$2:$K$250,11,FALSE),"")</f>
        <v/>
      </c>
    </row>
    <row r="92" spans="1:10">
      <c r="A92" s="113">
        <v>90</v>
      </c>
      <c r="B92" s="222" t="str">
        <f>IFERROR(VLOOKUP($A92,メルマガ読み込み用!$A$2:$K$250,2,FALSE),"")</f>
        <v/>
      </c>
      <c r="C92" s="222" t="str">
        <f>IFERROR(VLOOKUP($A92,メルマガ読み込み用!$A$2:$K$250,3,FALSE),"")</f>
        <v/>
      </c>
      <c r="D92" s="222" t="str">
        <f>IFERROR(VLOOKUP($A92,メルマガ読み込み用!$A$2:$K$250,4,FALSE),"")</f>
        <v/>
      </c>
      <c r="E92" s="222" t="str">
        <f>IFERROR(VLOOKUP($A92,メルマガ読み込み用!$A$2:$K$250,5,FALSE),"")</f>
        <v/>
      </c>
      <c r="F92" s="222" t="str">
        <f>IFERROR(VLOOKUP($A92,メルマガ読み込み用!$A$2:$K$250,6,FALSE),"")</f>
        <v/>
      </c>
      <c r="G92" s="222" t="str">
        <f>IFERROR(VLOOKUP($A92,メルマガ読み込み用!$A$2:$L$250,12,FALSE),"")</f>
        <v/>
      </c>
      <c r="H92" s="221" t="str">
        <f>IFERROR(VLOOKUP($A92,メルマガ読み込み用!$A$2:$K$250,7,FALSE),"")</f>
        <v/>
      </c>
      <c r="I92" s="222" t="str">
        <f>IFERROR(VLOOKUP($A92,メルマガ読み込み用!$A$2:$K$250,8,FALSE),"")</f>
        <v/>
      </c>
      <c r="J92" s="223" t="str">
        <f>IFERROR(VLOOKUP($A92,メルマガ読み込み用!$A$2:$K$250,11,FALSE),"")</f>
        <v/>
      </c>
    </row>
    <row r="93" spans="1:10">
      <c r="A93" s="113">
        <v>91</v>
      </c>
      <c r="B93" s="222" t="str">
        <f>IFERROR(VLOOKUP($A93,メルマガ読み込み用!$A$2:$K$250,2,FALSE),"")</f>
        <v/>
      </c>
      <c r="C93" s="222" t="str">
        <f>IFERROR(VLOOKUP($A93,メルマガ読み込み用!$A$2:$K$250,3,FALSE),"")</f>
        <v/>
      </c>
      <c r="D93" s="222" t="str">
        <f>IFERROR(VLOOKUP($A93,メルマガ読み込み用!$A$2:$K$250,4,FALSE),"")</f>
        <v/>
      </c>
      <c r="E93" s="222" t="str">
        <f>IFERROR(VLOOKUP($A93,メルマガ読み込み用!$A$2:$K$250,5,FALSE),"")</f>
        <v/>
      </c>
      <c r="F93" s="222" t="str">
        <f>IFERROR(VLOOKUP($A93,メルマガ読み込み用!$A$2:$K$250,6,FALSE),"")</f>
        <v/>
      </c>
      <c r="G93" s="222" t="str">
        <f>IFERROR(VLOOKUP($A93,メルマガ読み込み用!$A$2:$L$250,12,FALSE),"")</f>
        <v/>
      </c>
      <c r="H93" s="221" t="str">
        <f>IFERROR(VLOOKUP($A93,メルマガ読み込み用!$A$2:$K$250,7,FALSE),"")</f>
        <v/>
      </c>
      <c r="I93" s="222" t="str">
        <f>IFERROR(VLOOKUP($A93,メルマガ読み込み用!$A$2:$K$250,8,FALSE),"")</f>
        <v/>
      </c>
      <c r="J93" s="223" t="str">
        <f>IFERROR(VLOOKUP($A93,メルマガ読み込み用!$A$2:$K$250,11,FALSE),"")</f>
        <v/>
      </c>
    </row>
    <row r="94" spans="1:10">
      <c r="A94" s="113">
        <v>92</v>
      </c>
      <c r="B94" s="222" t="str">
        <f>IFERROR(VLOOKUP($A94,メルマガ読み込み用!$A$2:$K$250,2,FALSE),"")</f>
        <v/>
      </c>
      <c r="C94" s="222" t="str">
        <f>IFERROR(VLOOKUP($A94,メルマガ読み込み用!$A$2:$K$250,3,FALSE),"")</f>
        <v/>
      </c>
      <c r="D94" s="222" t="str">
        <f>IFERROR(VLOOKUP($A94,メルマガ読み込み用!$A$2:$K$250,4,FALSE),"")</f>
        <v/>
      </c>
      <c r="E94" s="222" t="str">
        <f>IFERROR(VLOOKUP($A94,メルマガ読み込み用!$A$2:$K$250,5,FALSE),"")</f>
        <v/>
      </c>
      <c r="F94" s="222" t="str">
        <f>IFERROR(VLOOKUP($A94,メルマガ読み込み用!$A$2:$K$250,6,FALSE),"")</f>
        <v/>
      </c>
      <c r="G94" s="222" t="str">
        <f>IFERROR(VLOOKUP($A94,メルマガ読み込み用!$A$2:$L$250,12,FALSE),"")</f>
        <v/>
      </c>
      <c r="H94" s="221" t="str">
        <f>IFERROR(VLOOKUP($A94,メルマガ読み込み用!$A$2:$K$250,7,FALSE),"")</f>
        <v/>
      </c>
      <c r="I94" s="222" t="str">
        <f>IFERROR(VLOOKUP($A94,メルマガ読み込み用!$A$2:$K$250,8,FALSE),"")</f>
        <v/>
      </c>
      <c r="J94" s="223" t="str">
        <f>IFERROR(VLOOKUP($A94,メルマガ読み込み用!$A$2:$K$250,11,FALSE),"")</f>
        <v/>
      </c>
    </row>
    <row r="95" spans="1:10">
      <c r="A95" s="113">
        <v>93</v>
      </c>
      <c r="B95" s="222" t="str">
        <f>IFERROR(VLOOKUP($A95,メルマガ読み込み用!$A$2:$K$250,2,FALSE),"")</f>
        <v/>
      </c>
      <c r="C95" s="222" t="str">
        <f>IFERROR(VLOOKUP($A95,メルマガ読み込み用!$A$2:$K$250,3,FALSE),"")</f>
        <v/>
      </c>
      <c r="D95" s="222" t="str">
        <f>IFERROR(VLOOKUP($A95,メルマガ読み込み用!$A$2:$K$250,4,FALSE),"")</f>
        <v/>
      </c>
      <c r="E95" s="222" t="str">
        <f>IFERROR(VLOOKUP($A95,メルマガ読み込み用!$A$2:$K$250,5,FALSE),"")</f>
        <v/>
      </c>
      <c r="F95" s="222" t="str">
        <f>IFERROR(VLOOKUP($A95,メルマガ読み込み用!$A$2:$K$250,6,FALSE),"")</f>
        <v/>
      </c>
      <c r="G95" s="222" t="str">
        <f>IFERROR(VLOOKUP($A95,メルマガ読み込み用!$A$2:$L$250,12,FALSE),"")</f>
        <v/>
      </c>
      <c r="H95" s="221" t="str">
        <f>IFERROR(VLOOKUP($A95,メルマガ読み込み用!$A$2:$K$250,7,FALSE),"")</f>
        <v/>
      </c>
      <c r="I95" s="222" t="str">
        <f>IFERROR(VLOOKUP($A95,メルマガ読み込み用!$A$2:$K$250,8,FALSE),"")</f>
        <v/>
      </c>
      <c r="J95" s="223" t="str">
        <f>IFERROR(VLOOKUP($A95,メルマガ読み込み用!$A$2:$K$250,11,FALSE),"")</f>
        <v/>
      </c>
    </row>
    <row r="96" spans="1:10">
      <c r="A96" s="113">
        <v>94</v>
      </c>
      <c r="B96" s="222" t="str">
        <f>IFERROR(VLOOKUP($A96,メルマガ読み込み用!$A$2:$K$250,2,FALSE),"")</f>
        <v/>
      </c>
      <c r="C96" s="222" t="str">
        <f>IFERROR(VLOOKUP($A96,メルマガ読み込み用!$A$2:$K$250,3,FALSE),"")</f>
        <v/>
      </c>
      <c r="D96" s="222" t="str">
        <f>IFERROR(VLOOKUP($A96,メルマガ読み込み用!$A$2:$K$250,4,FALSE),"")</f>
        <v/>
      </c>
      <c r="E96" s="222" t="str">
        <f>IFERROR(VLOOKUP($A96,メルマガ読み込み用!$A$2:$K$250,5,FALSE),"")</f>
        <v/>
      </c>
      <c r="F96" s="222" t="str">
        <f>IFERROR(VLOOKUP($A96,メルマガ読み込み用!$A$2:$K$250,6,FALSE),"")</f>
        <v/>
      </c>
      <c r="G96" s="222" t="str">
        <f>IFERROR(VLOOKUP($A96,メルマガ読み込み用!$A$2:$L$250,12,FALSE),"")</f>
        <v/>
      </c>
      <c r="H96" s="221" t="str">
        <f>IFERROR(VLOOKUP($A96,メルマガ読み込み用!$A$2:$K$250,7,FALSE),"")</f>
        <v/>
      </c>
      <c r="I96" s="222" t="str">
        <f>IFERROR(VLOOKUP($A96,メルマガ読み込み用!$A$2:$K$250,8,FALSE),"")</f>
        <v/>
      </c>
      <c r="J96" s="223" t="str">
        <f>IFERROR(VLOOKUP($A96,メルマガ読み込み用!$A$2:$K$250,11,FALSE),"")</f>
        <v/>
      </c>
    </row>
    <row r="97" spans="1:10">
      <c r="A97" s="113">
        <v>95</v>
      </c>
      <c r="B97" s="222" t="str">
        <f>IFERROR(VLOOKUP($A97,メルマガ読み込み用!$A$2:$K$250,2,FALSE),"")</f>
        <v/>
      </c>
      <c r="C97" s="222" t="str">
        <f>IFERROR(VLOOKUP($A97,メルマガ読み込み用!$A$2:$K$250,3,FALSE),"")</f>
        <v/>
      </c>
      <c r="D97" s="222" t="str">
        <f>IFERROR(VLOOKUP($A97,メルマガ読み込み用!$A$2:$K$250,4,FALSE),"")</f>
        <v/>
      </c>
      <c r="E97" s="222" t="str">
        <f>IFERROR(VLOOKUP($A97,メルマガ読み込み用!$A$2:$K$250,5,FALSE),"")</f>
        <v/>
      </c>
      <c r="F97" s="222" t="str">
        <f>IFERROR(VLOOKUP($A97,メルマガ読み込み用!$A$2:$K$250,6,FALSE),"")</f>
        <v/>
      </c>
      <c r="G97" s="222" t="str">
        <f>IFERROR(VLOOKUP($A97,メルマガ読み込み用!$A$2:$L$250,12,FALSE),"")</f>
        <v/>
      </c>
      <c r="H97" s="221" t="str">
        <f>IFERROR(VLOOKUP($A97,メルマガ読み込み用!$A$2:$K$250,7,FALSE),"")</f>
        <v/>
      </c>
      <c r="I97" s="222" t="str">
        <f>IFERROR(VLOOKUP($A97,メルマガ読み込み用!$A$2:$K$250,8,FALSE),"")</f>
        <v/>
      </c>
      <c r="J97" s="223" t="str">
        <f>IFERROR(VLOOKUP($A97,メルマガ読み込み用!$A$2:$K$250,11,FALSE),"")</f>
        <v/>
      </c>
    </row>
    <row r="98" spans="1:10">
      <c r="A98" s="113">
        <v>96</v>
      </c>
      <c r="B98" s="222" t="str">
        <f>IFERROR(VLOOKUP($A98,メルマガ読み込み用!$A$2:$K$250,2,FALSE),"")</f>
        <v/>
      </c>
      <c r="C98" s="222" t="str">
        <f>IFERROR(VLOOKUP($A98,メルマガ読み込み用!$A$2:$K$250,3,FALSE),"")</f>
        <v/>
      </c>
      <c r="D98" s="222" t="str">
        <f>IFERROR(VLOOKUP($A98,メルマガ読み込み用!$A$2:$K$250,4,FALSE),"")</f>
        <v/>
      </c>
      <c r="E98" s="222" t="str">
        <f>IFERROR(VLOOKUP($A98,メルマガ読み込み用!$A$2:$K$250,5,FALSE),"")</f>
        <v/>
      </c>
      <c r="F98" s="222" t="str">
        <f>IFERROR(VLOOKUP($A98,メルマガ読み込み用!$A$2:$K$250,6,FALSE),"")</f>
        <v/>
      </c>
      <c r="G98" s="222" t="str">
        <f>IFERROR(VLOOKUP($A98,メルマガ読み込み用!$A$2:$L$250,12,FALSE),"")</f>
        <v/>
      </c>
      <c r="H98" s="221" t="str">
        <f>IFERROR(VLOOKUP($A98,メルマガ読み込み用!$A$2:$K$250,7,FALSE),"")</f>
        <v/>
      </c>
      <c r="I98" s="222" t="str">
        <f>IFERROR(VLOOKUP($A98,メルマガ読み込み用!$A$2:$K$250,8,FALSE),"")</f>
        <v/>
      </c>
      <c r="J98" s="223" t="str">
        <f>IFERROR(VLOOKUP($A98,メルマガ読み込み用!$A$2:$K$250,11,FALSE),"")</f>
        <v/>
      </c>
    </row>
    <row r="99" spans="1:10">
      <c r="A99" s="113">
        <v>97</v>
      </c>
      <c r="B99" s="222" t="str">
        <f>IFERROR(VLOOKUP($A99,メルマガ読み込み用!$A$2:$K$250,2,FALSE),"")</f>
        <v/>
      </c>
      <c r="C99" s="222" t="str">
        <f>IFERROR(VLOOKUP($A99,メルマガ読み込み用!$A$2:$K$250,3,FALSE),"")</f>
        <v/>
      </c>
      <c r="D99" s="222" t="str">
        <f>IFERROR(VLOOKUP($A99,メルマガ読み込み用!$A$2:$K$250,4,FALSE),"")</f>
        <v/>
      </c>
      <c r="E99" s="222" t="str">
        <f>IFERROR(VLOOKUP($A99,メルマガ読み込み用!$A$2:$K$250,5,FALSE),"")</f>
        <v/>
      </c>
      <c r="F99" s="222" t="str">
        <f>IFERROR(VLOOKUP($A99,メルマガ読み込み用!$A$2:$K$250,6,FALSE),"")</f>
        <v/>
      </c>
      <c r="G99" s="222" t="str">
        <f>IFERROR(VLOOKUP($A99,メルマガ読み込み用!$A$2:$L$250,12,FALSE),"")</f>
        <v/>
      </c>
      <c r="H99" s="221" t="str">
        <f>IFERROR(VLOOKUP($A99,メルマガ読み込み用!$A$2:$K$250,7,FALSE),"")</f>
        <v/>
      </c>
      <c r="I99" s="222" t="str">
        <f>IFERROR(VLOOKUP($A99,メルマガ読み込み用!$A$2:$K$250,8,FALSE),"")</f>
        <v/>
      </c>
      <c r="J99" s="223" t="str">
        <f>IFERROR(VLOOKUP($A99,メルマガ読み込み用!$A$2:$K$250,11,FALSE),"")</f>
        <v/>
      </c>
    </row>
    <row r="100" spans="1:10">
      <c r="A100" s="113">
        <v>98</v>
      </c>
      <c r="B100" s="222" t="str">
        <f>IFERROR(VLOOKUP($A100,メルマガ読み込み用!$A$2:$K$250,2,FALSE),"")</f>
        <v/>
      </c>
      <c r="C100" s="222" t="str">
        <f>IFERROR(VLOOKUP($A100,メルマガ読み込み用!$A$2:$K$250,3,FALSE),"")</f>
        <v/>
      </c>
      <c r="D100" s="222" t="str">
        <f>IFERROR(VLOOKUP($A100,メルマガ読み込み用!$A$2:$K$250,4,FALSE),"")</f>
        <v/>
      </c>
      <c r="E100" s="222" t="str">
        <f>IFERROR(VLOOKUP($A100,メルマガ読み込み用!$A$2:$K$250,5,FALSE),"")</f>
        <v/>
      </c>
      <c r="F100" s="222" t="str">
        <f>IFERROR(VLOOKUP($A100,メルマガ読み込み用!$A$2:$K$250,6,FALSE),"")</f>
        <v/>
      </c>
      <c r="G100" s="222" t="str">
        <f>IFERROR(VLOOKUP($A100,メルマガ読み込み用!$A$2:$L$250,12,FALSE),"")</f>
        <v/>
      </c>
      <c r="H100" s="221" t="str">
        <f>IFERROR(VLOOKUP($A100,メルマガ読み込み用!$A$2:$K$250,7,FALSE),"")</f>
        <v/>
      </c>
      <c r="I100" s="222" t="str">
        <f>IFERROR(VLOOKUP($A100,メルマガ読み込み用!$A$2:$K$250,8,FALSE),"")</f>
        <v/>
      </c>
      <c r="J100" s="223" t="str">
        <f>IFERROR(VLOOKUP($A100,メルマガ読み込み用!$A$2:$K$250,11,FALSE),"")</f>
        <v/>
      </c>
    </row>
    <row r="101" spans="1:10">
      <c r="A101" s="113">
        <v>99</v>
      </c>
      <c r="B101" s="222" t="str">
        <f>IFERROR(VLOOKUP($A101,メルマガ読み込み用!$A$2:$K$250,2,FALSE),"")</f>
        <v/>
      </c>
      <c r="C101" s="222" t="str">
        <f>IFERROR(VLOOKUP($A101,メルマガ読み込み用!$A$2:$K$250,3,FALSE),"")</f>
        <v/>
      </c>
      <c r="D101" s="222" t="str">
        <f>IFERROR(VLOOKUP($A101,メルマガ読み込み用!$A$2:$K$250,4,FALSE),"")</f>
        <v/>
      </c>
      <c r="E101" s="222" t="str">
        <f>IFERROR(VLOOKUP($A101,メルマガ読み込み用!$A$2:$K$250,5,FALSE),"")</f>
        <v/>
      </c>
      <c r="F101" s="222" t="str">
        <f>IFERROR(VLOOKUP($A101,メルマガ読み込み用!$A$2:$K$250,6,FALSE),"")</f>
        <v/>
      </c>
      <c r="G101" s="222" t="str">
        <f>IFERROR(VLOOKUP($A101,メルマガ読み込み用!$A$2:$L$250,12,FALSE),"")</f>
        <v/>
      </c>
      <c r="H101" s="221" t="str">
        <f>IFERROR(VLOOKUP($A101,メルマガ読み込み用!$A$2:$K$250,7,FALSE),"")</f>
        <v/>
      </c>
      <c r="I101" s="222" t="str">
        <f>IFERROR(VLOOKUP($A101,メルマガ読み込み用!$A$2:$K$250,8,FALSE),"")</f>
        <v/>
      </c>
      <c r="J101" s="223" t="str">
        <f>IFERROR(VLOOKUP($A101,メルマガ読み込み用!$A$2:$K$250,11,FALSE),"")</f>
        <v/>
      </c>
    </row>
    <row r="102" spans="1:10">
      <c r="A102" s="113">
        <v>100</v>
      </c>
      <c r="B102" s="222" t="str">
        <f>IFERROR(VLOOKUP($A102,メルマガ読み込み用!$A$2:$K$250,2,FALSE),"")</f>
        <v/>
      </c>
      <c r="C102" s="222" t="str">
        <f>IFERROR(VLOOKUP($A102,メルマガ読み込み用!$A$2:$K$250,3,FALSE),"")</f>
        <v/>
      </c>
      <c r="D102" s="222" t="str">
        <f>IFERROR(VLOOKUP($A102,メルマガ読み込み用!$A$2:$K$250,4,FALSE),"")</f>
        <v/>
      </c>
      <c r="E102" s="222" t="str">
        <f>IFERROR(VLOOKUP($A102,メルマガ読み込み用!$A$2:$K$250,5,FALSE),"")</f>
        <v/>
      </c>
      <c r="F102" s="222" t="str">
        <f>IFERROR(VLOOKUP($A102,メルマガ読み込み用!$A$2:$K$250,6,FALSE),"")</f>
        <v/>
      </c>
      <c r="G102" s="222" t="str">
        <f>IFERROR(VLOOKUP($A102,メルマガ読み込み用!$A$2:$L$250,12,FALSE),"")</f>
        <v/>
      </c>
      <c r="H102" s="221" t="str">
        <f>IFERROR(VLOOKUP($A102,メルマガ読み込み用!$A$2:$K$250,7,FALSE),"")</f>
        <v/>
      </c>
      <c r="I102" s="222" t="str">
        <f>IFERROR(VLOOKUP($A102,メルマガ読み込み用!$A$2:$K$250,8,FALSE),"")</f>
        <v/>
      </c>
      <c r="J102" s="223" t="str">
        <f>IFERROR(VLOOKUP($A102,メルマガ読み込み用!$A$2:$K$250,11,FALSE),"")</f>
        <v/>
      </c>
    </row>
    <row r="103" spans="1:10">
      <c r="A103" s="113">
        <v>101</v>
      </c>
      <c r="B103" s="222" t="str">
        <f>IFERROR(VLOOKUP($A103,メルマガ読み込み用!$A$2:$K$250,2,FALSE),"")</f>
        <v/>
      </c>
      <c r="C103" s="222" t="str">
        <f>IFERROR(VLOOKUP($A103,メルマガ読み込み用!$A$2:$K$250,3,FALSE),"")</f>
        <v/>
      </c>
      <c r="D103" s="222" t="str">
        <f>IFERROR(VLOOKUP($A103,メルマガ読み込み用!$A$2:$K$250,4,FALSE),"")</f>
        <v/>
      </c>
      <c r="E103" s="222" t="str">
        <f>IFERROR(VLOOKUP($A103,メルマガ読み込み用!$A$2:$K$250,5,FALSE),"")</f>
        <v/>
      </c>
      <c r="F103" s="222" t="str">
        <f>IFERROR(VLOOKUP($A103,メルマガ読み込み用!$A$2:$K$250,6,FALSE),"")</f>
        <v/>
      </c>
      <c r="G103" s="222" t="str">
        <f>IFERROR(VLOOKUP($A103,メルマガ読み込み用!$A$2:$L$250,12,FALSE),"")</f>
        <v/>
      </c>
      <c r="H103" s="221" t="str">
        <f>IFERROR(VLOOKUP($A103,メルマガ読み込み用!$A$2:$K$250,7,FALSE),"")</f>
        <v/>
      </c>
      <c r="I103" s="222" t="str">
        <f>IFERROR(VLOOKUP($A103,メルマガ読み込み用!$A$2:$K$250,8,FALSE),"")</f>
        <v/>
      </c>
      <c r="J103" s="223" t="str">
        <f>IFERROR(VLOOKUP($A103,メルマガ読み込み用!$A$2:$K$250,11,FALSE),"")</f>
        <v/>
      </c>
    </row>
    <row r="104" spans="1:10">
      <c r="A104" s="113">
        <v>102</v>
      </c>
      <c r="B104" s="222" t="str">
        <f>IFERROR(VLOOKUP($A104,メルマガ読み込み用!$A$2:$K$250,2,FALSE),"")</f>
        <v/>
      </c>
      <c r="C104" s="222" t="str">
        <f>IFERROR(VLOOKUP($A104,メルマガ読み込み用!$A$2:$K$250,3,FALSE),"")</f>
        <v/>
      </c>
      <c r="D104" s="222" t="str">
        <f>IFERROR(VLOOKUP($A104,メルマガ読み込み用!$A$2:$K$250,4,FALSE),"")</f>
        <v/>
      </c>
      <c r="E104" s="222" t="str">
        <f>IFERROR(VLOOKUP($A104,メルマガ読み込み用!$A$2:$K$250,5,FALSE),"")</f>
        <v/>
      </c>
      <c r="F104" s="222" t="str">
        <f>IFERROR(VLOOKUP($A104,メルマガ読み込み用!$A$2:$K$250,6,FALSE),"")</f>
        <v/>
      </c>
      <c r="G104" s="222" t="str">
        <f>IFERROR(VLOOKUP($A104,メルマガ読み込み用!$A$2:$L$250,12,FALSE),"")</f>
        <v/>
      </c>
      <c r="H104" s="221" t="str">
        <f>IFERROR(VLOOKUP($A104,メルマガ読み込み用!$A$2:$K$250,7,FALSE),"")</f>
        <v/>
      </c>
      <c r="I104" s="222" t="str">
        <f>IFERROR(VLOOKUP($A104,メルマガ読み込み用!$A$2:$K$250,8,FALSE),"")</f>
        <v/>
      </c>
      <c r="J104" s="223" t="str">
        <f>IFERROR(VLOOKUP($A104,メルマガ読み込み用!$A$2:$K$250,11,FALSE),"")</f>
        <v/>
      </c>
    </row>
    <row r="105" spans="1:10">
      <c r="A105" s="113">
        <v>103</v>
      </c>
      <c r="B105" s="222" t="str">
        <f>IFERROR(VLOOKUP($A105,メルマガ読み込み用!$A$2:$K$250,2,FALSE),"")</f>
        <v/>
      </c>
      <c r="C105" s="222" t="str">
        <f>IFERROR(VLOOKUP($A105,メルマガ読み込み用!$A$2:$K$250,3,FALSE),"")</f>
        <v/>
      </c>
      <c r="D105" s="222" t="str">
        <f>IFERROR(VLOOKUP($A105,メルマガ読み込み用!$A$2:$K$250,4,FALSE),"")</f>
        <v/>
      </c>
      <c r="E105" s="222" t="str">
        <f>IFERROR(VLOOKUP($A105,メルマガ読み込み用!$A$2:$K$250,5,FALSE),"")</f>
        <v/>
      </c>
      <c r="F105" s="222" t="str">
        <f>IFERROR(VLOOKUP($A105,メルマガ読み込み用!$A$2:$K$250,6,FALSE),"")</f>
        <v/>
      </c>
      <c r="G105" s="222" t="str">
        <f>IFERROR(VLOOKUP($A105,メルマガ読み込み用!$A$2:$L$250,12,FALSE),"")</f>
        <v/>
      </c>
      <c r="H105" s="221" t="str">
        <f>IFERROR(VLOOKUP($A105,メルマガ読み込み用!$A$2:$K$250,7,FALSE),"")</f>
        <v/>
      </c>
      <c r="I105" s="222" t="str">
        <f>IFERROR(VLOOKUP($A105,メルマガ読み込み用!$A$2:$K$250,8,FALSE),"")</f>
        <v/>
      </c>
      <c r="J105" s="223" t="str">
        <f>IFERROR(VLOOKUP($A105,メルマガ読み込み用!$A$2:$K$250,11,FALSE),"")</f>
        <v/>
      </c>
    </row>
    <row r="106" spans="1:10">
      <c r="A106" s="113">
        <v>104</v>
      </c>
      <c r="B106" s="222" t="str">
        <f>IFERROR(VLOOKUP($A106,メルマガ読み込み用!$A$2:$K$250,2,FALSE),"")</f>
        <v/>
      </c>
      <c r="C106" s="222" t="str">
        <f>IFERROR(VLOOKUP($A106,メルマガ読み込み用!$A$2:$K$250,3,FALSE),"")</f>
        <v/>
      </c>
      <c r="D106" s="222" t="str">
        <f>IFERROR(VLOOKUP($A106,メルマガ読み込み用!$A$2:$K$250,4,FALSE),"")</f>
        <v/>
      </c>
      <c r="E106" s="222" t="str">
        <f>IFERROR(VLOOKUP($A106,メルマガ読み込み用!$A$2:$K$250,5,FALSE),"")</f>
        <v/>
      </c>
      <c r="F106" s="222" t="str">
        <f>IFERROR(VLOOKUP($A106,メルマガ読み込み用!$A$2:$K$250,6,FALSE),"")</f>
        <v/>
      </c>
      <c r="G106" s="222" t="str">
        <f>IFERROR(VLOOKUP($A106,メルマガ読み込み用!$A$2:$L$250,12,FALSE),"")</f>
        <v/>
      </c>
      <c r="H106" s="221" t="str">
        <f>IFERROR(VLOOKUP($A106,メルマガ読み込み用!$A$2:$K$250,7,FALSE),"")</f>
        <v/>
      </c>
      <c r="I106" s="222" t="str">
        <f>IFERROR(VLOOKUP($A106,メルマガ読み込み用!$A$2:$K$250,8,FALSE),"")</f>
        <v/>
      </c>
      <c r="J106" s="223" t="str">
        <f>IFERROR(VLOOKUP($A106,メルマガ読み込み用!$A$2:$K$250,11,FALSE),"")</f>
        <v/>
      </c>
    </row>
    <row r="107" spans="1:10">
      <c r="A107" s="113">
        <v>105</v>
      </c>
      <c r="B107" s="222" t="str">
        <f>IFERROR(VLOOKUP($A107,メルマガ読み込み用!$A$2:$K$250,2,FALSE),"")</f>
        <v/>
      </c>
      <c r="C107" s="222" t="str">
        <f>IFERROR(VLOOKUP($A107,メルマガ読み込み用!$A$2:$K$250,3,FALSE),"")</f>
        <v/>
      </c>
      <c r="D107" s="222" t="str">
        <f>IFERROR(VLOOKUP($A107,メルマガ読み込み用!$A$2:$K$250,4,FALSE),"")</f>
        <v/>
      </c>
      <c r="E107" s="222" t="str">
        <f>IFERROR(VLOOKUP($A107,メルマガ読み込み用!$A$2:$K$250,5,FALSE),"")</f>
        <v/>
      </c>
      <c r="F107" s="222" t="str">
        <f>IFERROR(VLOOKUP($A107,メルマガ読み込み用!$A$2:$K$250,6,FALSE),"")</f>
        <v/>
      </c>
      <c r="G107" s="222" t="str">
        <f>IFERROR(VLOOKUP($A107,メルマガ読み込み用!$A$2:$L$250,12,FALSE),"")</f>
        <v/>
      </c>
      <c r="H107" s="221" t="str">
        <f>IFERROR(VLOOKUP($A107,メルマガ読み込み用!$A$2:$K$250,7,FALSE),"")</f>
        <v/>
      </c>
      <c r="I107" s="222" t="str">
        <f>IFERROR(VLOOKUP($A107,メルマガ読み込み用!$A$2:$K$250,8,FALSE),"")</f>
        <v/>
      </c>
      <c r="J107" s="223" t="str">
        <f>IFERROR(VLOOKUP($A107,メルマガ読み込み用!$A$2:$K$250,11,FALSE),"")</f>
        <v/>
      </c>
    </row>
    <row r="108" spans="1:10">
      <c r="A108" s="113">
        <v>106</v>
      </c>
      <c r="B108" s="222" t="str">
        <f>IFERROR(VLOOKUP($A108,メルマガ読み込み用!$A$2:$K$250,2,FALSE),"")</f>
        <v/>
      </c>
      <c r="C108" s="222" t="str">
        <f>IFERROR(VLOOKUP($A108,メルマガ読み込み用!$A$2:$K$250,3,FALSE),"")</f>
        <v/>
      </c>
      <c r="D108" s="222" t="str">
        <f>IFERROR(VLOOKUP($A108,メルマガ読み込み用!$A$2:$K$250,4,FALSE),"")</f>
        <v/>
      </c>
      <c r="E108" s="222" t="str">
        <f>IFERROR(VLOOKUP($A108,メルマガ読み込み用!$A$2:$K$250,5,FALSE),"")</f>
        <v/>
      </c>
      <c r="F108" s="222" t="str">
        <f>IFERROR(VLOOKUP($A108,メルマガ読み込み用!$A$2:$K$250,6,FALSE),"")</f>
        <v/>
      </c>
      <c r="G108" s="222" t="str">
        <f>IFERROR(VLOOKUP($A108,メルマガ読み込み用!$A$2:$L$250,12,FALSE),"")</f>
        <v/>
      </c>
      <c r="H108" s="221" t="str">
        <f>IFERROR(VLOOKUP($A108,メルマガ読み込み用!$A$2:$K$250,7,FALSE),"")</f>
        <v/>
      </c>
      <c r="I108" s="222" t="str">
        <f>IFERROR(VLOOKUP($A108,メルマガ読み込み用!$A$2:$K$250,8,FALSE),"")</f>
        <v/>
      </c>
      <c r="J108" s="223" t="str">
        <f>IFERROR(VLOOKUP($A108,メルマガ読み込み用!$A$2:$K$250,11,FALSE),"")</f>
        <v/>
      </c>
    </row>
    <row r="109" spans="1:10">
      <c r="A109" s="113">
        <v>107</v>
      </c>
      <c r="B109" s="222" t="str">
        <f>IFERROR(VLOOKUP($A109,メルマガ読み込み用!$A$2:$K$250,2,FALSE),"")</f>
        <v/>
      </c>
      <c r="C109" s="222" t="str">
        <f>IFERROR(VLOOKUP($A109,メルマガ読み込み用!$A$2:$K$250,3,FALSE),"")</f>
        <v/>
      </c>
      <c r="D109" s="222" t="str">
        <f>IFERROR(VLOOKUP($A109,メルマガ読み込み用!$A$2:$K$250,4,FALSE),"")</f>
        <v/>
      </c>
      <c r="E109" s="222" t="str">
        <f>IFERROR(VLOOKUP($A109,メルマガ読み込み用!$A$2:$K$250,5,FALSE),"")</f>
        <v/>
      </c>
      <c r="F109" s="222" t="str">
        <f>IFERROR(VLOOKUP($A109,メルマガ読み込み用!$A$2:$K$250,6,FALSE),"")</f>
        <v/>
      </c>
      <c r="G109" s="222" t="str">
        <f>IFERROR(VLOOKUP($A109,メルマガ読み込み用!$A$2:$L$250,12,FALSE),"")</f>
        <v/>
      </c>
      <c r="H109" s="221" t="str">
        <f>IFERROR(VLOOKUP($A109,メルマガ読み込み用!$A$2:$K$250,7,FALSE),"")</f>
        <v/>
      </c>
      <c r="I109" s="222" t="str">
        <f>IFERROR(VLOOKUP($A109,メルマガ読み込み用!$A$2:$K$250,8,FALSE),"")</f>
        <v/>
      </c>
      <c r="J109" s="223" t="str">
        <f>IFERROR(VLOOKUP($A109,メルマガ読み込み用!$A$2:$K$250,11,FALSE),"")</f>
        <v/>
      </c>
    </row>
    <row r="110" spans="1:10">
      <c r="A110" s="113">
        <v>108</v>
      </c>
      <c r="B110" s="222" t="str">
        <f>IFERROR(VLOOKUP($A110,メルマガ読み込み用!$A$2:$K$250,2,FALSE),"")</f>
        <v/>
      </c>
      <c r="C110" s="222" t="str">
        <f>IFERROR(VLOOKUP($A110,メルマガ読み込み用!$A$2:$K$250,3,FALSE),"")</f>
        <v/>
      </c>
      <c r="D110" s="222" t="str">
        <f>IFERROR(VLOOKUP($A110,メルマガ読み込み用!$A$2:$K$250,4,FALSE),"")</f>
        <v/>
      </c>
      <c r="E110" s="222" t="str">
        <f>IFERROR(VLOOKUP($A110,メルマガ読み込み用!$A$2:$K$250,5,FALSE),"")</f>
        <v/>
      </c>
      <c r="F110" s="222" t="str">
        <f>IFERROR(VLOOKUP($A110,メルマガ読み込み用!$A$2:$K$250,6,FALSE),"")</f>
        <v/>
      </c>
      <c r="G110" s="222" t="str">
        <f>IFERROR(VLOOKUP($A110,メルマガ読み込み用!$A$2:$L$250,12,FALSE),"")</f>
        <v/>
      </c>
      <c r="H110" s="221" t="str">
        <f>IFERROR(VLOOKUP($A110,メルマガ読み込み用!$A$2:$K$250,7,FALSE),"")</f>
        <v/>
      </c>
      <c r="I110" s="222" t="str">
        <f>IFERROR(VLOOKUP($A110,メルマガ読み込み用!$A$2:$K$250,8,FALSE),"")</f>
        <v/>
      </c>
      <c r="J110" s="223" t="str">
        <f>IFERROR(VLOOKUP($A110,メルマガ読み込み用!$A$2:$K$250,11,FALSE),"")</f>
        <v/>
      </c>
    </row>
    <row r="111" spans="1:10">
      <c r="A111" s="113">
        <v>109</v>
      </c>
      <c r="B111" s="222" t="str">
        <f>IFERROR(VLOOKUP($A111,メルマガ読み込み用!$A$2:$K$250,2,FALSE),"")</f>
        <v/>
      </c>
      <c r="C111" s="222" t="str">
        <f>IFERROR(VLOOKUP($A111,メルマガ読み込み用!$A$2:$K$250,3,FALSE),"")</f>
        <v/>
      </c>
      <c r="D111" s="222" t="str">
        <f>IFERROR(VLOOKUP($A111,メルマガ読み込み用!$A$2:$K$250,4,FALSE),"")</f>
        <v/>
      </c>
      <c r="E111" s="222" t="str">
        <f>IFERROR(VLOOKUP($A111,メルマガ読み込み用!$A$2:$K$250,5,FALSE),"")</f>
        <v/>
      </c>
      <c r="F111" s="222" t="str">
        <f>IFERROR(VLOOKUP($A111,メルマガ読み込み用!$A$2:$K$250,6,FALSE),"")</f>
        <v/>
      </c>
      <c r="G111" s="222" t="str">
        <f>IFERROR(VLOOKUP($A111,メルマガ読み込み用!$A$2:$L$250,12,FALSE),"")</f>
        <v/>
      </c>
      <c r="H111" s="221" t="str">
        <f>IFERROR(VLOOKUP($A111,メルマガ読み込み用!$A$2:$K$250,7,FALSE),"")</f>
        <v/>
      </c>
      <c r="I111" s="222" t="str">
        <f>IFERROR(VLOOKUP($A111,メルマガ読み込み用!$A$2:$K$250,8,FALSE),"")</f>
        <v/>
      </c>
      <c r="J111" s="223" t="str">
        <f>IFERROR(VLOOKUP($A111,メルマガ読み込み用!$A$2:$K$250,11,FALSE),"")</f>
        <v/>
      </c>
    </row>
    <row r="112" spans="1:10">
      <c r="A112" s="113">
        <v>110</v>
      </c>
      <c r="B112" s="222" t="str">
        <f>IFERROR(VLOOKUP($A112,メルマガ読み込み用!$A$2:$K$250,2,FALSE),"")</f>
        <v/>
      </c>
      <c r="C112" s="222" t="str">
        <f>IFERROR(VLOOKUP($A112,メルマガ読み込み用!$A$2:$K$250,3,FALSE),"")</f>
        <v/>
      </c>
      <c r="D112" s="222" t="str">
        <f>IFERROR(VLOOKUP($A112,メルマガ読み込み用!$A$2:$K$250,4,FALSE),"")</f>
        <v/>
      </c>
      <c r="E112" s="222" t="str">
        <f>IFERROR(VLOOKUP($A112,メルマガ読み込み用!$A$2:$K$250,5,FALSE),"")</f>
        <v/>
      </c>
      <c r="F112" s="222" t="str">
        <f>IFERROR(VLOOKUP($A112,メルマガ読み込み用!$A$2:$K$250,6,FALSE),"")</f>
        <v/>
      </c>
      <c r="G112" s="222" t="str">
        <f>IFERROR(VLOOKUP($A112,メルマガ読み込み用!$A$2:$L$250,12,FALSE),"")</f>
        <v/>
      </c>
      <c r="H112" s="221" t="str">
        <f>IFERROR(VLOOKUP($A112,メルマガ読み込み用!$A$2:$K$250,7,FALSE),"")</f>
        <v/>
      </c>
      <c r="I112" s="222" t="str">
        <f>IFERROR(VLOOKUP($A112,メルマガ読み込み用!$A$2:$K$250,8,FALSE),"")</f>
        <v/>
      </c>
      <c r="J112" s="223" t="str">
        <f>IFERROR(VLOOKUP($A112,メルマガ読み込み用!$A$2:$K$250,11,FALSE),"")</f>
        <v/>
      </c>
    </row>
    <row r="113" spans="1:10">
      <c r="A113" s="113">
        <v>111</v>
      </c>
      <c r="B113" s="222" t="str">
        <f>IFERROR(VLOOKUP($A113,メルマガ読み込み用!$A$2:$K$250,2,FALSE),"")</f>
        <v/>
      </c>
      <c r="C113" s="222" t="str">
        <f>IFERROR(VLOOKUP($A113,メルマガ読み込み用!$A$2:$K$250,3,FALSE),"")</f>
        <v/>
      </c>
      <c r="D113" s="222" t="str">
        <f>IFERROR(VLOOKUP($A113,メルマガ読み込み用!$A$2:$K$250,4,FALSE),"")</f>
        <v/>
      </c>
      <c r="E113" s="222" t="str">
        <f>IFERROR(VLOOKUP($A113,メルマガ読み込み用!$A$2:$K$250,5,FALSE),"")</f>
        <v/>
      </c>
      <c r="F113" s="222" t="str">
        <f>IFERROR(VLOOKUP($A113,メルマガ読み込み用!$A$2:$K$250,6,FALSE),"")</f>
        <v/>
      </c>
      <c r="G113" s="222" t="str">
        <f>IFERROR(VLOOKUP($A113,メルマガ読み込み用!$A$2:$L$250,12,FALSE),"")</f>
        <v/>
      </c>
      <c r="H113" s="221" t="str">
        <f>IFERROR(VLOOKUP($A113,メルマガ読み込み用!$A$2:$K$250,7,FALSE),"")</f>
        <v/>
      </c>
      <c r="I113" s="222" t="str">
        <f>IFERROR(VLOOKUP($A113,メルマガ読み込み用!$A$2:$K$250,8,FALSE),"")</f>
        <v/>
      </c>
      <c r="J113" s="223" t="str">
        <f>IFERROR(VLOOKUP($A113,メルマガ読み込み用!$A$2:$K$250,11,FALSE),"")</f>
        <v/>
      </c>
    </row>
    <row r="114" spans="1:10">
      <c r="A114" s="113">
        <v>112</v>
      </c>
      <c r="B114" s="222" t="str">
        <f>IFERROR(VLOOKUP($A114,メルマガ読み込み用!$A$2:$K$250,2,FALSE),"")</f>
        <v/>
      </c>
      <c r="C114" s="222" t="str">
        <f>IFERROR(VLOOKUP($A114,メルマガ読み込み用!$A$2:$K$250,3,FALSE),"")</f>
        <v/>
      </c>
      <c r="D114" s="222" t="str">
        <f>IFERROR(VLOOKUP($A114,メルマガ読み込み用!$A$2:$K$250,4,FALSE),"")</f>
        <v/>
      </c>
      <c r="E114" s="222" t="str">
        <f>IFERROR(VLOOKUP($A114,メルマガ読み込み用!$A$2:$K$250,5,FALSE),"")</f>
        <v/>
      </c>
      <c r="F114" s="222" t="str">
        <f>IFERROR(VLOOKUP($A114,メルマガ読み込み用!$A$2:$K$250,6,FALSE),"")</f>
        <v/>
      </c>
      <c r="G114" s="222" t="str">
        <f>IFERROR(VLOOKUP($A114,メルマガ読み込み用!$A$2:$L$250,12,FALSE),"")</f>
        <v/>
      </c>
      <c r="H114" s="221" t="str">
        <f>IFERROR(VLOOKUP($A114,メルマガ読み込み用!$A$2:$K$250,7,FALSE),"")</f>
        <v/>
      </c>
      <c r="I114" s="222" t="str">
        <f>IFERROR(VLOOKUP($A114,メルマガ読み込み用!$A$2:$K$250,8,FALSE),"")</f>
        <v/>
      </c>
      <c r="J114" s="223" t="str">
        <f>IFERROR(VLOOKUP($A114,メルマガ読み込み用!$A$2:$K$250,11,FALSE),"")</f>
        <v/>
      </c>
    </row>
    <row r="115" spans="1:10">
      <c r="A115" s="113">
        <v>113</v>
      </c>
      <c r="B115" s="222" t="str">
        <f>IFERROR(VLOOKUP($A115,メルマガ読み込み用!$A$2:$K$250,2,FALSE),"")</f>
        <v/>
      </c>
      <c r="C115" s="222" t="str">
        <f>IFERROR(VLOOKUP($A115,メルマガ読み込み用!$A$2:$K$250,3,FALSE),"")</f>
        <v/>
      </c>
      <c r="D115" s="222" t="str">
        <f>IFERROR(VLOOKUP($A115,メルマガ読み込み用!$A$2:$K$250,4,FALSE),"")</f>
        <v/>
      </c>
      <c r="E115" s="222" t="str">
        <f>IFERROR(VLOOKUP($A115,メルマガ読み込み用!$A$2:$K$250,5,FALSE),"")</f>
        <v/>
      </c>
      <c r="F115" s="222" t="str">
        <f>IFERROR(VLOOKUP($A115,メルマガ読み込み用!$A$2:$K$250,6,FALSE),"")</f>
        <v/>
      </c>
      <c r="G115" s="222" t="str">
        <f>IFERROR(VLOOKUP($A115,メルマガ読み込み用!$A$2:$L$250,12,FALSE),"")</f>
        <v/>
      </c>
      <c r="H115" s="221" t="str">
        <f>IFERROR(VLOOKUP($A115,メルマガ読み込み用!$A$2:$K$250,7,FALSE),"")</f>
        <v/>
      </c>
      <c r="I115" s="222" t="str">
        <f>IFERROR(VLOOKUP($A115,メルマガ読み込み用!$A$2:$K$250,8,FALSE),"")</f>
        <v/>
      </c>
      <c r="J115" s="223" t="str">
        <f>IFERROR(VLOOKUP($A115,メルマガ読み込み用!$A$2:$K$250,11,FALSE),"")</f>
        <v/>
      </c>
    </row>
    <row r="116" spans="1:10">
      <c r="A116" s="113">
        <v>114</v>
      </c>
      <c r="B116" s="222" t="str">
        <f>IFERROR(VLOOKUP($A116,メルマガ読み込み用!$A$2:$K$250,2,FALSE),"")</f>
        <v/>
      </c>
      <c r="C116" s="222" t="str">
        <f>IFERROR(VLOOKUP($A116,メルマガ読み込み用!$A$2:$K$250,3,FALSE),"")</f>
        <v/>
      </c>
      <c r="D116" s="222" t="str">
        <f>IFERROR(VLOOKUP($A116,メルマガ読み込み用!$A$2:$K$250,4,FALSE),"")</f>
        <v/>
      </c>
      <c r="E116" s="222" t="str">
        <f>IFERROR(VLOOKUP($A116,メルマガ読み込み用!$A$2:$K$250,5,FALSE),"")</f>
        <v/>
      </c>
      <c r="F116" s="222" t="str">
        <f>IFERROR(VLOOKUP($A116,メルマガ読み込み用!$A$2:$K$250,6,FALSE),"")</f>
        <v/>
      </c>
      <c r="G116" s="222" t="str">
        <f>IFERROR(VLOOKUP($A116,メルマガ読み込み用!$A$2:$L$250,12,FALSE),"")</f>
        <v/>
      </c>
      <c r="H116" s="221" t="str">
        <f>IFERROR(VLOOKUP($A116,メルマガ読み込み用!$A$2:$K$250,7,FALSE),"")</f>
        <v/>
      </c>
      <c r="I116" s="222" t="str">
        <f>IFERROR(VLOOKUP($A116,メルマガ読み込み用!$A$2:$K$250,8,FALSE),"")</f>
        <v/>
      </c>
      <c r="J116" s="223" t="str">
        <f>IFERROR(VLOOKUP($A116,メルマガ読み込み用!$A$2:$K$250,11,FALSE),"")</f>
        <v/>
      </c>
    </row>
    <row r="117" spans="1:10">
      <c r="A117" s="113">
        <v>115</v>
      </c>
      <c r="B117" s="222" t="str">
        <f>IFERROR(VLOOKUP($A117,メルマガ読み込み用!$A$2:$K$250,2,FALSE),"")</f>
        <v/>
      </c>
      <c r="C117" s="222" t="str">
        <f>IFERROR(VLOOKUP($A117,メルマガ読み込み用!$A$2:$K$250,3,FALSE),"")</f>
        <v/>
      </c>
      <c r="D117" s="222" t="str">
        <f>IFERROR(VLOOKUP($A117,メルマガ読み込み用!$A$2:$K$250,4,FALSE),"")</f>
        <v/>
      </c>
      <c r="E117" s="222" t="str">
        <f>IFERROR(VLOOKUP($A117,メルマガ読み込み用!$A$2:$K$250,5,FALSE),"")</f>
        <v/>
      </c>
      <c r="F117" s="222" t="str">
        <f>IFERROR(VLOOKUP($A117,メルマガ読み込み用!$A$2:$K$250,6,FALSE),"")</f>
        <v/>
      </c>
      <c r="G117" s="222" t="str">
        <f>IFERROR(VLOOKUP($A117,メルマガ読み込み用!$A$2:$L$250,12,FALSE),"")</f>
        <v/>
      </c>
      <c r="H117" s="221" t="str">
        <f>IFERROR(VLOOKUP($A117,メルマガ読み込み用!$A$2:$K$250,7,FALSE),"")</f>
        <v/>
      </c>
      <c r="I117" s="222" t="str">
        <f>IFERROR(VLOOKUP($A117,メルマガ読み込み用!$A$2:$K$250,8,FALSE),"")</f>
        <v/>
      </c>
      <c r="J117" s="223" t="str">
        <f>IFERROR(VLOOKUP($A117,メルマガ読み込み用!$A$2:$K$250,11,FALSE),"")</f>
        <v/>
      </c>
    </row>
    <row r="118" spans="1:10">
      <c r="A118" s="113">
        <v>116</v>
      </c>
      <c r="B118" s="222" t="str">
        <f>IFERROR(VLOOKUP($A118,メルマガ読み込み用!$A$2:$K$250,2,FALSE),"")</f>
        <v/>
      </c>
      <c r="C118" s="222" t="str">
        <f>IFERROR(VLOOKUP($A118,メルマガ読み込み用!$A$2:$K$250,3,FALSE),"")</f>
        <v/>
      </c>
      <c r="D118" s="222" t="str">
        <f>IFERROR(VLOOKUP($A118,メルマガ読み込み用!$A$2:$K$250,4,FALSE),"")</f>
        <v/>
      </c>
      <c r="E118" s="222" t="str">
        <f>IFERROR(VLOOKUP($A118,メルマガ読み込み用!$A$2:$K$250,5,FALSE),"")</f>
        <v/>
      </c>
      <c r="F118" s="222" t="str">
        <f>IFERROR(VLOOKUP($A118,メルマガ読み込み用!$A$2:$K$250,6,FALSE),"")</f>
        <v/>
      </c>
      <c r="G118" s="222" t="str">
        <f>IFERROR(VLOOKUP($A118,メルマガ読み込み用!$A$2:$L$250,12,FALSE),"")</f>
        <v/>
      </c>
      <c r="H118" s="221" t="str">
        <f>IFERROR(VLOOKUP($A118,メルマガ読み込み用!$A$2:$K$250,7,FALSE),"")</f>
        <v/>
      </c>
      <c r="I118" s="222" t="str">
        <f>IFERROR(VLOOKUP($A118,メルマガ読み込み用!$A$2:$K$250,8,FALSE),"")</f>
        <v/>
      </c>
      <c r="J118" s="223" t="str">
        <f>IFERROR(VLOOKUP($A118,メルマガ読み込み用!$A$2:$K$250,11,FALSE),"")</f>
        <v/>
      </c>
    </row>
    <row r="119" spans="1:10">
      <c r="A119" s="113">
        <v>117</v>
      </c>
      <c r="B119" s="222" t="str">
        <f>IFERROR(VLOOKUP($A119,メルマガ読み込み用!$A$2:$K$250,2,FALSE),"")</f>
        <v/>
      </c>
      <c r="C119" s="222" t="str">
        <f>IFERROR(VLOOKUP($A119,メルマガ読み込み用!$A$2:$K$250,3,FALSE),"")</f>
        <v/>
      </c>
      <c r="D119" s="222" t="str">
        <f>IFERROR(VLOOKUP($A119,メルマガ読み込み用!$A$2:$K$250,4,FALSE),"")</f>
        <v/>
      </c>
      <c r="E119" s="222" t="str">
        <f>IFERROR(VLOOKUP($A119,メルマガ読み込み用!$A$2:$K$250,5,FALSE),"")</f>
        <v/>
      </c>
      <c r="F119" s="222" t="str">
        <f>IFERROR(VLOOKUP($A119,メルマガ読み込み用!$A$2:$K$250,6,FALSE),"")</f>
        <v/>
      </c>
      <c r="G119" s="222" t="str">
        <f>IFERROR(VLOOKUP($A119,メルマガ読み込み用!$A$2:$L$250,12,FALSE),"")</f>
        <v/>
      </c>
      <c r="H119" s="221" t="str">
        <f>IFERROR(VLOOKUP($A119,メルマガ読み込み用!$A$2:$K$250,7,FALSE),"")</f>
        <v/>
      </c>
      <c r="I119" s="222" t="str">
        <f>IFERROR(VLOOKUP($A119,メルマガ読み込み用!$A$2:$K$250,8,FALSE),"")</f>
        <v/>
      </c>
      <c r="J119" s="223" t="str">
        <f>IFERROR(VLOOKUP($A119,メルマガ読み込み用!$A$2:$K$250,11,FALSE),"")</f>
        <v/>
      </c>
    </row>
    <row r="120" spans="1:10">
      <c r="A120" s="113">
        <v>118</v>
      </c>
      <c r="B120" s="222" t="str">
        <f>IFERROR(VLOOKUP($A120,メルマガ読み込み用!$A$2:$K$250,2,FALSE),"")</f>
        <v/>
      </c>
      <c r="C120" s="222" t="str">
        <f>IFERROR(VLOOKUP($A120,メルマガ読み込み用!$A$2:$K$250,3,FALSE),"")</f>
        <v/>
      </c>
      <c r="D120" s="222" t="str">
        <f>IFERROR(VLOOKUP($A120,メルマガ読み込み用!$A$2:$K$250,4,FALSE),"")</f>
        <v/>
      </c>
      <c r="E120" s="222" t="str">
        <f>IFERROR(VLOOKUP($A120,メルマガ読み込み用!$A$2:$K$250,5,FALSE),"")</f>
        <v/>
      </c>
      <c r="F120" s="222" t="str">
        <f>IFERROR(VLOOKUP($A120,メルマガ読み込み用!$A$2:$K$250,6,FALSE),"")</f>
        <v/>
      </c>
      <c r="G120" s="222" t="str">
        <f>IFERROR(VLOOKUP($A120,メルマガ読み込み用!$A$2:$L$250,12,FALSE),"")</f>
        <v/>
      </c>
      <c r="H120" s="221" t="str">
        <f>IFERROR(VLOOKUP($A120,メルマガ読み込み用!$A$2:$K$250,7,FALSE),"")</f>
        <v/>
      </c>
      <c r="I120" s="222" t="str">
        <f>IFERROR(VLOOKUP($A120,メルマガ読み込み用!$A$2:$K$250,8,FALSE),"")</f>
        <v/>
      </c>
      <c r="J120" s="223" t="str">
        <f>IFERROR(VLOOKUP($A120,メルマガ読み込み用!$A$2:$K$250,11,FALSE),"")</f>
        <v/>
      </c>
    </row>
    <row r="121" spans="1:10">
      <c r="A121" s="113">
        <v>119</v>
      </c>
      <c r="B121" s="222" t="str">
        <f>IFERROR(VLOOKUP($A121,メルマガ読み込み用!$A$2:$K$250,2,FALSE),"")</f>
        <v/>
      </c>
      <c r="C121" s="222" t="str">
        <f>IFERROR(VLOOKUP($A121,メルマガ読み込み用!$A$2:$K$250,3,FALSE),"")</f>
        <v/>
      </c>
      <c r="D121" s="222" t="str">
        <f>IFERROR(VLOOKUP($A121,メルマガ読み込み用!$A$2:$K$250,4,FALSE),"")</f>
        <v/>
      </c>
      <c r="E121" s="222" t="str">
        <f>IFERROR(VLOOKUP($A121,メルマガ読み込み用!$A$2:$K$250,5,FALSE),"")</f>
        <v/>
      </c>
      <c r="F121" s="222" t="str">
        <f>IFERROR(VLOOKUP($A121,メルマガ読み込み用!$A$2:$K$250,6,FALSE),"")</f>
        <v/>
      </c>
      <c r="G121" s="222" t="str">
        <f>IFERROR(VLOOKUP($A121,メルマガ読み込み用!$A$2:$L$250,12,FALSE),"")</f>
        <v/>
      </c>
      <c r="H121" s="221" t="str">
        <f>IFERROR(VLOOKUP($A121,メルマガ読み込み用!$A$2:$K$250,7,FALSE),"")</f>
        <v/>
      </c>
      <c r="I121" s="222" t="str">
        <f>IFERROR(VLOOKUP($A121,メルマガ読み込み用!$A$2:$K$250,8,FALSE),"")</f>
        <v/>
      </c>
      <c r="J121" s="223" t="str">
        <f>IFERROR(VLOOKUP($A121,メルマガ読み込み用!$A$2:$K$250,11,FALSE),"")</f>
        <v/>
      </c>
    </row>
    <row r="122" spans="1:10">
      <c r="A122" s="113">
        <v>120</v>
      </c>
      <c r="B122" s="222" t="str">
        <f>IFERROR(VLOOKUP($A122,メルマガ読み込み用!$A$2:$K$250,2,FALSE),"")</f>
        <v/>
      </c>
      <c r="C122" s="222" t="str">
        <f>IFERROR(VLOOKUP($A122,メルマガ読み込み用!$A$2:$K$250,3,FALSE),"")</f>
        <v/>
      </c>
      <c r="D122" s="222" t="str">
        <f>IFERROR(VLOOKUP($A122,メルマガ読み込み用!$A$2:$K$250,4,FALSE),"")</f>
        <v/>
      </c>
      <c r="E122" s="222" t="str">
        <f>IFERROR(VLOOKUP($A122,メルマガ読み込み用!$A$2:$K$250,5,FALSE),"")</f>
        <v/>
      </c>
      <c r="F122" s="222" t="str">
        <f>IFERROR(VLOOKUP($A122,メルマガ読み込み用!$A$2:$K$250,6,FALSE),"")</f>
        <v/>
      </c>
      <c r="G122" s="222" t="str">
        <f>IFERROR(VLOOKUP($A122,メルマガ読み込み用!$A$2:$L$250,12,FALSE),"")</f>
        <v/>
      </c>
      <c r="H122" s="221" t="str">
        <f>IFERROR(VLOOKUP($A122,メルマガ読み込み用!$A$2:$K$250,7,FALSE),"")</f>
        <v/>
      </c>
      <c r="I122" s="222" t="str">
        <f>IFERROR(VLOOKUP($A122,メルマガ読み込み用!$A$2:$K$250,8,FALSE),"")</f>
        <v/>
      </c>
      <c r="J122" s="223" t="str">
        <f>IFERROR(VLOOKUP($A122,メルマガ読み込み用!$A$2:$K$250,11,FALSE),"")</f>
        <v/>
      </c>
    </row>
    <row r="123" spans="1:10">
      <c r="A123" s="113">
        <v>121</v>
      </c>
      <c r="B123" s="222" t="str">
        <f>IFERROR(VLOOKUP($A123,メルマガ読み込み用!$A$2:$K$250,2,FALSE),"")</f>
        <v/>
      </c>
      <c r="C123" s="222" t="str">
        <f>IFERROR(VLOOKUP($A123,メルマガ読み込み用!$A$2:$K$250,3,FALSE),"")</f>
        <v/>
      </c>
      <c r="D123" s="222" t="str">
        <f>IFERROR(VLOOKUP($A123,メルマガ読み込み用!$A$2:$K$250,4,FALSE),"")</f>
        <v/>
      </c>
      <c r="E123" s="222" t="str">
        <f>IFERROR(VLOOKUP($A123,メルマガ読み込み用!$A$2:$K$250,5,FALSE),"")</f>
        <v/>
      </c>
      <c r="F123" s="222" t="str">
        <f>IFERROR(VLOOKUP($A123,メルマガ読み込み用!$A$2:$K$250,6,FALSE),"")</f>
        <v/>
      </c>
      <c r="G123" s="222" t="str">
        <f>IFERROR(VLOOKUP($A123,メルマガ読み込み用!$A$2:$L$250,12,FALSE),"")</f>
        <v/>
      </c>
      <c r="H123" s="221" t="str">
        <f>IFERROR(VLOOKUP($A123,メルマガ読み込み用!$A$2:$K$250,7,FALSE),"")</f>
        <v/>
      </c>
      <c r="I123" s="222" t="str">
        <f>IFERROR(VLOOKUP($A123,メルマガ読み込み用!$A$2:$K$250,8,FALSE),"")</f>
        <v/>
      </c>
      <c r="J123" s="223" t="str">
        <f>IFERROR(VLOOKUP($A123,メルマガ読み込み用!$A$2:$K$250,11,FALSE),"")</f>
        <v/>
      </c>
    </row>
    <row r="124" spans="1:10">
      <c r="A124" s="113">
        <v>122</v>
      </c>
      <c r="B124" s="222" t="str">
        <f>IFERROR(VLOOKUP($A124,メルマガ読み込み用!$A$2:$K$250,2,FALSE),"")</f>
        <v/>
      </c>
      <c r="C124" s="222" t="str">
        <f>IFERROR(VLOOKUP($A124,メルマガ読み込み用!$A$2:$K$250,3,FALSE),"")</f>
        <v/>
      </c>
      <c r="D124" s="222" t="str">
        <f>IFERROR(VLOOKUP($A124,メルマガ読み込み用!$A$2:$K$250,4,FALSE),"")</f>
        <v/>
      </c>
      <c r="E124" s="222" t="str">
        <f>IFERROR(VLOOKUP($A124,メルマガ読み込み用!$A$2:$K$250,5,FALSE),"")</f>
        <v/>
      </c>
      <c r="F124" s="222" t="str">
        <f>IFERROR(VLOOKUP($A124,メルマガ読み込み用!$A$2:$K$250,6,FALSE),"")</f>
        <v/>
      </c>
      <c r="G124" s="222" t="str">
        <f>IFERROR(VLOOKUP($A124,メルマガ読み込み用!$A$2:$L$250,12,FALSE),"")</f>
        <v/>
      </c>
      <c r="H124" s="221" t="str">
        <f>IFERROR(VLOOKUP($A124,メルマガ読み込み用!$A$2:$K$250,7,FALSE),"")</f>
        <v/>
      </c>
      <c r="I124" s="222" t="str">
        <f>IFERROR(VLOOKUP($A124,メルマガ読み込み用!$A$2:$K$250,8,FALSE),"")</f>
        <v/>
      </c>
      <c r="J124" s="223" t="str">
        <f>IFERROR(VLOOKUP($A124,メルマガ読み込み用!$A$2:$K$250,11,FALSE),"")</f>
        <v/>
      </c>
    </row>
    <row r="125" spans="1:10">
      <c r="A125" s="113">
        <v>123</v>
      </c>
      <c r="B125" s="222" t="str">
        <f>IFERROR(VLOOKUP($A125,メルマガ読み込み用!$A$2:$K$250,2,FALSE),"")</f>
        <v/>
      </c>
      <c r="C125" s="222" t="str">
        <f>IFERROR(VLOOKUP($A125,メルマガ読み込み用!$A$2:$K$250,3,FALSE),"")</f>
        <v/>
      </c>
      <c r="D125" s="222" t="str">
        <f>IFERROR(VLOOKUP($A125,メルマガ読み込み用!$A$2:$K$250,4,FALSE),"")</f>
        <v/>
      </c>
      <c r="E125" s="222" t="str">
        <f>IFERROR(VLOOKUP($A125,メルマガ読み込み用!$A$2:$K$250,5,FALSE),"")</f>
        <v/>
      </c>
      <c r="F125" s="222" t="str">
        <f>IFERROR(VLOOKUP($A125,メルマガ読み込み用!$A$2:$K$250,6,FALSE),"")</f>
        <v/>
      </c>
      <c r="G125" s="222" t="str">
        <f>IFERROR(VLOOKUP($A125,メルマガ読み込み用!$A$2:$L$250,12,FALSE),"")</f>
        <v/>
      </c>
      <c r="H125" s="221" t="str">
        <f>IFERROR(VLOOKUP($A125,メルマガ読み込み用!$A$2:$K$250,7,FALSE),"")</f>
        <v/>
      </c>
      <c r="I125" s="222" t="str">
        <f>IFERROR(VLOOKUP($A125,メルマガ読み込み用!$A$2:$K$250,8,FALSE),"")</f>
        <v/>
      </c>
      <c r="J125" s="223" t="str">
        <f>IFERROR(VLOOKUP($A125,メルマガ読み込み用!$A$2:$K$250,11,FALSE),"")</f>
        <v/>
      </c>
    </row>
    <row r="126" spans="1:10">
      <c r="A126" s="113">
        <v>124</v>
      </c>
      <c r="B126" s="222" t="str">
        <f>IFERROR(VLOOKUP($A126,メルマガ読み込み用!$A$2:$K$250,2,FALSE),"")</f>
        <v/>
      </c>
      <c r="C126" s="222" t="str">
        <f>IFERROR(VLOOKUP($A126,メルマガ読み込み用!$A$2:$K$250,3,FALSE),"")</f>
        <v/>
      </c>
      <c r="D126" s="222" t="str">
        <f>IFERROR(VLOOKUP($A126,メルマガ読み込み用!$A$2:$K$250,4,FALSE),"")</f>
        <v/>
      </c>
      <c r="E126" s="222" t="str">
        <f>IFERROR(VLOOKUP($A126,メルマガ読み込み用!$A$2:$K$250,5,FALSE),"")</f>
        <v/>
      </c>
      <c r="F126" s="222" t="str">
        <f>IFERROR(VLOOKUP($A126,メルマガ読み込み用!$A$2:$K$250,6,FALSE),"")</f>
        <v/>
      </c>
      <c r="G126" s="222" t="str">
        <f>IFERROR(VLOOKUP($A126,メルマガ読み込み用!$A$2:$L$250,12,FALSE),"")</f>
        <v/>
      </c>
      <c r="H126" s="221" t="str">
        <f>IFERROR(VLOOKUP($A126,メルマガ読み込み用!$A$2:$K$250,7,FALSE),"")</f>
        <v/>
      </c>
      <c r="I126" s="222" t="str">
        <f>IFERROR(VLOOKUP($A126,メルマガ読み込み用!$A$2:$K$250,8,FALSE),"")</f>
        <v/>
      </c>
      <c r="J126" s="223" t="str">
        <f>IFERROR(VLOOKUP($A126,メルマガ読み込み用!$A$2:$K$250,11,FALSE),"")</f>
        <v/>
      </c>
    </row>
    <row r="127" spans="1:10">
      <c r="A127" s="113">
        <v>125</v>
      </c>
      <c r="B127" s="222" t="str">
        <f>IFERROR(VLOOKUP($A127,メルマガ読み込み用!$A$2:$K$250,2,FALSE),"")</f>
        <v/>
      </c>
      <c r="C127" s="222" t="str">
        <f>IFERROR(VLOOKUP($A127,メルマガ読み込み用!$A$2:$K$250,3,FALSE),"")</f>
        <v/>
      </c>
      <c r="D127" s="222" t="str">
        <f>IFERROR(VLOOKUP($A127,メルマガ読み込み用!$A$2:$K$250,4,FALSE),"")</f>
        <v/>
      </c>
      <c r="E127" s="222" t="str">
        <f>IFERROR(VLOOKUP($A127,メルマガ読み込み用!$A$2:$K$250,5,FALSE),"")</f>
        <v/>
      </c>
      <c r="F127" s="222" t="str">
        <f>IFERROR(VLOOKUP($A127,メルマガ読み込み用!$A$2:$K$250,6,FALSE),"")</f>
        <v/>
      </c>
      <c r="G127" s="222" t="str">
        <f>IFERROR(VLOOKUP($A127,メルマガ読み込み用!$A$2:$L$250,12,FALSE),"")</f>
        <v/>
      </c>
      <c r="H127" s="221" t="str">
        <f>IFERROR(VLOOKUP($A127,メルマガ読み込み用!$A$2:$K$250,7,FALSE),"")</f>
        <v/>
      </c>
      <c r="I127" s="222" t="str">
        <f>IFERROR(VLOOKUP($A127,メルマガ読み込み用!$A$2:$K$250,8,FALSE),"")</f>
        <v/>
      </c>
      <c r="J127" s="223" t="str">
        <f>IFERROR(VLOOKUP($A127,メルマガ読み込み用!$A$2:$K$250,11,FALSE),"")</f>
        <v/>
      </c>
    </row>
    <row r="128" spans="1:10">
      <c r="A128" s="113">
        <v>126</v>
      </c>
      <c r="B128" s="222" t="str">
        <f>IFERROR(VLOOKUP($A128,メルマガ読み込み用!$A$2:$K$250,2,FALSE),"")</f>
        <v/>
      </c>
      <c r="C128" s="222" t="str">
        <f>IFERROR(VLOOKUP($A128,メルマガ読み込み用!$A$2:$K$250,3,FALSE),"")</f>
        <v/>
      </c>
      <c r="D128" s="222" t="str">
        <f>IFERROR(VLOOKUP($A128,メルマガ読み込み用!$A$2:$K$250,4,FALSE),"")</f>
        <v/>
      </c>
      <c r="E128" s="222" t="str">
        <f>IFERROR(VLOOKUP($A128,メルマガ読み込み用!$A$2:$K$250,5,FALSE),"")</f>
        <v/>
      </c>
      <c r="F128" s="222" t="str">
        <f>IFERROR(VLOOKUP($A128,メルマガ読み込み用!$A$2:$K$250,6,FALSE),"")</f>
        <v/>
      </c>
      <c r="G128" s="222" t="str">
        <f>IFERROR(VLOOKUP($A128,メルマガ読み込み用!$A$2:$L$250,12,FALSE),"")</f>
        <v/>
      </c>
      <c r="H128" s="221" t="str">
        <f>IFERROR(VLOOKUP($A128,メルマガ読み込み用!$A$2:$K$250,7,FALSE),"")</f>
        <v/>
      </c>
      <c r="I128" s="222" t="str">
        <f>IFERROR(VLOOKUP($A128,メルマガ読み込み用!$A$2:$K$250,8,FALSE),"")</f>
        <v/>
      </c>
      <c r="J128" s="223" t="str">
        <f>IFERROR(VLOOKUP($A128,メルマガ読み込み用!$A$2:$K$250,11,FALSE),"")</f>
        <v/>
      </c>
    </row>
    <row r="129" spans="1:10">
      <c r="A129" s="113">
        <v>127</v>
      </c>
      <c r="B129" s="222" t="str">
        <f>IFERROR(VLOOKUP($A129,メルマガ読み込み用!$A$2:$K$250,2,FALSE),"")</f>
        <v/>
      </c>
      <c r="C129" s="222" t="str">
        <f>IFERROR(VLOOKUP($A129,メルマガ読み込み用!$A$2:$K$250,3,FALSE),"")</f>
        <v/>
      </c>
      <c r="D129" s="222" t="str">
        <f>IFERROR(VLOOKUP($A129,メルマガ読み込み用!$A$2:$K$250,4,FALSE),"")</f>
        <v/>
      </c>
      <c r="E129" s="222" t="str">
        <f>IFERROR(VLOOKUP($A129,メルマガ読み込み用!$A$2:$K$250,5,FALSE),"")</f>
        <v/>
      </c>
      <c r="F129" s="222" t="str">
        <f>IFERROR(VLOOKUP($A129,メルマガ読み込み用!$A$2:$K$250,6,FALSE),"")</f>
        <v/>
      </c>
      <c r="G129" s="222" t="str">
        <f>IFERROR(VLOOKUP($A129,メルマガ読み込み用!$A$2:$L$250,12,FALSE),"")</f>
        <v/>
      </c>
      <c r="H129" s="221" t="str">
        <f>IFERROR(VLOOKUP($A129,メルマガ読み込み用!$A$2:$K$250,7,FALSE),"")</f>
        <v/>
      </c>
      <c r="I129" s="222" t="str">
        <f>IFERROR(VLOOKUP($A129,メルマガ読み込み用!$A$2:$K$250,8,FALSE),"")</f>
        <v/>
      </c>
      <c r="J129" s="223" t="str">
        <f>IFERROR(VLOOKUP($A129,メルマガ読み込み用!$A$2:$K$250,11,FALSE),"")</f>
        <v/>
      </c>
    </row>
    <row r="130" spans="1:10">
      <c r="A130" s="113">
        <v>128</v>
      </c>
      <c r="B130" s="222" t="str">
        <f>IFERROR(VLOOKUP($A130,メルマガ読み込み用!$A$2:$K$250,2,FALSE),"")</f>
        <v/>
      </c>
      <c r="C130" s="222" t="str">
        <f>IFERROR(VLOOKUP($A130,メルマガ読み込み用!$A$2:$K$250,3,FALSE),"")</f>
        <v/>
      </c>
      <c r="D130" s="222" t="str">
        <f>IFERROR(VLOOKUP($A130,メルマガ読み込み用!$A$2:$K$250,4,FALSE),"")</f>
        <v/>
      </c>
      <c r="E130" s="222" t="str">
        <f>IFERROR(VLOOKUP($A130,メルマガ読み込み用!$A$2:$K$250,5,FALSE),"")</f>
        <v/>
      </c>
      <c r="F130" s="222" t="str">
        <f>IFERROR(VLOOKUP($A130,メルマガ読み込み用!$A$2:$K$250,6,FALSE),"")</f>
        <v/>
      </c>
      <c r="G130" s="222" t="str">
        <f>IFERROR(VLOOKUP($A130,メルマガ読み込み用!$A$2:$L$250,12,FALSE),"")</f>
        <v/>
      </c>
      <c r="H130" s="221" t="str">
        <f>IFERROR(VLOOKUP($A130,メルマガ読み込み用!$A$2:$K$250,7,FALSE),"")</f>
        <v/>
      </c>
      <c r="I130" s="222" t="str">
        <f>IFERROR(VLOOKUP($A130,メルマガ読み込み用!$A$2:$K$250,8,FALSE),"")</f>
        <v/>
      </c>
      <c r="J130" s="223" t="str">
        <f>IFERROR(VLOOKUP($A130,メルマガ読み込み用!$A$2:$K$250,11,FALSE),"")</f>
        <v/>
      </c>
    </row>
    <row r="131" spans="1:10">
      <c r="A131" s="113">
        <v>129</v>
      </c>
      <c r="B131" s="222" t="str">
        <f>IFERROR(VLOOKUP($A131,メルマガ読み込み用!$A$2:$K$250,2,FALSE),"")</f>
        <v/>
      </c>
      <c r="C131" s="222" t="str">
        <f>IFERROR(VLOOKUP($A131,メルマガ読み込み用!$A$2:$K$250,3,FALSE),"")</f>
        <v/>
      </c>
      <c r="D131" s="222" t="str">
        <f>IFERROR(VLOOKUP($A131,メルマガ読み込み用!$A$2:$K$250,4,FALSE),"")</f>
        <v/>
      </c>
      <c r="E131" s="222" t="str">
        <f>IFERROR(VLOOKUP($A131,メルマガ読み込み用!$A$2:$K$250,5,FALSE),"")</f>
        <v/>
      </c>
      <c r="F131" s="222" t="str">
        <f>IFERROR(VLOOKUP($A131,メルマガ読み込み用!$A$2:$K$250,6,FALSE),"")</f>
        <v/>
      </c>
      <c r="G131" s="222" t="str">
        <f>IFERROR(VLOOKUP($A131,メルマガ読み込み用!$A$2:$L$250,12,FALSE),"")</f>
        <v/>
      </c>
      <c r="H131" s="221" t="str">
        <f>IFERROR(VLOOKUP($A131,メルマガ読み込み用!$A$2:$K$250,7,FALSE),"")</f>
        <v/>
      </c>
      <c r="I131" s="222" t="str">
        <f>IFERROR(VLOOKUP($A131,メルマガ読み込み用!$A$2:$K$250,8,FALSE),"")</f>
        <v/>
      </c>
      <c r="J131" s="223" t="str">
        <f>IFERROR(VLOOKUP($A131,メルマガ読み込み用!$A$2:$K$250,11,FALSE),"")</f>
        <v/>
      </c>
    </row>
    <row r="132" spans="1:10">
      <c r="A132" s="113">
        <v>130</v>
      </c>
      <c r="B132" s="222" t="str">
        <f>IFERROR(VLOOKUP($A132,メルマガ読み込み用!$A$2:$K$250,2,FALSE),"")</f>
        <v/>
      </c>
      <c r="C132" s="222" t="str">
        <f>IFERROR(VLOOKUP($A132,メルマガ読み込み用!$A$2:$K$250,3,FALSE),"")</f>
        <v/>
      </c>
      <c r="D132" s="222" t="str">
        <f>IFERROR(VLOOKUP($A132,メルマガ読み込み用!$A$2:$K$250,4,FALSE),"")</f>
        <v/>
      </c>
      <c r="E132" s="222" t="str">
        <f>IFERROR(VLOOKUP($A132,メルマガ読み込み用!$A$2:$K$250,5,FALSE),"")</f>
        <v/>
      </c>
      <c r="F132" s="222" t="str">
        <f>IFERROR(VLOOKUP($A132,メルマガ読み込み用!$A$2:$K$250,6,FALSE),"")</f>
        <v/>
      </c>
      <c r="G132" s="222" t="str">
        <f>IFERROR(VLOOKUP($A132,メルマガ読み込み用!$A$2:$L$250,12,FALSE),"")</f>
        <v/>
      </c>
      <c r="H132" s="221" t="str">
        <f>IFERROR(VLOOKUP($A132,メルマガ読み込み用!$A$2:$K$250,7,FALSE),"")</f>
        <v/>
      </c>
      <c r="I132" s="222" t="str">
        <f>IFERROR(VLOOKUP($A132,メルマガ読み込み用!$A$2:$K$250,8,FALSE),"")</f>
        <v/>
      </c>
      <c r="J132" s="223" t="str">
        <f>IFERROR(VLOOKUP($A132,メルマガ読み込み用!$A$2:$K$250,11,FALSE),"")</f>
        <v/>
      </c>
    </row>
    <row r="133" spans="1:10">
      <c r="A133" s="113">
        <v>131</v>
      </c>
      <c r="B133" s="222" t="str">
        <f>IFERROR(VLOOKUP($A133,メルマガ読み込み用!$A$2:$K$250,2,FALSE),"")</f>
        <v/>
      </c>
      <c r="C133" s="222" t="str">
        <f>IFERROR(VLOOKUP($A133,メルマガ読み込み用!$A$2:$K$250,3,FALSE),"")</f>
        <v/>
      </c>
      <c r="D133" s="222" t="str">
        <f>IFERROR(VLOOKUP($A133,メルマガ読み込み用!$A$2:$K$250,4,FALSE),"")</f>
        <v/>
      </c>
      <c r="E133" s="222" t="str">
        <f>IFERROR(VLOOKUP($A133,メルマガ読み込み用!$A$2:$K$250,5,FALSE),"")</f>
        <v/>
      </c>
      <c r="F133" s="222" t="str">
        <f>IFERROR(VLOOKUP($A133,メルマガ読み込み用!$A$2:$K$250,6,FALSE),"")</f>
        <v/>
      </c>
      <c r="G133" s="222" t="str">
        <f>IFERROR(VLOOKUP($A133,メルマガ読み込み用!$A$2:$L$250,12,FALSE),"")</f>
        <v/>
      </c>
      <c r="H133" s="221" t="str">
        <f>IFERROR(VLOOKUP($A133,メルマガ読み込み用!$A$2:$K$250,7,FALSE),"")</f>
        <v/>
      </c>
      <c r="I133" s="222" t="str">
        <f>IFERROR(VLOOKUP($A133,メルマガ読み込み用!$A$2:$K$250,8,FALSE),"")</f>
        <v/>
      </c>
      <c r="J133" s="223" t="str">
        <f>IFERROR(VLOOKUP($A133,メルマガ読み込み用!$A$2:$K$250,11,FALSE),"")</f>
        <v/>
      </c>
    </row>
    <row r="134" spans="1:10">
      <c r="A134" s="113">
        <v>132</v>
      </c>
      <c r="B134" s="222" t="str">
        <f>IFERROR(VLOOKUP($A134,メルマガ読み込み用!$A$2:$K$250,2,FALSE),"")</f>
        <v/>
      </c>
      <c r="C134" s="222" t="str">
        <f>IFERROR(VLOOKUP($A134,メルマガ読み込み用!$A$2:$K$250,3,FALSE),"")</f>
        <v/>
      </c>
      <c r="D134" s="222" t="str">
        <f>IFERROR(VLOOKUP($A134,メルマガ読み込み用!$A$2:$K$250,4,FALSE),"")</f>
        <v/>
      </c>
      <c r="E134" s="222" t="str">
        <f>IFERROR(VLOOKUP($A134,メルマガ読み込み用!$A$2:$K$250,5,FALSE),"")</f>
        <v/>
      </c>
      <c r="F134" s="222" t="str">
        <f>IFERROR(VLOOKUP($A134,メルマガ読み込み用!$A$2:$K$250,6,FALSE),"")</f>
        <v/>
      </c>
      <c r="G134" s="222" t="str">
        <f>IFERROR(VLOOKUP($A134,メルマガ読み込み用!$A$2:$L$250,12,FALSE),"")</f>
        <v/>
      </c>
      <c r="H134" s="221" t="str">
        <f>IFERROR(VLOOKUP($A134,メルマガ読み込み用!$A$2:$K$250,7,FALSE),"")</f>
        <v/>
      </c>
      <c r="I134" s="222" t="str">
        <f>IFERROR(VLOOKUP($A134,メルマガ読み込み用!$A$2:$K$250,8,FALSE),"")</f>
        <v/>
      </c>
      <c r="J134" s="223" t="str">
        <f>IFERROR(VLOOKUP($A134,メルマガ読み込み用!$A$2:$K$250,11,FALSE),"")</f>
        <v/>
      </c>
    </row>
    <row r="135" spans="1:10">
      <c r="A135" s="113">
        <v>133</v>
      </c>
      <c r="B135" s="222" t="str">
        <f>IFERROR(VLOOKUP($A135,メルマガ読み込み用!$A$2:$K$250,2,FALSE),"")</f>
        <v/>
      </c>
      <c r="C135" s="222" t="str">
        <f>IFERROR(VLOOKUP($A135,メルマガ読み込み用!$A$2:$K$250,3,FALSE),"")</f>
        <v/>
      </c>
      <c r="D135" s="222" t="str">
        <f>IFERROR(VLOOKUP($A135,メルマガ読み込み用!$A$2:$K$250,4,FALSE),"")</f>
        <v/>
      </c>
      <c r="E135" s="222" t="str">
        <f>IFERROR(VLOOKUP($A135,メルマガ読み込み用!$A$2:$K$250,5,FALSE),"")</f>
        <v/>
      </c>
      <c r="F135" s="222" t="str">
        <f>IFERROR(VLOOKUP($A135,メルマガ読み込み用!$A$2:$K$250,6,FALSE),"")</f>
        <v/>
      </c>
      <c r="G135" s="222" t="str">
        <f>IFERROR(VLOOKUP($A135,メルマガ読み込み用!$A$2:$L$250,12,FALSE),"")</f>
        <v/>
      </c>
      <c r="H135" s="221" t="str">
        <f>IFERROR(VLOOKUP($A135,メルマガ読み込み用!$A$2:$K$250,7,FALSE),"")</f>
        <v/>
      </c>
      <c r="I135" s="222" t="str">
        <f>IFERROR(VLOOKUP($A135,メルマガ読み込み用!$A$2:$K$250,8,FALSE),"")</f>
        <v/>
      </c>
      <c r="J135" s="223" t="str">
        <f>IFERROR(VLOOKUP($A135,メルマガ読み込み用!$A$2:$K$250,11,FALSE),"")</f>
        <v/>
      </c>
    </row>
    <row r="136" spans="1:10">
      <c r="A136" s="113">
        <v>134</v>
      </c>
      <c r="B136" s="222" t="str">
        <f>IFERROR(VLOOKUP($A136,メルマガ読み込み用!$A$2:$K$250,2,FALSE),"")</f>
        <v/>
      </c>
      <c r="C136" s="222" t="str">
        <f>IFERROR(VLOOKUP($A136,メルマガ読み込み用!$A$2:$K$250,3,FALSE),"")</f>
        <v/>
      </c>
      <c r="D136" s="222" t="str">
        <f>IFERROR(VLOOKUP($A136,メルマガ読み込み用!$A$2:$K$250,4,FALSE),"")</f>
        <v/>
      </c>
      <c r="E136" s="222" t="str">
        <f>IFERROR(VLOOKUP($A136,メルマガ読み込み用!$A$2:$K$250,5,FALSE),"")</f>
        <v/>
      </c>
      <c r="F136" s="222" t="str">
        <f>IFERROR(VLOOKUP($A136,メルマガ読み込み用!$A$2:$K$250,6,FALSE),"")</f>
        <v/>
      </c>
      <c r="G136" s="222" t="str">
        <f>IFERROR(VLOOKUP($A136,メルマガ読み込み用!$A$2:$L$250,12,FALSE),"")</f>
        <v/>
      </c>
      <c r="H136" s="221" t="str">
        <f>IFERROR(VLOOKUP($A136,メルマガ読み込み用!$A$2:$K$250,7,FALSE),"")</f>
        <v/>
      </c>
      <c r="I136" s="222" t="str">
        <f>IFERROR(VLOOKUP($A136,メルマガ読み込み用!$A$2:$K$250,8,FALSE),"")</f>
        <v/>
      </c>
      <c r="J136" s="223" t="str">
        <f>IFERROR(VLOOKUP($A136,メルマガ読み込み用!$A$2:$K$250,11,FALSE),"")</f>
        <v/>
      </c>
    </row>
    <row r="137" spans="1:10">
      <c r="A137" s="113">
        <v>135</v>
      </c>
      <c r="B137" s="222" t="str">
        <f>IFERROR(VLOOKUP($A137,メルマガ読み込み用!$A$2:$K$250,2,FALSE),"")</f>
        <v/>
      </c>
      <c r="C137" s="222" t="str">
        <f>IFERROR(VLOOKUP($A137,メルマガ読み込み用!$A$2:$K$250,3,FALSE),"")</f>
        <v/>
      </c>
      <c r="D137" s="222" t="str">
        <f>IFERROR(VLOOKUP($A137,メルマガ読み込み用!$A$2:$K$250,4,FALSE),"")</f>
        <v/>
      </c>
      <c r="E137" s="222" t="str">
        <f>IFERROR(VLOOKUP($A137,メルマガ読み込み用!$A$2:$K$250,5,FALSE),"")</f>
        <v/>
      </c>
      <c r="F137" s="222" t="str">
        <f>IFERROR(VLOOKUP($A137,メルマガ読み込み用!$A$2:$K$250,6,FALSE),"")</f>
        <v/>
      </c>
      <c r="G137" s="222" t="str">
        <f>IFERROR(VLOOKUP($A137,メルマガ読み込み用!$A$2:$L$250,12,FALSE),"")</f>
        <v/>
      </c>
      <c r="H137" s="221" t="str">
        <f>IFERROR(VLOOKUP($A137,メルマガ読み込み用!$A$2:$K$250,7,FALSE),"")</f>
        <v/>
      </c>
      <c r="I137" s="222" t="str">
        <f>IFERROR(VLOOKUP($A137,メルマガ読み込み用!$A$2:$K$250,8,FALSE),"")</f>
        <v/>
      </c>
      <c r="J137" s="223" t="str">
        <f>IFERROR(VLOOKUP($A137,メルマガ読み込み用!$A$2:$K$250,11,FALSE),"")</f>
        <v/>
      </c>
    </row>
    <row r="138" spans="1:10">
      <c r="A138" s="113">
        <v>136</v>
      </c>
      <c r="B138" s="222" t="str">
        <f>IFERROR(VLOOKUP($A138,メルマガ読み込み用!$A$2:$K$250,2,FALSE),"")</f>
        <v/>
      </c>
      <c r="C138" s="222" t="str">
        <f>IFERROR(VLOOKUP($A138,メルマガ読み込み用!$A$2:$K$250,3,FALSE),"")</f>
        <v/>
      </c>
      <c r="D138" s="222" t="str">
        <f>IFERROR(VLOOKUP($A138,メルマガ読み込み用!$A$2:$K$250,4,FALSE),"")</f>
        <v/>
      </c>
      <c r="E138" s="222" t="str">
        <f>IFERROR(VLOOKUP($A138,メルマガ読み込み用!$A$2:$K$250,5,FALSE),"")</f>
        <v/>
      </c>
      <c r="F138" s="222" t="str">
        <f>IFERROR(VLOOKUP($A138,メルマガ読み込み用!$A$2:$K$250,6,FALSE),"")</f>
        <v/>
      </c>
      <c r="G138" s="222" t="str">
        <f>IFERROR(VLOOKUP($A138,メルマガ読み込み用!$A$2:$L$250,12,FALSE),"")</f>
        <v/>
      </c>
      <c r="H138" s="221" t="str">
        <f>IFERROR(VLOOKUP($A138,メルマガ読み込み用!$A$2:$K$250,7,FALSE),"")</f>
        <v/>
      </c>
      <c r="I138" s="222" t="str">
        <f>IFERROR(VLOOKUP($A138,メルマガ読み込み用!$A$2:$K$250,8,FALSE),"")</f>
        <v/>
      </c>
      <c r="J138" s="223" t="str">
        <f>IFERROR(VLOOKUP($A138,メルマガ読み込み用!$A$2:$K$250,11,FALSE),"")</f>
        <v/>
      </c>
    </row>
    <row r="139" spans="1:10">
      <c r="A139" s="113">
        <v>137</v>
      </c>
      <c r="B139" s="222" t="str">
        <f>IFERROR(VLOOKUP($A139,メルマガ読み込み用!$A$2:$K$250,2,FALSE),"")</f>
        <v/>
      </c>
      <c r="C139" s="222" t="str">
        <f>IFERROR(VLOOKUP($A139,メルマガ読み込み用!$A$2:$K$250,3,FALSE),"")</f>
        <v/>
      </c>
      <c r="D139" s="222" t="str">
        <f>IFERROR(VLOOKUP($A139,メルマガ読み込み用!$A$2:$K$250,4,FALSE),"")</f>
        <v/>
      </c>
      <c r="E139" s="222" t="str">
        <f>IFERROR(VLOOKUP($A139,メルマガ読み込み用!$A$2:$K$250,5,FALSE),"")</f>
        <v/>
      </c>
      <c r="F139" s="222" t="str">
        <f>IFERROR(VLOOKUP($A139,メルマガ読み込み用!$A$2:$K$250,6,FALSE),"")</f>
        <v/>
      </c>
      <c r="G139" s="222" t="str">
        <f>IFERROR(VLOOKUP($A139,メルマガ読み込み用!$A$2:$L$250,12,FALSE),"")</f>
        <v/>
      </c>
      <c r="H139" s="221" t="str">
        <f>IFERROR(VLOOKUP($A139,メルマガ読み込み用!$A$2:$K$250,7,FALSE),"")</f>
        <v/>
      </c>
      <c r="I139" s="222" t="str">
        <f>IFERROR(VLOOKUP($A139,メルマガ読み込み用!$A$2:$K$250,8,FALSE),"")</f>
        <v/>
      </c>
      <c r="J139" s="223" t="str">
        <f>IFERROR(VLOOKUP($A139,メルマガ読み込み用!$A$2:$K$250,11,FALSE),"")</f>
        <v/>
      </c>
    </row>
    <row r="140" spans="1:10">
      <c r="A140" s="113">
        <v>138</v>
      </c>
      <c r="B140" s="222" t="str">
        <f>IFERROR(VLOOKUP($A140,メルマガ読み込み用!$A$2:$K$250,2,FALSE),"")</f>
        <v/>
      </c>
      <c r="C140" s="222" t="str">
        <f>IFERROR(VLOOKUP($A140,メルマガ読み込み用!$A$2:$K$250,3,FALSE),"")</f>
        <v/>
      </c>
      <c r="D140" s="222" t="str">
        <f>IFERROR(VLOOKUP($A140,メルマガ読み込み用!$A$2:$K$250,4,FALSE),"")</f>
        <v/>
      </c>
      <c r="E140" s="222" t="str">
        <f>IFERROR(VLOOKUP($A140,メルマガ読み込み用!$A$2:$K$250,5,FALSE),"")</f>
        <v/>
      </c>
      <c r="F140" s="222" t="str">
        <f>IFERROR(VLOOKUP($A140,メルマガ読み込み用!$A$2:$K$250,6,FALSE),"")</f>
        <v/>
      </c>
      <c r="G140" s="222" t="str">
        <f>IFERROR(VLOOKUP($A140,メルマガ読み込み用!$A$2:$L$250,12,FALSE),"")</f>
        <v/>
      </c>
      <c r="H140" s="221" t="str">
        <f>IFERROR(VLOOKUP($A140,メルマガ読み込み用!$A$2:$K$250,7,FALSE),"")</f>
        <v/>
      </c>
      <c r="I140" s="222" t="str">
        <f>IFERROR(VLOOKUP($A140,メルマガ読み込み用!$A$2:$K$250,8,FALSE),"")</f>
        <v/>
      </c>
      <c r="J140" s="223" t="str">
        <f>IFERROR(VLOOKUP($A140,メルマガ読み込み用!$A$2:$K$250,11,FALSE),"")</f>
        <v/>
      </c>
    </row>
    <row r="141" spans="1:10">
      <c r="A141" s="113">
        <v>139</v>
      </c>
      <c r="B141" s="222" t="str">
        <f>IFERROR(VLOOKUP($A141,メルマガ読み込み用!$A$2:$K$250,2,FALSE),"")</f>
        <v/>
      </c>
      <c r="C141" s="222" t="str">
        <f>IFERROR(VLOOKUP($A141,メルマガ読み込み用!$A$2:$K$250,3,FALSE),"")</f>
        <v/>
      </c>
      <c r="D141" s="222" t="str">
        <f>IFERROR(VLOOKUP($A141,メルマガ読み込み用!$A$2:$K$250,4,FALSE),"")</f>
        <v/>
      </c>
      <c r="E141" s="222" t="str">
        <f>IFERROR(VLOOKUP($A141,メルマガ読み込み用!$A$2:$K$250,5,FALSE),"")</f>
        <v/>
      </c>
      <c r="F141" s="222" t="str">
        <f>IFERROR(VLOOKUP($A141,メルマガ読み込み用!$A$2:$K$250,6,FALSE),"")</f>
        <v/>
      </c>
      <c r="G141" s="222" t="str">
        <f>IFERROR(VLOOKUP($A141,メルマガ読み込み用!$A$2:$L$250,12,FALSE),"")</f>
        <v/>
      </c>
      <c r="H141" s="221" t="str">
        <f>IFERROR(VLOOKUP($A141,メルマガ読み込み用!$A$2:$K$250,7,FALSE),"")</f>
        <v/>
      </c>
      <c r="I141" s="222" t="str">
        <f>IFERROR(VLOOKUP($A141,メルマガ読み込み用!$A$2:$K$250,8,FALSE),"")</f>
        <v/>
      </c>
      <c r="J141" s="223" t="str">
        <f>IFERROR(VLOOKUP($A141,メルマガ読み込み用!$A$2:$K$250,11,FALSE),"")</f>
        <v/>
      </c>
    </row>
    <row r="142" spans="1:10">
      <c r="A142" s="113">
        <v>140</v>
      </c>
      <c r="B142" s="222" t="str">
        <f>IFERROR(VLOOKUP($A142,メルマガ読み込み用!$A$2:$K$250,2,FALSE),"")</f>
        <v/>
      </c>
      <c r="C142" s="222" t="str">
        <f>IFERROR(VLOOKUP($A142,メルマガ読み込み用!$A$2:$K$250,3,FALSE),"")</f>
        <v/>
      </c>
      <c r="D142" s="222" t="str">
        <f>IFERROR(VLOOKUP($A142,メルマガ読み込み用!$A$2:$K$250,4,FALSE),"")</f>
        <v/>
      </c>
      <c r="E142" s="222" t="str">
        <f>IFERROR(VLOOKUP($A142,メルマガ読み込み用!$A$2:$K$250,5,FALSE),"")</f>
        <v/>
      </c>
      <c r="F142" s="222" t="str">
        <f>IFERROR(VLOOKUP($A142,メルマガ読み込み用!$A$2:$K$250,6,FALSE),"")</f>
        <v/>
      </c>
      <c r="G142" s="222" t="str">
        <f>IFERROR(VLOOKUP($A142,メルマガ読み込み用!$A$2:$L$250,12,FALSE),"")</f>
        <v/>
      </c>
      <c r="H142" s="221" t="str">
        <f>IFERROR(VLOOKUP($A142,メルマガ読み込み用!$A$2:$K$250,7,FALSE),"")</f>
        <v/>
      </c>
      <c r="I142" s="222" t="str">
        <f>IFERROR(VLOOKUP($A142,メルマガ読み込み用!$A$2:$K$250,8,FALSE),"")</f>
        <v/>
      </c>
      <c r="J142" s="223" t="str">
        <f>IFERROR(VLOOKUP($A142,メルマガ読み込み用!$A$2:$K$250,11,FALSE),"")</f>
        <v/>
      </c>
    </row>
    <row r="143" spans="1:10">
      <c r="A143" s="113">
        <v>141</v>
      </c>
      <c r="B143" s="222" t="str">
        <f>IFERROR(VLOOKUP($A143,メルマガ読み込み用!$A$2:$K$250,2,FALSE),"")</f>
        <v/>
      </c>
      <c r="C143" s="222" t="str">
        <f>IFERROR(VLOOKUP($A143,メルマガ読み込み用!$A$2:$K$250,3,FALSE),"")</f>
        <v/>
      </c>
      <c r="D143" s="222" t="str">
        <f>IFERROR(VLOOKUP($A143,メルマガ読み込み用!$A$2:$K$250,4,FALSE),"")</f>
        <v/>
      </c>
      <c r="E143" s="222" t="str">
        <f>IFERROR(VLOOKUP($A143,メルマガ読み込み用!$A$2:$K$250,5,FALSE),"")</f>
        <v/>
      </c>
      <c r="F143" s="222" t="str">
        <f>IFERROR(VLOOKUP($A143,メルマガ読み込み用!$A$2:$K$250,6,FALSE),"")</f>
        <v/>
      </c>
      <c r="G143" s="222" t="str">
        <f>IFERROR(VLOOKUP($A143,メルマガ読み込み用!$A$2:$L$250,12,FALSE),"")</f>
        <v/>
      </c>
      <c r="H143" s="221" t="str">
        <f>IFERROR(VLOOKUP($A143,メルマガ読み込み用!$A$2:$K$250,7,FALSE),"")</f>
        <v/>
      </c>
      <c r="I143" s="222" t="str">
        <f>IFERROR(VLOOKUP($A143,メルマガ読み込み用!$A$2:$K$250,8,FALSE),"")</f>
        <v/>
      </c>
      <c r="J143" s="223" t="str">
        <f>IFERROR(VLOOKUP($A143,メルマガ読み込み用!$A$2:$K$250,11,FALSE),"")</f>
        <v/>
      </c>
    </row>
    <row r="144" spans="1:10">
      <c r="A144" s="113">
        <v>142</v>
      </c>
      <c r="B144" s="222" t="str">
        <f>IFERROR(VLOOKUP($A144,メルマガ読み込み用!$A$2:$K$250,2,FALSE),"")</f>
        <v/>
      </c>
      <c r="C144" s="222" t="str">
        <f>IFERROR(VLOOKUP($A144,メルマガ読み込み用!$A$2:$K$250,3,FALSE),"")</f>
        <v/>
      </c>
      <c r="D144" s="222" t="str">
        <f>IFERROR(VLOOKUP($A144,メルマガ読み込み用!$A$2:$K$250,4,FALSE),"")</f>
        <v/>
      </c>
      <c r="E144" s="222" t="str">
        <f>IFERROR(VLOOKUP($A144,メルマガ読み込み用!$A$2:$K$250,5,FALSE),"")</f>
        <v/>
      </c>
      <c r="F144" s="222" t="str">
        <f>IFERROR(VLOOKUP($A144,メルマガ読み込み用!$A$2:$K$250,6,FALSE),"")</f>
        <v/>
      </c>
      <c r="G144" s="222" t="str">
        <f>IFERROR(VLOOKUP($A144,メルマガ読み込み用!$A$2:$L$250,12,FALSE),"")</f>
        <v/>
      </c>
      <c r="H144" s="221" t="str">
        <f>IFERROR(VLOOKUP($A144,メルマガ読み込み用!$A$2:$K$250,7,FALSE),"")</f>
        <v/>
      </c>
      <c r="I144" s="222" t="str">
        <f>IFERROR(VLOOKUP($A144,メルマガ読み込み用!$A$2:$K$250,8,FALSE),"")</f>
        <v/>
      </c>
      <c r="J144" s="223" t="str">
        <f>IFERROR(VLOOKUP($A144,メルマガ読み込み用!$A$2:$K$250,11,FALSE),"")</f>
        <v/>
      </c>
    </row>
    <row r="145" spans="1:10">
      <c r="A145" s="113">
        <v>143</v>
      </c>
      <c r="B145" s="222" t="str">
        <f>IFERROR(VLOOKUP($A145,メルマガ読み込み用!$A$2:$K$250,2,FALSE),"")</f>
        <v/>
      </c>
      <c r="C145" s="222" t="str">
        <f>IFERROR(VLOOKUP($A145,メルマガ読み込み用!$A$2:$K$250,3,FALSE),"")</f>
        <v/>
      </c>
      <c r="D145" s="222" t="str">
        <f>IFERROR(VLOOKUP($A145,メルマガ読み込み用!$A$2:$K$250,4,FALSE),"")</f>
        <v/>
      </c>
      <c r="E145" s="222" t="str">
        <f>IFERROR(VLOOKUP($A145,メルマガ読み込み用!$A$2:$K$250,5,FALSE),"")</f>
        <v/>
      </c>
      <c r="F145" s="222" t="str">
        <f>IFERROR(VLOOKUP($A145,メルマガ読み込み用!$A$2:$K$250,6,FALSE),"")</f>
        <v/>
      </c>
      <c r="G145" s="222" t="str">
        <f>IFERROR(VLOOKUP($A145,メルマガ読み込み用!$A$2:$L$250,12,FALSE),"")</f>
        <v/>
      </c>
      <c r="H145" s="221" t="str">
        <f>IFERROR(VLOOKUP($A145,メルマガ読み込み用!$A$2:$K$250,7,FALSE),"")</f>
        <v/>
      </c>
      <c r="I145" s="222" t="str">
        <f>IFERROR(VLOOKUP($A145,メルマガ読み込み用!$A$2:$K$250,8,FALSE),"")</f>
        <v/>
      </c>
      <c r="J145" s="223" t="str">
        <f>IFERROR(VLOOKUP($A145,メルマガ読み込み用!$A$2:$K$250,11,FALSE),"")</f>
        <v/>
      </c>
    </row>
    <row r="146" spans="1:10">
      <c r="A146" s="113">
        <v>144</v>
      </c>
      <c r="B146" s="222" t="str">
        <f>IFERROR(VLOOKUP($A146,メルマガ読み込み用!$A$2:$K$250,2,FALSE),"")</f>
        <v/>
      </c>
      <c r="C146" s="222" t="str">
        <f>IFERROR(VLOOKUP($A146,メルマガ読み込み用!$A$2:$K$250,3,FALSE),"")</f>
        <v/>
      </c>
      <c r="D146" s="222" t="str">
        <f>IFERROR(VLOOKUP($A146,メルマガ読み込み用!$A$2:$K$250,4,FALSE),"")</f>
        <v/>
      </c>
      <c r="E146" s="222" t="str">
        <f>IFERROR(VLOOKUP($A146,メルマガ読み込み用!$A$2:$K$250,5,FALSE),"")</f>
        <v/>
      </c>
      <c r="F146" s="222" t="str">
        <f>IFERROR(VLOOKUP($A146,メルマガ読み込み用!$A$2:$K$250,6,FALSE),"")</f>
        <v/>
      </c>
      <c r="G146" s="222" t="str">
        <f>IFERROR(VLOOKUP($A146,メルマガ読み込み用!$A$2:$L$250,12,FALSE),"")</f>
        <v/>
      </c>
      <c r="H146" s="221" t="str">
        <f>IFERROR(VLOOKUP($A146,メルマガ読み込み用!$A$2:$K$250,7,FALSE),"")</f>
        <v/>
      </c>
      <c r="I146" s="222" t="str">
        <f>IFERROR(VLOOKUP($A146,メルマガ読み込み用!$A$2:$K$250,8,FALSE),"")</f>
        <v/>
      </c>
      <c r="J146" s="223" t="str">
        <f>IFERROR(VLOOKUP($A146,メルマガ読み込み用!$A$2:$K$250,11,FALSE),"")</f>
        <v/>
      </c>
    </row>
    <row r="147" spans="1:10">
      <c r="A147" s="113">
        <v>145</v>
      </c>
      <c r="B147" s="222" t="str">
        <f>IFERROR(VLOOKUP($A147,メルマガ読み込み用!$A$2:$K$250,2,FALSE),"")</f>
        <v/>
      </c>
      <c r="C147" s="222" t="str">
        <f>IFERROR(VLOOKUP($A147,メルマガ読み込み用!$A$2:$K$250,3,FALSE),"")</f>
        <v/>
      </c>
      <c r="D147" s="222" t="str">
        <f>IFERROR(VLOOKUP($A147,メルマガ読み込み用!$A$2:$K$250,4,FALSE),"")</f>
        <v/>
      </c>
      <c r="E147" s="222" t="str">
        <f>IFERROR(VLOOKUP($A147,メルマガ読み込み用!$A$2:$K$250,5,FALSE),"")</f>
        <v/>
      </c>
      <c r="F147" s="222" t="str">
        <f>IFERROR(VLOOKUP($A147,メルマガ読み込み用!$A$2:$K$250,6,FALSE),"")</f>
        <v/>
      </c>
      <c r="G147" s="222" t="str">
        <f>IFERROR(VLOOKUP($A147,メルマガ読み込み用!$A$2:$L$250,12,FALSE),"")</f>
        <v/>
      </c>
      <c r="H147" s="221" t="str">
        <f>IFERROR(VLOOKUP($A147,メルマガ読み込み用!$A$2:$K$250,7,FALSE),"")</f>
        <v/>
      </c>
      <c r="I147" s="222" t="str">
        <f>IFERROR(VLOOKUP($A147,メルマガ読み込み用!$A$2:$K$250,8,FALSE),"")</f>
        <v/>
      </c>
      <c r="J147" s="223" t="str">
        <f>IFERROR(VLOOKUP($A147,メルマガ読み込み用!$A$2:$K$250,11,FALSE),"")</f>
        <v/>
      </c>
    </row>
    <row r="148" spans="1:10">
      <c r="A148" s="113">
        <v>146</v>
      </c>
      <c r="B148" s="222" t="str">
        <f>IFERROR(VLOOKUP($A148,メルマガ読み込み用!$A$2:$K$250,2,FALSE),"")</f>
        <v/>
      </c>
      <c r="C148" s="222" t="str">
        <f>IFERROR(VLOOKUP($A148,メルマガ読み込み用!$A$2:$K$250,3,FALSE),"")</f>
        <v/>
      </c>
      <c r="D148" s="222" t="str">
        <f>IFERROR(VLOOKUP($A148,メルマガ読み込み用!$A$2:$K$250,4,FALSE),"")</f>
        <v/>
      </c>
      <c r="E148" s="222" t="str">
        <f>IFERROR(VLOOKUP($A148,メルマガ読み込み用!$A$2:$K$250,5,FALSE),"")</f>
        <v/>
      </c>
      <c r="F148" s="222" t="str">
        <f>IFERROR(VLOOKUP($A148,メルマガ読み込み用!$A$2:$K$250,6,FALSE),"")</f>
        <v/>
      </c>
      <c r="G148" s="222" t="str">
        <f>IFERROR(VLOOKUP($A148,メルマガ読み込み用!$A$2:$L$250,12,FALSE),"")</f>
        <v/>
      </c>
      <c r="H148" s="221" t="str">
        <f>IFERROR(VLOOKUP($A148,メルマガ読み込み用!$A$2:$K$250,7,FALSE),"")</f>
        <v/>
      </c>
      <c r="I148" s="222" t="str">
        <f>IFERROR(VLOOKUP($A148,メルマガ読み込み用!$A$2:$K$250,8,FALSE),"")</f>
        <v/>
      </c>
      <c r="J148" s="223" t="str">
        <f>IFERROR(VLOOKUP($A148,メルマガ読み込み用!$A$2:$K$250,11,FALSE),"")</f>
        <v/>
      </c>
    </row>
    <row r="149" spans="1:10">
      <c r="A149" s="113">
        <v>147</v>
      </c>
      <c r="B149" s="222" t="str">
        <f>IFERROR(VLOOKUP($A149,メルマガ読み込み用!$A$2:$K$250,2,FALSE),"")</f>
        <v/>
      </c>
      <c r="C149" s="222" t="str">
        <f>IFERROR(VLOOKUP($A149,メルマガ読み込み用!$A$2:$K$250,3,FALSE),"")</f>
        <v/>
      </c>
      <c r="D149" s="222" t="str">
        <f>IFERROR(VLOOKUP($A149,メルマガ読み込み用!$A$2:$K$250,4,FALSE),"")</f>
        <v/>
      </c>
      <c r="E149" s="222" t="str">
        <f>IFERROR(VLOOKUP($A149,メルマガ読み込み用!$A$2:$K$250,5,FALSE),"")</f>
        <v/>
      </c>
      <c r="F149" s="222" t="str">
        <f>IFERROR(VLOOKUP($A149,メルマガ読み込み用!$A$2:$K$250,6,FALSE),"")</f>
        <v/>
      </c>
      <c r="G149" s="222" t="str">
        <f>IFERROR(VLOOKUP($A149,メルマガ読み込み用!$A$2:$L$250,12,FALSE),"")</f>
        <v/>
      </c>
      <c r="H149" s="221" t="str">
        <f>IFERROR(VLOOKUP($A149,メルマガ読み込み用!$A$2:$K$250,7,FALSE),"")</f>
        <v/>
      </c>
      <c r="I149" s="222" t="str">
        <f>IFERROR(VLOOKUP($A149,メルマガ読み込み用!$A$2:$K$250,8,FALSE),"")</f>
        <v/>
      </c>
      <c r="J149" s="223" t="str">
        <f>IFERROR(VLOOKUP($A149,メルマガ読み込み用!$A$2:$K$250,11,FALSE),"")</f>
        <v/>
      </c>
    </row>
    <row r="150" spans="1:10">
      <c r="A150" s="113">
        <v>148</v>
      </c>
      <c r="B150" s="222" t="str">
        <f>IFERROR(VLOOKUP($A150,メルマガ読み込み用!$A$2:$K$250,2,FALSE),"")</f>
        <v/>
      </c>
      <c r="C150" s="222" t="str">
        <f>IFERROR(VLOOKUP($A150,メルマガ読み込み用!$A$2:$K$250,3,FALSE),"")</f>
        <v/>
      </c>
      <c r="D150" s="222" t="str">
        <f>IFERROR(VLOOKUP($A150,メルマガ読み込み用!$A$2:$K$250,4,FALSE),"")</f>
        <v/>
      </c>
      <c r="E150" s="222" t="str">
        <f>IFERROR(VLOOKUP($A150,メルマガ読み込み用!$A$2:$K$250,5,FALSE),"")</f>
        <v/>
      </c>
      <c r="F150" s="222" t="str">
        <f>IFERROR(VLOOKUP($A150,メルマガ読み込み用!$A$2:$K$250,6,FALSE),"")</f>
        <v/>
      </c>
      <c r="G150" s="222" t="str">
        <f>IFERROR(VLOOKUP($A150,メルマガ読み込み用!$A$2:$L$250,12,FALSE),"")</f>
        <v/>
      </c>
      <c r="H150" s="221" t="str">
        <f>IFERROR(VLOOKUP($A150,メルマガ読み込み用!$A$2:$K$250,7,FALSE),"")</f>
        <v/>
      </c>
      <c r="I150" s="222" t="str">
        <f>IFERROR(VLOOKUP($A150,メルマガ読み込み用!$A$2:$K$250,8,FALSE),"")</f>
        <v/>
      </c>
      <c r="J150" s="223" t="str">
        <f>IFERROR(VLOOKUP($A150,メルマガ読み込み用!$A$2:$K$250,11,FALSE),"")</f>
        <v/>
      </c>
    </row>
    <row r="151" spans="1:10">
      <c r="A151" s="113">
        <v>149</v>
      </c>
      <c r="B151" s="222" t="str">
        <f>IFERROR(VLOOKUP($A151,メルマガ読み込み用!$A$2:$K$250,2,FALSE),"")</f>
        <v/>
      </c>
      <c r="C151" s="222" t="str">
        <f>IFERROR(VLOOKUP($A151,メルマガ読み込み用!$A$2:$K$250,3,FALSE),"")</f>
        <v/>
      </c>
      <c r="D151" s="222" t="str">
        <f>IFERROR(VLOOKUP($A151,メルマガ読み込み用!$A$2:$K$250,4,FALSE),"")</f>
        <v/>
      </c>
      <c r="E151" s="222" t="str">
        <f>IFERROR(VLOOKUP($A151,メルマガ読み込み用!$A$2:$K$250,5,FALSE),"")</f>
        <v/>
      </c>
      <c r="F151" s="222" t="str">
        <f>IFERROR(VLOOKUP($A151,メルマガ読み込み用!$A$2:$K$250,6,FALSE),"")</f>
        <v/>
      </c>
      <c r="G151" s="222" t="str">
        <f>IFERROR(VLOOKUP($A151,メルマガ読み込み用!$A$2:$L$250,12,FALSE),"")</f>
        <v/>
      </c>
      <c r="H151" s="221" t="str">
        <f>IFERROR(VLOOKUP($A151,メルマガ読み込み用!$A$2:$K$250,7,FALSE),"")</f>
        <v/>
      </c>
      <c r="I151" s="222" t="str">
        <f>IFERROR(VLOOKUP($A151,メルマガ読み込み用!$A$2:$K$250,8,FALSE),"")</f>
        <v/>
      </c>
      <c r="J151" s="223" t="str">
        <f>IFERROR(VLOOKUP($A151,メルマガ読み込み用!$A$2:$K$250,11,FALSE),"")</f>
        <v/>
      </c>
    </row>
    <row r="152" spans="1:10">
      <c r="A152" s="113">
        <v>150</v>
      </c>
      <c r="B152" s="222" t="str">
        <f>IFERROR(VLOOKUP($A152,メルマガ読み込み用!$A$2:$K$250,2,FALSE),"")</f>
        <v/>
      </c>
      <c r="C152" s="222" t="str">
        <f>IFERROR(VLOOKUP($A152,メルマガ読み込み用!$A$2:$K$250,3,FALSE),"")</f>
        <v/>
      </c>
      <c r="D152" s="222" t="str">
        <f>IFERROR(VLOOKUP($A152,メルマガ読み込み用!$A$2:$K$250,4,FALSE),"")</f>
        <v/>
      </c>
      <c r="E152" s="222" t="str">
        <f>IFERROR(VLOOKUP($A152,メルマガ読み込み用!$A$2:$K$250,5,FALSE),"")</f>
        <v/>
      </c>
      <c r="F152" s="222" t="str">
        <f>IFERROR(VLOOKUP($A152,メルマガ読み込み用!$A$2:$K$250,6,FALSE),"")</f>
        <v/>
      </c>
      <c r="G152" s="222" t="str">
        <f>IFERROR(VLOOKUP($A152,メルマガ読み込み用!$A$2:$L$250,12,FALSE),"")</f>
        <v/>
      </c>
      <c r="H152" s="221" t="str">
        <f>IFERROR(VLOOKUP($A152,メルマガ読み込み用!$A$2:$K$250,7,FALSE),"")</f>
        <v/>
      </c>
      <c r="I152" s="222" t="str">
        <f>IFERROR(VLOOKUP($A152,メルマガ読み込み用!$A$2:$K$250,8,FALSE),"")</f>
        <v/>
      </c>
      <c r="J152" s="223" t="str">
        <f>IFERROR(VLOOKUP($A152,メルマガ読み込み用!$A$2:$K$250,11,FALSE),"")</f>
        <v/>
      </c>
    </row>
    <row r="153" spans="1:10">
      <c r="A153" s="113">
        <v>151</v>
      </c>
      <c r="B153" s="222" t="str">
        <f>IFERROR(VLOOKUP($A153,メルマガ読み込み用!$A$2:$K$250,2,FALSE),"")</f>
        <v/>
      </c>
      <c r="C153" s="222" t="str">
        <f>IFERROR(VLOOKUP($A153,メルマガ読み込み用!$A$2:$K$250,3,FALSE),"")</f>
        <v/>
      </c>
      <c r="D153" s="222" t="str">
        <f>IFERROR(VLOOKUP($A153,メルマガ読み込み用!$A$2:$K$250,4,FALSE),"")</f>
        <v/>
      </c>
      <c r="E153" s="222" t="str">
        <f>IFERROR(VLOOKUP($A153,メルマガ読み込み用!$A$2:$K$250,5,FALSE),"")</f>
        <v/>
      </c>
      <c r="F153" s="222" t="str">
        <f>IFERROR(VLOOKUP($A153,メルマガ読み込み用!$A$2:$K$250,6,FALSE),"")</f>
        <v/>
      </c>
      <c r="G153" s="222" t="str">
        <f>IFERROR(VLOOKUP($A153,メルマガ読み込み用!$A$2:$L$250,12,FALSE),"")</f>
        <v/>
      </c>
      <c r="H153" s="221" t="str">
        <f>IFERROR(VLOOKUP($A153,メルマガ読み込み用!$A$2:$K$250,7,FALSE),"")</f>
        <v/>
      </c>
      <c r="I153" s="222" t="str">
        <f>IFERROR(VLOOKUP($A153,メルマガ読み込み用!$A$2:$K$250,8,FALSE),"")</f>
        <v/>
      </c>
      <c r="J153" s="223" t="str">
        <f>IFERROR(VLOOKUP($A153,メルマガ読み込み用!$A$2:$K$250,11,FALSE),"")</f>
        <v/>
      </c>
    </row>
    <row r="154" spans="1:10">
      <c r="A154" s="113">
        <v>152</v>
      </c>
      <c r="B154" s="222" t="str">
        <f>IFERROR(VLOOKUP($A154,メルマガ読み込み用!$A$2:$K$250,2,FALSE),"")</f>
        <v/>
      </c>
      <c r="C154" s="222" t="str">
        <f>IFERROR(VLOOKUP($A154,メルマガ読み込み用!$A$2:$K$250,3,FALSE),"")</f>
        <v/>
      </c>
      <c r="D154" s="222" t="str">
        <f>IFERROR(VLOOKUP($A154,メルマガ読み込み用!$A$2:$K$250,4,FALSE),"")</f>
        <v/>
      </c>
      <c r="E154" s="222" t="str">
        <f>IFERROR(VLOOKUP($A154,メルマガ読み込み用!$A$2:$K$250,5,FALSE),"")</f>
        <v/>
      </c>
      <c r="F154" s="222" t="str">
        <f>IFERROR(VLOOKUP($A154,メルマガ読み込み用!$A$2:$K$250,6,FALSE),"")</f>
        <v/>
      </c>
      <c r="G154" s="222" t="str">
        <f>IFERROR(VLOOKUP($A154,メルマガ読み込み用!$A$2:$L$250,12,FALSE),"")</f>
        <v/>
      </c>
      <c r="H154" s="221" t="str">
        <f>IFERROR(VLOOKUP($A154,メルマガ読み込み用!$A$2:$K$250,7,FALSE),"")</f>
        <v/>
      </c>
      <c r="I154" s="222" t="str">
        <f>IFERROR(VLOOKUP($A154,メルマガ読み込み用!$A$2:$K$250,8,FALSE),"")</f>
        <v/>
      </c>
      <c r="J154" s="223" t="str">
        <f>IFERROR(VLOOKUP($A154,メルマガ読み込み用!$A$2:$K$250,11,FALSE),"")</f>
        <v/>
      </c>
    </row>
    <row r="155" spans="1:10">
      <c r="A155" s="113">
        <v>153</v>
      </c>
      <c r="B155" s="222" t="str">
        <f>IFERROR(VLOOKUP($A155,メルマガ読み込み用!$A$2:$K$250,2,FALSE),"")</f>
        <v/>
      </c>
      <c r="C155" s="222" t="str">
        <f>IFERROR(VLOOKUP($A155,メルマガ読み込み用!$A$2:$K$250,3,FALSE),"")</f>
        <v/>
      </c>
      <c r="D155" s="222" t="str">
        <f>IFERROR(VLOOKUP($A155,メルマガ読み込み用!$A$2:$K$250,4,FALSE),"")</f>
        <v/>
      </c>
      <c r="E155" s="222" t="str">
        <f>IFERROR(VLOOKUP($A155,メルマガ読み込み用!$A$2:$K$250,5,FALSE),"")</f>
        <v/>
      </c>
      <c r="F155" s="222" t="str">
        <f>IFERROR(VLOOKUP($A155,メルマガ読み込み用!$A$2:$K$250,6,FALSE),"")</f>
        <v/>
      </c>
      <c r="G155" s="222" t="str">
        <f>IFERROR(VLOOKUP($A155,メルマガ読み込み用!$A$2:$L$250,12,FALSE),"")</f>
        <v/>
      </c>
      <c r="H155" s="221" t="str">
        <f>IFERROR(VLOOKUP($A155,メルマガ読み込み用!$A$2:$K$250,7,FALSE),"")</f>
        <v/>
      </c>
      <c r="I155" s="222" t="str">
        <f>IFERROR(VLOOKUP($A155,メルマガ読み込み用!$A$2:$K$250,8,FALSE),"")</f>
        <v/>
      </c>
      <c r="J155" s="223" t="str">
        <f>IFERROR(VLOOKUP($A155,メルマガ読み込み用!$A$2:$K$250,11,FALSE),"")</f>
        <v/>
      </c>
    </row>
    <row r="156" spans="1:10">
      <c r="A156" s="113">
        <v>154</v>
      </c>
      <c r="B156" s="222" t="str">
        <f>IFERROR(VLOOKUP($A156,メルマガ読み込み用!$A$2:$K$250,2,FALSE),"")</f>
        <v/>
      </c>
      <c r="C156" s="222" t="str">
        <f>IFERROR(VLOOKUP($A156,メルマガ読み込み用!$A$2:$K$250,3,FALSE),"")</f>
        <v/>
      </c>
      <c r="D156" s="222" t="str">
        <f>IFERROR(VLOOKUP($A156,メルマガ読み込み用!$A$2:$K$250,4,FALSE),"")</f>
        <v/>
      </c>
      <c r="E156" s="222" t="str">
        <f>IFERROR(VLOOKUP($A156,メルマガ読み込み用!$A$2:$K$250,5,FALSE),"")</f>
        <v/>
      </c>
      <c r="F156" s="222" t="str">
        <f>IFERROR(VLOOKUP($A156,メルマガ読み込み用!$A$2:$K$250,6,FALSE),"")</f>
        <v/>
      </c>
      <c r="G156" s="222" t="str">
        <f>IFERROR(VLOOKUP($A156,メルマガ読み込み用!$A$2:$L$250,12,FALSE),"")</f>
        <v/>
      </c>
      <c r="H156" s="221" t="str">
        <f>IFERROR(VLOOKUP($A156,メルマガ読み込み用!$A$2:$K$250,7,FALSE),"")</f>
        <v/>
      </c>
      <c r="I156" s="222" t="str">
        <f>IFERROR(VLOOKUP($A156,メルマガ読み込み用!$A$2:$K$250,8,FALSE),"")</f>
        <v/>
      </c>
      <c r="J156" s="223" t="str">
        <f>IFERROR(VLOOKUP($A156,メルマガ読み込み用!$A$2:$K$250,11,FALSE),"")</f>
        <v/>
      </c>
    </row>
    <row r="157" spans="1:10">
      <c r="A157" s="113">
        <v>155</v>
      </c>
      <c r="B157" s="222" t="str">
        <f>IFERROR(VLOOKUP($A157,メルマガ読み込み用!$A$2:$K$250,2,FALSE),"")</f>
        <v/>
      </c>
      <c r="C157" s="222" t="str">
        <f>IFERROR(VLOOKUP($A157,メルマガ読み込み用!$A$2:$K$250,3,FALSE),"")</f>
        <v/>
      </c>
      <c r="D157" s="222" t="str">
        <f>IFERROR(VLOOKUP($A157,メルマガ読み込み用!$A$2:$K$250,4,FALSE),"")</f>
        <v/>
      </c>
      <c r="E157" s="222" t="str">
        <f>IFERROR(VLOOKUP($A157,メルマガ読み込み用!$A$2:$K$250,5,FALSE),"")</f>
        <v/>
      </c>
      <c r="F157" s="222" t="str">
        <f>IFERROR(VLOOKUP($A157,メルマガ読み込み用!$A$2:$K$250,6,FALSE),"")</f>
        <v/>
      </c>
      <c r="G157" s="222" t="str">
        <f>IFERROR(VLOOKUP($A157,メルマガ読み込み用!$A$2:$L$250,12,FALSE),"")</f>
        <v/>
      </c>
      <c r="H157" s="221" t="str">
        <f>IFERROR(VLOOKUP($A157,メルマガ読み込み用!$A$2:$K$250,7,FALSE),"")</f>
        <v/>
      </c>
      <c r="I157" s="222" t="str">
        <f>IFERROR(VLOOKUP($A157,メルマガ読み込み用!$A$2:$K$250,8,FALSE),"")</f>
        <v/>
      </c>
      <c r="J157" s="223" t="str">
        <f>IFERROR(VLOOKUP($A157,メルマガ読み込み用!$A$2:$K$250,11,FALSE),"")</f>
        <v/>
      </c>
    </row>
    <row r="158" spans="1:10">
      <c r="A158" s="113">
        <v>156</v>
      </c>
      <c r="B158" s="222" t="str">
        <f>IFERROR(VLOOKUP($A158,メルマガ読み込み用!$A$2:$K$250,2,FALSE),"")</f>
        <v/>
      </c>
      <c r="C158" s="222" t="str">
        <f>IFERROR(VLOOKUP($A158,メルマガ読み込み用!$A$2:$K$250,3,FALSE),"")</f>
        <v/>
      </c>
      <c r="D158" s="222" t="str">
        <f>IFERROR(VLOOKUP($A158,メルマガ読み込み用!$A$2:$K$250,4,FALSE),"")</f>
        <v/>
      </c>
      <c r="E158" s="222" t="str">
        <f>IFERROR(VLOOKUP($A158,メルマガ読み込み用!$A$2:$K$250,5,FALSE),"")</f>
        <v/>
      </c>
      <c r="F158" s="222" t="str">
        <f>IFERROR(VLOOKUP($A158,メルマガ読み込み用!$A$2:$K$250,6,FALSE),"")</f>
        <v/>
      </c>
      <c r="G158" s="222" t="str">
        <f>IFERROR(VLOOKUP($A158,メルマガ読み込み用!$A$2:$L$250,12,FALSE),"")</f>
        <v/>
      </c>
      <c r="H158" s="221" t="str">
        <f>IFERROR(VLOOKUP($A158,メルマガ読み込み用!$A$2:$K$250,7,FALSE),"")</f>
        <v/>
      </c>
      <c r="I158" s="222" t="str">
        <f>IFERROR(VLOOKUP($A158,メルマガ読み込み用!$A$2:$K$250,8,FALSE),"")</f>
        <v/>
      </c>
      <c r="J158" s="223" t="str">
        <f>IFERROR(VLOOKUP($A158,メルマガ読み込み用!$A$2:$K$250,11,FALSE),"")</f>
        <v/>
      </c>
    </row>
    <row r="159" spans="1:10">
      <c r="A159" s="113">
        <v>157</v>
      </c>
      <c r="B159" s="222" t="str">
        <f>IFERROR(VLOOKUP($A159,メルマガ読み込み用!$A$2:$K$250,2,FALSE),"")</f>
        <v/>
      </c>
      <c r="C159" s="222" t="str">
        <f>IFERROR(VLOOKUP($A159,メルマガ読み込み用!$A$2:$K$250,3,FALSE),"")</f>
        <v/>
      </c>
      <c r="D159" s="222" t="str">
        <f>IFERROR(VLOOKUP($A159,メルマガ読み込み用!$A$2:$K$250,4,FALSE),"")</f>
        <v/>
      </c>
      <c r="E159" s="222" t="str">
        <f>IFERROR(VLOOKUP($A159,メルマガ読み込み用!$A$2:$K$250,5,FALSE),"")</f>
        <v/>
      </c>
      <c r="F159" s="222" t="str">
        <f>IFERROR(VLOOKUP($A159,メルマガ読み込み用!$A$2:$K$250,6,FALSE),"")</f>
        <v/>
      </c>
      <c r="G159" s="222" t="str">
        <f>IFERROR(VLOOKUP($A159,メルマガ読み込み用!$A$2:$L$250,12,FALSE),"")</f>
        <v/>
      </c>
      <c r="H159" s="221" t="str">
        <f>IFERROR(VLOOKUP($A159,メルマガ読み込み用!$A$2:$K$250,7,FALSE),"")</f>
        <v/>
      </c>
      <c r="I159" s="222" t="str">
        <f>IFERROR(VLOOKUP($A159,メルマガ読み込み用!$A$2:$K$250,8,FALSE),"")</f>
        <v/>
      </c>
      <c r="J159" s="223" t="str">
        <f>IFERROR(VLOOKUP($A159,メルマガ読み込み用!$A$2:$K$250,11,FALSE),"")</f>
        <v/>
      </c>
    </row>
    <row r="160" spans="1:10">
      <c r="A160" s="113">
        <v>158</v>
      </c>
      <c r="B160" s="222" t="str">
        <f>IFERROR(VLOOKUP($A160,メルマガ読み込み用!$A$2:$K$250,2,FALSE),"")</f>
        <v/>
      </c>
      <c r="C160" s="222" t="str">
        <f>IFERROR(VLOOKUP($A160,メルマガ読み込み用!$A$2:$K$250,3,FALSE),"")</f>
        <v/>
      </c>
      <c r="D160" s="222" t="str">
        <f>IFERROR(VLOOKUP($A160,メルマガ読み込み用!$A$2:$K$250,4,FALSE),"")</f>
        <v/>
      </c>
      <c r="E160" s="222" t="str">
        <f>IFERROR(VLOOKUP($A160,メルマガ読み込み用!$A$2:$K$250,5,FALSE),"")</f>
        <v/>
      </c>
      <c r="F160" s="222" t="str">
        <f>IFERROR(VLOOKUP($A160,メルマガ読み込み用!$A$2:$K$250,6,FALSE),"")</f>
        <v/>
      </c>
      <c r="G160" s="222" t="str">
        <f>IFERROR(VLOOKUP($A160,メルマガ読み込み用!$A$2:$L$250,12,FALSE),"")</f>
        <v/>
      </c>
      <c r="H160" s="221" t="str">
        <f>IFERROR(VLOOKUP($A160,メルマガ読み込み用!$A$2:$K$250,7,FALSE),"")</f>
        <v/>
      </c>
      <c r="I160" s="222" t="str">
        <f>IFERROR(VLOOKUP($A160,メルマガ読み込み用!$A$2:$K$250,8,FALSE),"")</f>
        <v/>
      </c>
      <c r="J160" s="223" t="str">
        <f>IFERROR(VLOOKUP($A160,メルマガ読み込み用!$A$2:$K$250,11,FALSE),"")</f>
        <v/>
      </c>
    </row>
    <row r="161" spans="1:10">
      <c r="A161" s="113">
        <v>159</v>
      </c>
      <c r="B161" s="222" t="str">
        <f>IFERROR(VLOOKUP($A161,メルマガ読み込み用!$A$2:$K$250,2,FALSE),"")</f>
        <v/>
      </c>
      <c r="C161" s="222" t="str">
        <f>IFERROR(VLOOKUP($A161,メルマガ読み込み用!$A$2:$K$250,3,FALSE),"")</f>
        <v/>
      </c>
      <c r="D161" s="222" t="str">
        <f>IFERROR(VLOOKUP($A161,メルマガ読み込み用!$A$2:$K$250,4,FALSE),"")</f>
        <v/>
      </c>
      <c r="E161" s="222" t="str">
        <f>IFERROR(VLOOKUP($A161,メルマガ読み込み用!$A$2:$K$250,5,FALSE),"")</f>
        <v/>
      </c>
      <c r="F161" s="222" t="str">
        <f>IFERROR(VLOOKUP($A161,メルマガ読み込み用!$A$2:$K$250,6,FALSE),"")</f>
        <v/>
      </c>
      <c r="G161" s="222" t="str">
        <f>IFERROR(VLOOKUP($A161,メルマガ読み込み用!$A$2:$L$250,12,FALSE),"")</f>
        <v/>
      </c>
      <c r="H161" s="221" t="str">
        <f>IFERROR(VLOOKUP($A161,メルマガ読み込み用!$A$2:$K$250,7,FALSE),"")</f>
        <v/>
      </c>
      <c r="I161" s="222" t="str">
        <f>IFERROR(VLOOKUP($A161,メルマガ読み込み用!$A$2:$K$250,8,FALSE),"")</f>
        <v/>
      </c>
      <c r="J161" s="223" t="str">
        <f>IFERROR(VLOOKUP($A161,メルマガ読み込み用!$A$2:$K$250,11,FALSE),"")</f>
        <v/>
      </c>
    </row>
    <row r="162" spans="1:10">
      <c r="A162" s="113">
        <v>160</v>
      </c>
      <c r="B162" s="222" t="str">
        <f>IFERROR(VLOOKUP($A162,メルマガ読み込み用!$A$2:$K$250,2,FALSE),"")</f>
        <v/>
      </c>
      <c r="C162" s="222" t="str">
        <f>IFERROR(VLOOKUP($A162,メルマガ読み込み用!$A$2:$K$250,3,FALSE),"")</f>
        <v/>
      </c>
      <c r="D162" s="222" t="str">
        <f>IFERROR(VLOOKUP($A162,メルマガ読み込み用!$A$2:$K$250,4,FALSE),"")</f>
        <v/>
      </c>
      <c r="E162" s="222" t="str">
        <f>IFERROR(VLOOKUP($A162,メルマガ読み込み用!$A$2:$K$250,5,FALSE),"")</f>
        <v/>
      </c>
      <c r="F162" s="222" t="str">
        <f>IFERROR(VLOOKUP($A162,メルマガ読み込み用!$A$2:$K$250,6,FALSE),"")</f>
        <v/>
      </c>
      <c r="G162" s="222" t="str">
        <f>IFERROR(VLOOKUP($A162,メルマガ読み込み用!$A$2:$L$250,12,FALSE),"")</f>
        <v/>
      </c>
      <c r="H162" s="221" t="str">
        <f>IFERROR(VLOOKUP($A162,メルマガ読み込み用!$A$2:$K$250,7,FALSE),"")</f>
        <v/>
      </c>
      <c r="I162" s="222" t="str">
        <f>IFERROR(VLOOKUP($A162,メルマガ読み込み用!$A$2:$K$250,8,FALSE),"")</f>
        <v/>
      </c>
      <c r="J162" s="223" t="str">
        <f>IFERROR(VLOOKUP($A162,メルマガ読み込み用!$A$2:$K$250,11,FALSE),"")</f>
        <v/>
      </c>
    </row>
    <row r="163" spans="1:10">
      <c r="A163" s="113">
        <v>161</v>
      </c>
      <c r="B163" s="222" t="str">
        <f>IFERROR(VLOOKUP($A163,メルマガ読み込み用!$A$2:$K$250,2,FALSE),"")</f>
        <v/>
      </c>
      <c r="C163" s="222" t="str">
        <f>IFERROR(VLOOKUP($A163,メルマガ読み込み用!$A$2:$K$250,3,FALSE),"")</f>
        <v/>
      </c>
      <c r="D163" s="222" t="str">
        <f>IFERROR(VLOOKUP($A163,メルマガ読み込み用!$A$2:$K$250,4,FALSE),"")</f>
        <v/>
      </c>
      <c r="E163" s="222" t="str">
        <f>IFERROR(VLOOKUP($A163,メルマガ読み込み用!$A$2:$K$250,5,FALSE),"")</f>
        <v/>
      </c>
      <c r="F163" s="222" t="str">
        <f>IFERROR(VLOOKUP($A163,メルマガ読み込み用!$A$2:$K$250,6,FALSE),"")</f>
        <v/>
      </c>
      <c r="G163" s="222" t="str">
        <f>IFERROR(VLOOKUP($A163,メルマガ読み込み用!$A$2:$L$250,12,FALSE),"")</f>
        <v/>
      </c>
      <c r="H163" s="221" t="str">
        <f>IFERROR(VLOOKUP($A163,メルマガ読み込み用!$A$2:$K$250,7,FALSE),"")</f>
        <v/>
      </c>
      <c r="I163" s="222" t="str">
        <f>IFERROR(VLOOKUP($A163,メルマガ読み込み用!$A$2:$K$250,8,FALSE),"")</f>
        <v/>
      </c>
      <c r="J163" s="223" t="str">
        <f>IFERROR(VLOOKUP($A163,メルマガ読み込み用!$A$2:$K$250,11,FALSE),"")</f>
        <v/>
      </c>
    </row>
    <row r="164" spans="1:10">
      <c r="A164" s="113">
        <v>162</v>
      </c>
      <c r="B164" s="222" t="str">
        <f>IFERROR(VLOOKUP($A164,メルマガ読み込み用!$A$2:$K$250,2,FALSE),"")</f>
        <v/>
      </c>
      <c r="C164" s="222" t="str">
        <f>IFERROR(VLOOKUP($A164,メルマガ読み込み用!$A$2:$K$250,3,FALSE),"")</f>
        <v/>
      </c>
      <c r="D164" s="222" t="str">
        <f>IFERROR(VLOOKUP($A164,メルマガ読み込み用!$A$2:$K$250,4,FALSE),"")</f>
        <v/>
      </c>
      <c r="E164" s="222" t="str">
        <f>IFERROR(VLOOKUP($A164,メルマガ読み込み用!$A$2:$K$250,5,FALSE),"")</f>
        <v/>
      </c>
      <c r="F164" s="222" t="str">
        <f>IFERROR(VLOOKUP($A164,メルマガ読み込み用!$A$2:$K$250,6,FALSE),"")</f>
        <v/>
      </c>
      <c r="G164" s="222" t="str">
        <f>IFERROR(VLOOKUP($A164,メルマガ読み込み用!$A$2:$L$250,12,FALSE),"")</f>
        <v/>
      </c>
      <c r="H164" s="221" t="str">
        <f>IFERROR(VLOOKUP($A164,メルマガ読み込み用!$A$2:$K$250,7,FALSE),"")</f>
        <v/>
      </c>
      <c r="I164" s="222" t="str">
        <f>IFERROR(VLOOKUP($A164,メルマガ読み込み用!$A$2:$K$250,8,FALSE),"")</f>
        <v/>
      </c>
      <c r="J164" s="223" t="str">
        <f>IFERROR(VLOOKUP($A164,メルマガ読み込み用!$A$2:$K$250,11,FALSE),"")</f>
        <v/>
      </c>
    </row>
    <row r="165" spans="1:10">
      <c r="A165" s="113">
        <v>163</v>
      </c>
      <c r="B165" s="222" t="str">
        <f>IFERROR(VLOOKUP($A165,メルマガ読み込み用!$A$2:$K$250,2,FALSE),"")</f>
        <v/>
      </c>
      <c r="C165" s="222" t="str">
        <f>IFERROR(VLOOKUP($A165,メルマガ読み込み用!$A$2:$K$250,3,FALSE),"")</f>
        <v/>
      </c>
      <c r="D165" s="222" t="str">
        <f>IFERROR(VLOOKUP($A165,メルマガ読み込み用!$A$2:$K$250,4,FALSE),"")</f>
        <v/>
      </c>
      <c r="E165" s="222" t="str">
        <f>IFERROR(VLOOKUP($A165,メルマガ読み込み用!$A$2:$K$250,5,FALSE),"")</f>
        <v/>
      </c>
      <c r="F165" s="222" t="str">
        <f>IFERROR(VLOOKUP($A165,メルマガ読み込み用!$A$2:$K$250,6,FALSE),"")</f>
        <v/>
      </c>
      <c r="G165" s="222" t="str">
        <f>IFERROR(VLOOKUP($A165,メルマガ読み込み用!$A$2:$L$250,12,FALSE),"")</f>
        <v/>
      </c>
      <c r="H165" s="221" t="str">
        <f>IFERROR(VLOOKUP($A165,メルマガ読み込み用!$A$2:$K$250,7,FALSE),"")</f>
        <v/>
      </c>
      <c r="I165" s="222" t="str">
        <f>IFERROR(VLOOKUP($A165,メルマガ読み込み用!$A$2:$K$250,8,FALSE),"")</f>
        <v/>
      </c>
      <c r="J165" s="223" t="str">
        <f>IFERROR(VLOOKUP($A165,メルマガ読み込み用!$A$2:$K$250,11,FALSE),"")</f>
        <v/>
      </c>
    </row>
    <row r="166" spans="1:10">
      <c r="A166" s="113">
        <v>164</v>
      </c>
      <c r="B166" s="222" t="str">
        <f>IFERROR(VLOOKUP($A166,メルマガ読み込み用!$A$2:$K$250,2,FALSE),"")</f>
        <v/>
      </c>
      <c r="C166" s="222" t="str">
        <f>IFERROR(VLOOKUP($A166,メルマガ読み込み用!$A$2:$K$250,3,FALSE),"")</f>
        <v/>
      </c>
      <c r="D166" s="222" t="str">
        <f>IFERROR(VLOOKUP($A166,メルマガ読み込み用!$A$2:$K$250,4,FALSE),"")</f>
        <v/>
      </c>
      <c r="E166" s="222" t="str">
        <f>IFERROR(VLOOKUP($A166,メルマガ読み込み用!$A$2:$K$250,5,FALSE),"")</f>
        <v/>
      </c>
      <c r="F166" s="222" t="str">
        <f>IFERROR(VLOOKUP($A166,メルマガ読み込み用!$A$2:$K$250,6,FALSE),"")</f>
        <v/>
      </c>
      <c r="G166" s="222" t="str">
        <f>IFERROR(VLOOKUP($A166,メルマガ読み込み用!$A$2:$L$250,12,FALSE),"")</f>
        <v/>
      </c>
      <c r="H166" s="221" t="str">
        <f>IFERROR(VLOOKUP($A166,メルマガ読み込み用!$A$2:$K$250,7,FALSE),"")</f>
        <v/>
      </c>
      <c r="I166" s="222" t="str">
        <f>IFERROR(VLOOKUP($A166,メルマガ読み込み用!$A$2:$K$250,8,FALSE),"")</f>
        <v/>
      </c>
      <c r="J166" s="223" t="str">
        <f>IFERROR(VLOOKUP($A166,メルマガ読み込み用!$A$2:$K$250,11,FALSE),"")</f>
        <v/>
      </c>
    </row>
    <row r="167" spans="1:10">
      <c r="A167" s="113">
        <v>165</v>
      </c>
      <c r="B167" s="222" t="str">
        <f>IFERROR(VLOOKUP($A167,メルマガ読み込み用!$A$2:$K$250,2,FALSE),"")</f>
        <v/>
      </c>
      <c r="C167" s="222" t="str">
        <f>IFERROR(VLOOKUP($A167,メルマガ読み込み用!$A$2:$K$250,3,FALSE),"")</f>
        <v/>
      </c>
      <c r="D167" s="222" t="str">
        <f>IFERROR(VLOOKUP($A167,メルマガ読み込み用!$A$2:$K$250,4,FALSE),"")</f>
        <v/>
      </c>
      <c r="E167" s="222" t="str">
        <f>IFERROR(VLOOKUP($A167,メルマガ読み込み用!$A$2:$K$250,5,FALSE),"")</f>
        <v/>
      </c>
      <c r="F167" s="222" t="str">
        <f>IFERROR(VLOOKUP($A167,メルマガ読み込み用!$A$2:$K$250,6,FALSE),"")</f>
        <v/>
      </c>
      <c r="G167" s="222" t="str">
        <f>IFERROR(VLOOKUP($A167,メルマガ読み込み用!$A$2:$L$250,12,FALSE),"")</f>
        <v/>
      </c>
      <c r="H167" s="221" t="str">
        <f>IFERROR(VLOOKUP($A167,メルマガ読み込み用!$A$2:$K$250,7,FALSE),"")</f>
        <v/>
      </c>
      <c r="I167" s="222" t="str">
        <f>IFERROR(VLOOKUP($A167,メルマガ読み込み用!$A$2:$K$250,8,FALSE),"")</f>
        <v/>
      </c>
      <c r="J167" s="223" t="str">
        <f>IFERROR(VLOOKUP($A167,メルマガ読み込み用!$A$2:$K$250,11,FALSE),"")</f>
        <v/>
      </c>
    </row>
    <row r="168" spans="1:10">
      <c r="A168" s="113">
        <v>166</v>
      </c>
      <c r="B168" s="222" t="str">
        <f>IFERROR(VLOOKUP($A168,メルマガ読み込み用!$A$2:$K$250,2,FALSE),"")</f>
        <v/>
      </c>
      <c r="C168" s="222" t="str">
        <f>IFERROR(VLOOKUP($A168,メルマガ読み込み用!$A$2:$K$250,3,FALSE),"")</f>
        <v/>
      </c>
      <c r="D168" s="222" t="str">
        <f>IFERROR(VLOOKUP($A168,メルマガ読み込み用!$A$2:$K$250,4,FALSE),"")</f>
        <v/>
      </c>
      <c r="E168" s="222" t="str">
        <f>IFERROR(VLOOKUP($A168,メルマガ読み込み用!$A$2:$K$250,5,FALSE),"")</f>
        <v/>
      </c>
      <c r="F168" s="222" t="str">
        <f>IFERROR(VLOOKUP($A168,メルマガ読み込み用!$A$2:$K$250,6,FALSE),"")</f>
        <v/>
      </c>
      <c r="G168" s="222" t="str">
        <f>IFERROR(VLOOKUP($A168,メルマガ読み込み用!$A$2:$L$250,12,FALSE),"")</f>
        <v/>
      </c>
      <c r="H168" s="221" t="str">
        <f>IFERROR(VLOOKUP($A168,メルマガ読み込み用!$A$2:$K$250,7,FALSE),"")</f>
        <v/>
      </c>
      <c r="I168" s="222" t="str">
        <f>IFERROR(VLOOKUP($A168,メルマガ読み込み用!$A$2:$K$250,8,FALSE),"")</f>
        <v/>
      </c>
      <c r="J168" s="223" t="str">
        <f>IFERROR(VLOOKUP($A168,メルマガ読み込み用!$A$2:$K$250,11,FALSE),"")</f>
        <v/>
      </c>
    </row>
    <row r="169" spans="1:10">
      <c r="A169" s="113">
        <v>167</v>
      </c>
      <c r="B169" s="222" t="str">
        <f>IFERROR(VLOOKUP($A169,メルマガ読み込み用!$A$2:$K$250,2,FALSE),"")</f>
        <v/>
      </c>
      <c r="C169" s="222" t="str">
        <f>IFERROR(VLOOKUP($A169,メルマガ読み込み用!$A$2:$K$250,3,FALSE),"")</f>
        <v/>
      </c>
      <c r="D169" s="222" t="str">
        <f>IFERROR(VLOOKUP($A169,メルマガ読み込み用!$A$2:$K$250,4,FALSE),"")</f>
        <v/>
      </c>
      <c r="E169" s="222" t="str">
        <f>IFERROR(VLOOKUP($A169,メルマガ読み込み用!$A$2:$K$250,5,FALSE),"")</f>
        <v/>
      </c>
      <c r="F169" s="222" t="str">
        <f>IFERROR(VLOOKUP($A169,メルマガ読み込み用!$A$2:$K$250,6,FALSE),"")</f>
        <v/>
      </c>
      <c r="G169" s="222" t="str">
        <f>IFERROR(VLOOKUP($A169,メルマガ読み込み用!$A$2:$L$250,12,FALSE),"")</f>
        <v/>
      </c>
      <c r="H169" s="221" t="str">
        <f>IFERROR(VLOOKUP($A169,メルマガ読み込み用!$A$2:$K$250,7,FALSE),"")</f>
        <v/>
      </c>
      <c r="I169" s="222" t="str">
        <f>IFERROR(VLOOKUP($A169,メルマガ読み込み用!$A$2:$K$250,8,FALSE),"")</f>
        <v/>
      </c>
      <c r="J169" s="223" t="str">
        <f>IFERROR(VLOOKUP($A169,メルマガ読み込み用!$A$2:$K$250,11,FALSE),"")</f>
        <v/>
      </c>
    </row>
    <row r="170" spans="1:10">
      <c r="A170" s="113">
        <v>168</v>
      </c>
      <c r="B170" s="222" t="str">
        <f>IFERROR(VLOOKUP($A170,メルマガ読み込み用!$A$2:$K$250,2,FALSE),"")</f>
        <v/>
      </c>
      <c r="C170" s="222" t="str">
        <f>IFERROR(VLOOKUP($A170,メルマガ読み込み用!$A$2:$K$250,3,FALSE),"")</f>
        <v/>
      </c>
      <c r="D170" s="222" t="str">
        <f>IFERROR(VLOOKUP($A170,メルマガ読み込み用!$A$2:$K$250,4,FALSE),"")</f>
        <v/>
      </c>
      <c r="E170" s="222" t="str">
        <f>IFERROR(VLOOKUP($A170,メルマガ読み込み用!$A$2:$K$250,5,FALSE),"")</f>
        <v/>
      </c>
      <c r="F170" s="222" t="str">
        <f>IFERROR(VLOOKUP($A170,メルマガ読み込み用!$A$2:$K$250,6,FALSE),"")</f>
        <v/>
      </c>
      <c r="G170" s="222" t="str">
        <f>IFERROR(VLOOKUP($A170,メルマガ読み込み用!$A$2:$L$250,12,FALSE),"")</f>
        <v/>
      </c>
      <c r="H170" s="221" t="str">
        <f>IFERROR(VLOOKUP($A170,メルマガ読み込み用!$A$2:$K$250,7,FALSE),"")</f>
        <v/>
      </c>
      <c r="I170" s="222" t="str">
        <f>IFERROR(VLOOKUP($A170,メルマガ読み込み用!$A$2:$K$250,8,FALSE),"")</f>
        <v/>
      </c>
      <c r="J170" s="223" t="str">
        <f>IFERROR(VLOOKUP($A170,メルマガ読み込み用!$A$2:$K$250,11,FALSE),"")</f>
        <v/>
      </c>
    </row>
    <row r="171" spans="1:10">
      <c r="A171" s="113">
        <v>169</v>
      </c>
      <c r="B171" s="222" t="str">
        <f>IFERROR(VLOOKUP($A171,メルマガ読み込み用!$A$2:$K$250,2,FALSE),"")</f>
        <v/>
      </c>
      <c r="C171" s="222" t="str">
        <f>IFERROR(VLOOKUP($A171,メルマガ読み込み用!$A$2:$K$250,3,FALSE),"")</f>
        <v/>
      </c>
      <c r="D171" s="222" t="str">
        <f>IFERROR(VLOOKUP($A171,メルマガ読み込み用!$A$2:$K$250,4,FALSE),"")</f>
        <v/>
      </c>
      <c r="E171" s="222" t="str">
        <f>IFERROR(VLOOKUP($A171,メルマガ読み込み用!$A$2:$K$250,5,FALSE),"")</f>
        <v/>
      </c>
      <c r="F171" s="222" t="str">
        <f>IFERROR(VLOOKUP($A171,メルマガ読み込み用!$A$2:$K$250,6,FALSE),"")</f>
        <v/>
      </c>
      <c r="G171" s="222" t="str">
        <f>IFERROR(VLOOKUP($A171,メルマガ読み込み用!$A$2:$L$250,12,FALSE),"")</f>
        <v/>
      </c>
      <c r="H171" s="221" t="str">
        <f>IFERROR(VLOOKUP($A171,メルマガ読み込み用!$A$2:$K$250,7,FALSE),"")</f>
        <v/>
      </c>
      <c r="I171" s="222" t="str">
        <f>IFERROR(VLOOKUP($A171,メルマガ読み込み用!$A$2:$K$250,8,FALSE),"")</f>
        <v/>
      </c>
      <c r="J171" s="223" t="str">
        <f>IFERROR(VLOOKUP($A171,メルマガ読み込み用!$A$2:$K$250,11,FALSE),"")</f>
        <v/>
      </c>
    </row>
    <row r="172" spans="1:10">
      <c r="A172" s="113">
        <v>170</v>
      </c>
      <c r="B172" s="222" t="str">
        <f>IFERROR(VLOOKUP($A172,メルマガ読み込み用!$A$2:$K$250,2,FALSE),"")</f>
        <v/>
      </c>
      <c r="C172" s="222" t="str">
        <f>IFERROR(VLOOKUP($A172,メルマガ読み込み用!$A$2:$K$250,3,FALSE),"")</f>
        <v/>
      </c>
      <c r="D172" s="222" t="str">
        <f>IFERROR(VLOOKUP($A172,メルマガ読み込み用!$A$2:$K$250,4,FALSE),"")</f>
        <v/>
      </c>
      <c r="E172" s="222" t="str">
        <f>IFERROR(VLOOKUP($A172,メルマガ読み込み用!$A$2:$K$250,5,FALSE),"")</f>
        <v/>
      </c>
      <c r="F172" s="222" t="str">
        <f>IFERROR(VLOOKUP($A172,メルマガ読み込み用!$A$2:$K$250,6,FALSE),"")</f>
        <v/>
      </c>
      <c r="G172" s="222" t="str">
        <f>IFERROR(VLOOKUP($A172,メルマガ読み込み用!$A$2:$L$250,12,FALSE),"")</f>
        <v/>
      </c>
      <c r="H172" s="221" t="str">
        <f>IFERROR(VLOOKUP($A172,メルマガ読み込み用!$A$2:$K$250,7,FALSE),"")</f>
        <v/>
      </c>
      <c r="I172" s="222" t="str">
        <f>IFERROR(VLOOKUP($A172,メルマガ読み込み用!$A$2:$K$250,8,FALSE),"")</f>
        <v/>
      </c>
      <c r="J172" s="223" t="str">
        <f>IFERROR(VLOOKUP($A172,メルマガ読み込み用!$A$2:$K$250,11,FALSE),"")</f>
        <v/>
      </c>
    </row>
    <row r="173" spans="1:10">
      <c r="A173" s="113">
        <v>171</v>
      </c>
      <c r="B173" s="222" t="str">
        <f>IFERROR(VLOOKUP($A173,メルマガ読み込み用!$A$2:$K$250,2,FALSE),"")</f>
        <v/>
      </c>
      <c r="C173" s="222" t="str">
        <f>IFERROR(VLOOKUP($A173,メルマガ読み込み用!$A$2:$K$250,3,FALSE),"")</f>
        <v/>
      </c>
      <c r="D173" s="222" t="str">
        <f>IFERROR(VLOOKUP($A173,メルマガ読み込み用!$A$2:$K$250,4,FALSE),"")</f>
        <v/>
      </c>
      <c r="E173" s="222" t="str">
        <f>IFERROR(VLOOKUP($A173,メルマガ読み込み用!$A$2:$K$250,5,FALSE),"")</f>
        <v/>
      </c>
      <c r="F173" s="222" t="str">
        <f>IFERROR(VLOOKUP($A173,メルマガ読み込み用!$A$2:$K$250,6,FALSE),"")</f>
        <v/>
      </c>
      <c r="G173" s="222" t="str">
        <f>IFERROR(VLOOKUP($A173,メルマガ読み込み用!$A$2:$L$250,12,FALSE),"")</f>
        <v/>
      </c>
      <c r="H173" s="221" t="str">
        <f>IFERROR(VLOOKUP($A173,メルマガ読み込み用!$A$2:$K$250,7,FALSE),"")</f>
        <v/>
      </c>
      <c r="I173" s="222" t="str">
        <f>IFERROR(VLOOKUP($A173,メルマガ読み込み用!$A$2:$K$250,8,FALSE),"")</f>
        <v/>
      </c>
      <c r="J173" s="223" t="str">
        <f>IFERROR(VLOOKUP($A173,メルマガ読み込み用!$A$2:$K$250,11,FALSE),"")</f>
        <v/>
      </c>
    </row>
    <row r="174" spans="1:10">
      <c r="A174" s="113">
        <v>172</v>
      </c>
      <c r="B174" s="222" t="str">
        <f>IFERROR(VLOOKUP($A174,メルマガ読み込み用!$A$2:$K$250,2,FALSE),"")</f>
        <v/>
      </c>
      <c r="C174" s="222" t="str">
        <f>IFERROR(VLOOKUP($A174,メルマガ読み込み用!$A$2:$K$250,3,FALSE),"")</f>
        <v/>
      </c>
      <c r="D174" s="222" t="str">
        <f>IFERROR(VLOOKUP($A174,メルマガ読み込み用!$A$2:$K$250,4,FALSE),"")</f>
        <v/>
      </c>
      <c r="E174" s="222" t="str">
        <f>IFERROR(VLOOKUP($A174,メルマガ読み込み用!$A$2:$K$250,5,FALSE),"")</f>
        <v/>
      </c>
      <c r="F174" s="222" t="str">
        <f>IFERROR(VLOOKUP($A174,メルマガ読み込み用!$A$2:$K$250,6,FALSE),"")</f>
        <v/>
      </c>
      <c r="G174" s="222" t="str">
        <f>IFERROR(VLOOKUP($A174,メルマガ読み込み用!$A$2:$L$250,12,FALSE),"")</f>
        <v/>
      </c>
      <c r="H174" s="221" t="str">
        <f>IFERROR(VLOOKUP($A174,メルマガ読み込み用!$A$2:$K$250,7,FALSE),"")</f>
        <v/>
      </c>
      <c r="I174" s="222" t="str">
        <f>IFERROR(VLOOKUP($A174,メルマガ読み込み用!$A$2:$K$250,8,FALSE),"")</f>
        <v/>
      </c>
      <c r="J174" s="223" t="str">
        <f>IFERROR(VLOOKUP($A174,メルマガ読み込み用!$A$2:$K$250,11,FALSE),"")</f>
        <v/>
      </c>
    </row>
    <row r="175" spans="1:10">
      <c r="A175" s="113">
        <v>173</v>
      </c>
      <c r="B175" s="222" t="str">
        <f>IFERROR(VLOOKUP($A175,メルマガ読み込み用!$A$2:$K$250,2,FALSE),"")</f>
        <v/>
      </c>
      <c r="C175" s="222" t="str">
        <f>IFERROR(VLOOKUP($A175,メルマガ読み込み用!$A$2:$K$250,3,FALSE),"")</f>
        <v/>
      </c>
      <c r="D175" s="222" t="str">
        <f>IFERROR(VLOOKUP($A175,メルマガ読み込み用!$A$2:$K$250,4,FALSE),"")</f>
        <v/>
      </c>
      <c r="E175" s="222" t="str">
        <f>IFERROR(VLOOKUP($A175,メルマガ読み込み用!$A$2:$K$250,5,FALSE),"")</f>
        <v/>
      </c>
      <c r="F175" s="222" t="str">
        <f>IFERROR(VLOOKUP($A175,メルマガ読み込み用!$A$2:$K$250,6,FALSE),"")</f>
        <v/>
      </c>
      <c r="G175" s="222" t="str">
        <f>IFERROR(VLOOKUP($A175,メルマガ読み込み用!$A$2:$L$250,12,FALSE),"")</f>
        <v/>
      </c>
      <c r="H175" s="221" t="str">
        <f>IFERROR(VLOOKUP($A175,メルマガ読み込み用!$A$2:$K$250,7,FALSE),"")</f>
        <v/>
      </c>
      <c r="I175" s="222" t="str">
        <f>IFERROR(VLOOKUP($A175,メルマガ読み込み用!$A$2:$K$250,8,FALSE),"")</f>
        <v/>
      </c>
      <c r="J175" s="223" t="str">
        <f>IFERROR(VLOOKUP($A175,メルマガ読み込み用!$A$2:$K$250,11,FALSE),"")</f>
        <v/>
      </c>
    </row>
    <row r="176" spans="1:10">
      <c r="A176" s="113">
        <v>174</v>
      </c>
      <c r="B176" s="222" t="str">
        <f>IFERROR(VLOOKUP($A176,メルマガ読み込み用!$A$2:$K$250,2,FALSE),"")</f>
        <v/>
      </c>
      <c r="C176" s="222" t="str">
        <f>IFERROR(VLOOKUP($A176,メルマガ読み込み用!$A$2:$K$250,3,FALSE),"")</f>
        <v/>
      </c>
      <c r="D176" s="222" t="str">
        <f>IFERROR(VLOOKUP($A176,メルマガ読み込み用!$A$2:$K$250,4,FALSE),"")</f>
        <v/>
      </c>
      <c r="E176" s="222" t="str">
        <f>IFERROR(VLOOKUP($A176,メルマガ読み込み用!$A$2:$K$250,5,FALSE),"")</f>
        <v/>
      </c>
      <c r="F176" s="222" t="str">
        <f>IFERROR(VLOOKUP($A176,メルマガ読み込み用!$A$2:$K$250,6,FALSE),"")</f>
        <v/>
      </c>
      <c r="G176" s="222" t="str">
        <f>IFERROR(VLOOKUP($A176,メルマガ読み込み用!$A$2:$L$250,12,FALSE),"")</f>
        <v/>
      </c>
      <c r="H176" s="221" t="str">
        <f>IFERROR(VLOOKUP($A176,メルマガ読み込み用!$A$2:$K$250,7,FALSE),"")</f>
        <v/>
      </c>
      <c r="I176" s="222" t="str">
        <f>IFERROR(VLOOKUP($A176,メルマガ読み込み用!$A$2:$K$250,8,FALSE),"")</f>
        <v/>
      </c>
      <c r="J176" s="223" t="str">
        <f>IFERROR(VLOOKUP($A176,メルマガ読み込み用!$A$2:$K$250,11,FALSE),"")</f>
        <v/>
      </c>
    </row>
    <row r="177" spans="1:10">
      <c r="A177" s="113">
        <v>175</v>
      </c>
      <c r="B177" s="222" t="str">
        <f>IFERROR(VLOOKUP($A177,メルマガ読み込み用!$A$2:$K$250,2,FALSE),"")</f>
        <v/>
      </c>
      <c r="C177" s="222" t="str">
        <f>IFERROR(VLOOKUP($A177,メルマガ読み込み用!$A$2:$K$250,3,FALSE),"")</f>
        <v/>
      </c>
      <c r="D177" s="222" t="str">
        <f>IFERROR(VLOOKUP($A177,メルマガ読み込み用!$A$2:$K$250,4,FALSE),"")</f>
        <v/>
      </c>
      <c r="E177" s="222" t="str">
        <f>IFERROR(VLOOKUP($A177,メルマガ読み込み用!$A$2:$K$250,5,FALSE),"")</f>
        <v/>
      </c>
      <c r="F177" s="222" t="str">
        <f>IFERROR(VLOOKUP($A177,メルマガ読み込み用!$A$2:$K$250,6,FALSE),"")</f>
        <v/>
      </c>
      <c r="G177" s="222" t="str">
        <f>IFERROR(VLOOKUP($A177,メルマガ読み込み用!$A$2:$L$250,12,FALSE),"")</f>
        <v/>
      </c>
      <c r="H177" s="221" t="str">
        <f>IFERROR(VLOOKUP($A177,メルマガ読み込み用!$A$2:$K$250,7,FALSE),"")</f>
        <v/>
      </c>
      <c r="I177" s="222" t="str">
        <f>IFERROR(VLOOKUP($A177,メルマガ読み込み用!$A$2:$K$250,8,FALSE),"")</f>
        <v/>
      </c>
      <c r="J177" s="223" t="str">
        <f>IFERROR(VLOOKUP($A177,メルマガ読み込み用!$A$2:$K$250,11,FALSE),"")</f>
        <v/>
      </c>
    </row>
    <row r="178" spans="1:10">
      <c r="A178" s="113">
        <v>176</v>
      </c>
      <c r="B178" s="222" t="str">
        <f>IFERROR(VLOOKUP($A178,メルマガ読み込み用!$A$2:$K$250,2,FALSE),"")</f>
        <v/>
      </c>
      <c r="C178" s="222" t="str">
        <f>IFERROR(VLOOKUP($A178,メルマガ読み込み用!$A$2:$K$250,3,FALSE),"")</f>
        <v/>
      </c>
      <c r="D178" s="222" t="str">
        <f>IFERROR(VLOOKUP($A178,メルマガ読み込み用!$A$2:$K$250,4,FALSE),"")</f>
        <v/>
      </c>
      <c r="E178" s="222" t="str">
        <f>IFERROR(VLOOKUP($A178,メルマガ読み込み用!$A$2:$K$250,5,FALSE),"")</f>
        <v/>
      </c>
      <c r="F178" s="222" t="str">
        <f>IFERROR(VLOOKUP($A178,メルマガ読み込み用!$A$2:$K$250,6,FALSE),"")</f>
        <v/>
      </c>
      <c r="G178" s="222" t="str">
        <f>IFERROR(VLOOKUP($A178,メルマガ読み込み用!$A$2:$L$250,12,FALSE),"")</f>
        <v/>
      </c>
      <c r="H178" s="221" t="str">
        <f>IFERROR(VLOOKUP($A178,メルマガ読み込み用!$A$2:$K$250,7,FALSE),"")</f>
        <v/>
      </c>
      <c r="I178" s="222" t="str">
        <f>IFERROR(VLOOKUP($A178,メルマガ読み込み用!$A$2:$K$250,8,FALSE),"")</f>
        <v/>
      </c>
      <c r="J178" s="223" t="str">
        <f>IFERROR(VLOOKUP($A178,メルマガ読み込み用!$A$2:$K$250,11,FALSE),"")</f>
        <v/>
      </c>
    </row>
    <row r="179" spans="1:10">
      <c r="A179" s="113">
        <v>177</v>
      </c>
      <c r="B179" s="222" t="str">
        <f>IFERROR(VLOOKUP($A179,メルマガ読み込み用!$A$2:$K$250,2,FALSE),"")</f>
        <v/>
      </c>
      <c r="C179" s="222" t="str">
        <f>IFERROR(VLOOKUP($A179,メルマガ読み込み用!$A$2:$K$250,3,FALSE),"")</f>
        <v/>
      </c>
      <c r="D179" s="222" t="str">
        <f>IFERROR(VLOOKUP($A179,メルマガ読み込み用!$A$2:$K$250,4,FALSE),"")</f>
        <v/>
      </c>
      <c r="E179" s="222" t="str">
        <f>IFERROR(VLOOKUP($A179,メルマガ読み込み用!$A$2:$K$250,5,FALSE),"")</f>
        <v/>
      </c>
      <c r="F179" s="222" t="str">
        <f>IFERROR(VLOOKUP($A179,メルマガ読み込み用!$A$2:$K$250,6,FALSE),"")</f>
        <v/>
      </c>
      <c r="G179" s="222" t="str">
        <f>IFERROR(VLOOKUP($A179,メルマガ読み込み用!$A$2:$L$250,12,FALSE),"")</f>
        <v/>
      </c>
      <c r="H179" s="221" t="str">
        <f>IFERROR(VLOOKUP($A179,メルマガ読み込み用!$A$2:$K$250,7,FALSE),"")</f>
        <v/>
      </c>
      <c r="I179" s="222" t="str">
        <f>IFERROR(VLOOKUP($A179,メルマガ読み込み用!$A$2:$K$250,8,FALSE),"")</f>
        <v/>
      </c>
      <c r="J179" s="223" t="str">
        <f>IFERROR(VLOOKUP($A179,メルマガ読み込み用!$A$2:$K$250,11,FALSE),"")</f>
        <v/>
      </c>
    </row>
    <row r="180" spans="1:10">
      <c r="A180" s="113">
        <v>178</v>
      </c>
      <c r="B180" s="222" t="str">
        <f>IFERROR(VLOOKUP($A180,メルマガ読み込み用!$A$2:$K$250,2,FALSE),"")</f>
        <v/>
      </c>
      <c r="C180" s="222" t="str">
        <f>IFERROR(VLOOKUP($A180,メルマガ読み込み用!$A$2:$K$250,3,FALSE),"")</f>
        <v/>
      </c>
      <c r="D180" s="222" t="str">
        <f>IFERROR(VLOOKUP($A180,メルマガ読み込み用!$A$2:$K$250,4,FALSE),"")</f>
        <v/>
      </c>
      <c r="E180" s="222" t="str">
        <f>IFERROR(VLOOKUP($A180,メルマガ読み込み用!$A$2:$K$250,5,FALSE),"")</f>
        <v/>
      </c>
      <c r="F180" s="222" t="str">
        <f>IFERROR(VLOOKUP($A180,メルマガ読み込み用!$A$2:$K$250,6,FALSE),"")</f>
        <v/>
      </c>
      <c r="G180" s="222" t="str">
        <f>IFERROR(VLOOKUP($A180,メルマガ読み込み用!$A$2:$L$250,12,FALSE),"")</f>
        <v/>
      </c>
      <c r="H180" s="221" t="str">
        <f>IFERROR(VLOOKUP($A180,メルマガ読み込み用!$A$2:$K$250,7,FALSE),"")</f>
        <v/>
      </c>
      <c r="I180" s="222" t="str">
        <f>IFERROR(VLOOKUP($A180,メルマガ読み込み用!$A$2:$K$250,8,FALSE),"")</f>
        <v/>
      </c>
      <c r="J180" s="223" t="str">
        <f>IFERROR(VLOOKUP($A180,メルマガ読み込み用!$A$2:$K$250,11,FALSE),"")</f>
        <v/>
      </c>
    </row>
    <row r="181" spans="1:10">
      <c r="A181" s="113">
        <v>179</v>
      </c>
      <c r="B181" s="222" t="str">
        <f>IFERROR(VLOOKUP($A181,メルマガ読み込み用!$A$2:$K$250,2,FALSE),"")</f>
        <v/>
      </c>
      <c r="C181" s="222" t="str">
        <f>IFERROR(VLOOKUP($A181,メルマガ読み込み用!$A$2:$K$250,3,FALSE),"")</f>
        <v/>
      </c>
      <c r="D181" s="222" t="str">
        <f>IFERROR(VLOOKUP($A181,メルマガ読み込み用!$A$2:$K$250,4,FALSE),"")</f>
        <v/>
      </c>
      <c r="E181" s="222" t="str">
        <f>IFERROR(VLOOKUP($A181,メルマガ読み込み用!$A$2:$K$250,5,FALSE),"")</f>
        <v/>
      </c>
      <c r="F181" s="222" t="str">
        <f>IFERROR(VLOOKUP($A181,メルマガ読み込み用!$A$2:$K$250,6,FALSE),"")</f>
        <v/>
      </c>
      <c r="G181" s="222" t="str">
        <f>IFERROR(VLOOKUP($A181,メルマガ読み込み用!$A$2:$L$250,12,FALSE),"")</f>
        <v/>
      </c>
      <c r="H181" s="221" t="str">
        <f>IFERROR(VLOOKUP($A181,メルマガ読み込み用!$A$2:$K$250,7,FALSE),"")</f>
        <v/>
      </c>
      <c r="I181" s="222" t="str">
        <f>IFERROR(VLOOKUP($A181,メルマガ読み込み用!$A$2:$K$250,8,FALSE),"")</f>
        <v/>
      </c>
      <c r="J181" s="223" t="str">
        <f>IFERROR(VLOOKUP($A181,メルマガ読み込み用!$A$2:$K$250,11,FALSE),"")</f>
        <v/>
      </c>
    </row>
    <row r="182" spans="1:10">
      <c r="A182" s="113">
        <v>180</v>
      </c>
      <c r="B182" s="222" t="str">
        <f>IFERROR(VLOOKUP($A182,メルマガ読み込み用!$A$2:$K$250,2,FALSE),"")</f>
        <v/>
      </c>
      <c r="C182" s="222" t="str">
        <f>IFERROR(VLOOKUP($A182,メルマガ読み込み用!$A$2:$K$250,3,FALSE),"")</f>
        <v/>
      </c>
      <c r="D182" s="222" t="str">
        <f>IFERROR(VLOOKUP($A182,メルマガ読み込み用!$A$2:$K$250,4,FALSE),"")</f>
        <v/>
      </c>
      <c r="E182" s="222" t="str">
        <f>IFERROR(VLOOKUP($A182,メルマガ読み込み用!$A$2:$K$250,5,FALSE),"")</f>
        <v/>
      </c>
      <c r="F182" s="222" t="str">
        <f>IFERROR(VLOOKUP($A182,メルマガ読み込み用!$A$2:$K$250,6,FALSE),"")</f>
        <v/>
      </c>
      <c r="G182" s="222" t="str">
        <f>IFERROR(VLOOKUP($A182,メルマガ読み込み用!$A$2:$L$250,12,FALSE),"")</f>
        <v/>
      </c>
      <c r="H182" s="221" t="str">
        <f>IFERROR(VLOOKUP($A182,メルマガ読み込み用!$A$2:$K$250,7,FALSE),"")</f>
        <v/>
      </c>
      <c r="I182" s="222" t="str">
        <f>IFERROR(VLOOKUP($A182,メルマガ読み込み用!$A$2:$K$250,8,FALSE),"")</f>
        <v/>
      </c>
      <c r="J182" s="223" t="str">
        <f>IFERROR(VLOOKUP($A182,メルマガ読み込み用!$A$2:$K$250,11,FALSE),"")</f>
        <v/>
      </c>
    </row>
    <row r="183" spans="1:10">
      <c r="A183" s="113">
        <v>181</v>
      </c>
      <c r="B183" s="222" t="str">
        <f>IFERROR(VLOOKUP($A183,メルマガ読み込み用!$A$2:$K$250,2,FALSE),"")</f>
        <v/>
      </c>
      <c r="C183" s="222" t="str">
        <f>IFERROR(VLOOKUP($A183,メルマガ読み込み用!$A$2:$K$250,3,FALSE),"")</f>
        <v/>
      </c>
      <c r="D183" s="222" t="str">
        <f>IFERROR(VLOOKUP($A183,メルマガ読み込み用!$A$2:$K$250,4,FALSE),"")</f>
        <v/>
      </c>
      <c r="E183" s="222" t="str">
        <f>IFERROR(VLOOKUP($A183,メルマガ読み込み用!$A$2:$K$250,5,FALSE),"")</f>
        <v/>
      </c>
      <c r="F183" s="222" t="str">
        <f>IFERROR(VLOOKUP($A183,メルマガ読み込み用!$A$2:$K$250,6,FALSE),"")</f>
        <v/>
      </c>
      <c r="G183" s="222" t="str">
        <f>IFERROR(VLOOKUP($A183,メルマガ読み込み用!$A$2:$L$250,12,FALSE),"")</f>
        <v/>
      </c>
      <c r="H183" s="221" t="str">
        <f>IFERROR(VLOOKUP($A183,メルマガ読み込み用!$A$2:$K$250,7,FALSE),"")</f>
        <v/>
      </c>
      <c r="I183" s="222" t="str">
        <f>IFERROR(VLOOKUP($A183,メルマガ読み込み用!$A$2:$K$250,8,FALSE),"")</f>
        <v/>
      </c>
      <c r="J183" s="223" t="str">
        <f>IFERROR(VLOOKUP($A183,メルマガ読み込み用!$A$2:$K$250,11,FALSE),"")</f>
        <v/>
      </c>
    </row>
    <row r="184" spans="1:10">
      <c r="A184" s="113">
        <v>182</v>
      </c>
      <c r="B184" s="222" t="str">
        <f>IFERROR(VLOOKUP($A184,メルマガ読み込み用!$A$2:$K$250,2,FALSE),"")</f>
        <v/>
      </c>
      <c r="C184" s="222" t="str">
        <f>IFERROR(VLOOKUP($A184,メルマガ読み込み用!$A$2:$K$250,3,FALSE),"")</f>
        <v/>
      </c>
      <c r="D184" s="222" t="str">
        <f>IFERROR(VLOOKUP($A184,メルマガ読み込み用!$A$2:$K$250,4,FALSE),"")</f>
        <v/>
      </c>
      <c r="E184" s="222" t="str">
        <f>IFERROR(VLOOKUP($A184,メルマガ読み込み用!$A$2:$K$250,5,FALSE),"")</f>
        <v/>
      </c>
      <c r="F184" s="222" t="str">
        <f>IFERROR(VLOOKUP($A184,メルマガ読み込み用!$A$2:$K$250,6,FALSE),"")</f>
        <v/>
      </c>
      <c r="G184" s="222" t="str">
        <f>IFERROR(VLOOKUP($A184,メルマガ読み込み用!$A$2:$L$250,12,FALSE),"")</f>
        <v/>
      </c>
      <c r="H184" s="221" t="str">
        <f>IFERROR(VLOOKUP($A184,メルマガ読み込み用!$A$2:$K$250,7,FALSE),"")</f>
        <v/>
      </c>
      <c r="I184" s="222" t="str">
        <f>IFERROR(VLOOKUP($A184,メルマガ読み込み用!$A$2:$K$250,8,FALSE),"")</f>
        <v/>
      </c>
      <c r="J184" s="223" t="str">
        <f>IFERROR(VLOOKUP($A184,メルマガ読み込み用!$A$2:$K$250,11,FALSE),"")</f>
        <v/>
      </c>
    </row>
    <row r="185" spans="1:10">
      <c r="A185" s="113">
        <v>183</v>
      </c>
      <c r="B185" s="222" t="str">
        <f>IFERROR(VLOOKUP($A185,メルマガ読み込み用!$A$2:$K$250,2,FALSE),"")</f>
        <v/>
      </c>
      <c r="C185" s="222" t="str">
        <f>IFERROR(VLOOKUP($A185,メルマガ読み込み用!$A$2:$K$250,3,FALSE),"")</f>
        <v/>
      </c>
      <c r="D185" s="222" t="str">
        <f>IFERROR(VLOOKUP($A185,メルマガ読み込み用!$A$2:$K$250,4,FALSE),"")</f>
        <v/>
      </c>
      <c r="E185" s="222" t="str">
        <f>IFERROR(VLOOKUP($A185,メルマガ読み込み用!$A$2:$K$250,5,FALSE),"")</f>
        <v/>
      </c>
      <c r="F185" s="222" t="str">
        <f>IFERROR(VLOOKUP($A185,メルマガ読み込み用!$A$2:$K$250,6,FALSE),"")</f>
        <v/>
      </c>
      <c r="G185" s="222" t="str">
        <f>IFERROR(VLOOKUP($A185,メルマガ読み込み用!$A$2:$L$250,12,FALSE),"")</f>
        <v/>
      </c>
      <c r="H185" s="221" t="str">
        <f>IFERROR(VLOOKUP($A185,メルマガ読み込み用!$A$2:$K$250,7,FALSE),"")</f>
        <v/>
      </c>
      <c r="I185" s="222" t="str">
        <f>IFERROR(VLOOKUP($A185,メルマガ読み込み用!$A$2:$K$250,8,FALSE),"")</f>
        <v/>
      </c>
      <c r="J185" s="223" t="str">
        <f>IFERROR(VLOOKUP($A185,メルマガ読み込み用!$A$2:$K$250,11,FALSE),"")</f>
        <v/>
      </c>
    </row>
    <row r="186" spans="1:10">
      <c r="A186" s="113">
        <v>184</v>
      </c>
      <c r="B186" s="222" t="str">
        <f>IFERROR(VLOOKUP($A186,メルマガ読み込み用!$A$2:$K$250,2,FALSE),"")</f>
        <v/>
      </c>
      <c r="C186" s="222" t="str">
        <f>IFERROR(VLOOKUP($A186,メルマガ読み込み用!$A$2:$K$250,3,FALSE),"")</f>
        <v/>
      </c>
      <c r="D186" s="222" t="str">
        <f>IFERROR(VLOOKUP($A186,メルマガ読み込み用!$A$2:$K$250,4,FALSE),"")</f>
        <v/>
      </c>
      <c r="E186" s="222" t="str">
        <f>IFERROR(VLOOKUP($A186,メルマガ読み込み用!$A$2:$K$250,5,FALSE),"")</f>
        <v/>
      </c>
      <c r="F186" s="222" t="str">
        <f>IFERROR(VLOOKUP($A186,メルマガ読み込み用!$A$2:$K$250,6,FALSE),"")</f>
        <v/>
      </c>
      <c r="G186" s="222" t="str">
        <f>IFERROR(VLOOKUP($A186,メルマガ読み込み用!$A$2:$L$250,12,FALSE),"")</f>
        <v/>
      </c>
      <c r="H186" s="221" t="str">
        <f>IFERROR(VLOOKUP($A186,メルマガ読み込み用!$A$2:$K$250,7,FALSE),"")</f>
        <v/>
      </c>
      <c r="I186" s="222" t="str">
        <f>IFERROR(VLOOKUP($A186,メルマガ読み込み用!$A$2:$K$250,8,FALSE),"")</f>
        <v/>
      </c>
      <c r="J186" s="223" t="str">
        <f>IFERROR(VLOOKUP($A186,メルマガ読み込み用!$A$2:$K$250,11,FALSE),"")</f>
        <v/>
      </c>
    </row>
    <row r="187" spans="1:10">
      <c r="A187" s="113">
        <v>185</v>
      </c>
      <c r="B187" s="222" t="str">
        <f>IFERROR(VLOOKUP($A187,メルマガ読み込み用!$A$2:$K$250,2,FALSE),"")</f>
        <v/>
      </c>
      <c r="C187" s="222" t="str">
        <f>IFERROR(VLOOKUP($A187,メルマガ読み込み用!$A$2:$K$250,3,FALSE),"")</f>
        <v/>
      </c>
      <c r="D187" s="222" t="str">
        <f>IFERROR(VLOOKUP($A187,メルマガ読み込み用!$A$2:$K$250,4,FALSE),"")</f>
        <v/>
      </c>
      <c r="E187" s="222" t="str">
        <f>IFERROR(VLOOKUP($A187,メルマガ読み込み用!$A$2:$K$250,5,FALSE),"")</f>
        <v/>
      </c>
      <c r="F187" s="222" t="str">
        <f>IFERROR(VLOOKUP($A187,メルマガ読み込み用!$A$2:$K$250,6,FALSE),"")</f>
        <v/>
      </c>
      <c r="G187" s="222" t="str">
        <f>IFERROR(VLOOKUP($A187,メルマガ読み込み用!$A$2:$L$250,12,FALSE),"")</f>
        <v/>
      </c>
      <c r="H187" s="221" t="str">
        <f>IFERROR(VLOOKUP($A187,メルマガ読み込み用!$A$2:$K$250,7,FALSE),"")</f>
        <v/>
      </c>
      <c r="I187" s="222" t="str">
        <f>IFERROR(VLOOKUP($A187,メルマガ読み込み用!$A$2:$K$250,8,FALSE),"")</f>
        <v/>
      </c>
      <c r="J187" s="223" t="str">
        <f>IFERROR(VLOOKUP($A187,メルマガ読み込み用!$A$2:$K$250,11,FALSE),"")</f>
        <v/>
      </c>
    </row>
    <row r="188" spans="1:10">
      <c r="A188" s="113">
        <v>186</v>
      </c>
      <c r="B188" s="222" t="str">
        <f>IFERROR(VLOOKUP($A188,メルマガ読み込み用!$A$2:$K$250,2,FALSE),"")</f>
        <v/>
      </c>
      <c r="C188" s="222" t="str">
        <f>IFERROR(VLOOKUP($A188,メルマガ読み込み用!$A$2:$K$250,3,FALSE),"")</f>
        <v/>
      </c>
      <c r="D188" s="222" t="str">
        <f>IFERROR(VLOOKUP($A188,メルマガ読み込み用!$A$2:$K$250,4,FALSE),"")</f>
        <v/>
      </c>
      <c r="E188" s="222" t="str">
        <f>IFERROR(VLOOKUP($A188,メルマガ読み込み用!$A$2:$K$250,5,FALSE),"")</f>
        <v/>
      </c>
      <c r="F188" s="222" t="str">
        <f>IFERROR(VLOOKUP($A188,メルマガ読み込み用!$A$2:$K$250,6,FALSE),"")</f>
        <v/>
      </c>
      <c r="G188" s="222" t="str">
        <f>IFERROR(VLOOKUP($A188,メルマガ読み込み用!$A$2:$L$250,12,FALSE),"")</f>
        <v/>
      </c>
      <c r="H188" s="221" t="str">
        <f>IFERROR(VLOOKUP($A188,メルマガ読み込み用!$A$2:$K$250,7,FALSE),"")</f>
        <v/>
      </c>
      <c r="I188" s="222" t="str">
        <f>IFERROR(VLOOKUP($A188,メルマガ読み込み用!$A$2:$K$250,8,FALSE),"")</f>
        <v/>
      </c>
      <c r="J188" s="223" t="str">
        <f>IFERROR(VLOOKUP($A188,メルマガ読み込み用!$A$2:$K$250,11,FALSE),"")</f>
        <v/>
      </c>
    </row>
    <row r="189" spans="1:10">
      <c r="A189" s="113">
        <v>187</v>
      </c>
      <c r="B189" s="222" t="str">
        <f>IFERROR(VLOOKUP($A189,メルマガ読み込み用!$A$2:$K$250,2,FALSE),"")</f>
        <v/>
      </c>
      <c r="C189" s="222" t="str">
        <f>IFERROR(VLOOKUP($A189,メルマガ読み込み用!$A$2:$K$250,3,FALSE),"")</f>
        <v/>
      </c>
      <c r="D189" s="222" t="str">
        <f>IFERROR(VLOOKUP($A189,メルマガ読み込み用!$A$2:$K$250,4,FALSE),"")</f>
        <v/>
      </c>
      <c r="E189" s="222" t="str">
        <f>IFERROR(VLOOKUP($A189,メルマガ読み込み用!$A$2:$K$250,5,FALSE),"")</f>
        <v/>
      </c>
      <c r="F189" s="222" t="str">
        <f>IFERROR(VLOOKUP($A189,メルマガ読み込み用!$A$2:$K$250,6,FALSE),"")</f>
        <v/>
      </c>
      <c r="G189" s="222" t="str">
        <f>IFERROR(VLOOKUP($A189,メルマガ読み込み用!$A$2:$L$250,12,FALSE),"")</f>
        <v/>
      </c>
      <c r="H189" s="221" t="str">
        <f>IFERROR(VLOOKUP($A189,メルマガ読み込み用!$A$2:$K$250,7,FALSE),"")</f>
        <v/>
      </c>
      <c r="I189" s="222" t="str">
        <f>IFERROR(VLOOKUP($A189,メルマガ読み込み用!$A$2:$K$250,8,FALSE),"")</f>
        <v/>
      </c>
      <c r="J189" s="223" t="str">
        <f>IFERROR(VLOOKUP($A189,メルマガ読み込み用!$A$2:$K$250,11,FALSE),"")</f>
        <v/>
      </c>
    </row>
    <row r="190" spans="1:10">
      <c r="A190" s="113">
        <v>188</v>
      </c>
      <c r="B190" s="222" t="str">
        <f>IFERROR(VLOOKUP($A190,メルマガ読み込み用!$A$2:$K$250,2,FALSE),"")</f>
        <v/>
      </c>
      <c r="C190" s="222" t="str">
        <f>IFERROR(VLOOKUP($A190,メルマガ読み込み用!$A$2:$K$250,3,FALSE),"")</f>
        <v/>
      </c>
      <c r="D190" s="222" t="str">
        <f>IFERROR(VLOOKUP($A190,メルマガ読み込み用!$A$2:$K$250,4,FALSE),"")</f>
        <v/>
      </c>
      <c r="E190" s="222" t="str">
        <f>IFERROR(VLOOKUP($A190,メルマガ読み込み用!$A$2:$K$250,5,FALSE),"")</f>
        <v/>
      </c>
      <c r="F190" s="222" t="str">
        <f>IFERROR(VLOOKUP($A190,メルマガ読み込み用!$A$2:$K$250,6,FALSE),"")</f>
        <v/>
      </c>
      <c r="G190" s="222" t="str">
        <f>IFERROR(VLOOKUP($A190,メルマガ読み込み用!$A$2:$L$250,12,FALSE),"")</f>
        <v/>
      </c>
      <c r="H190" s="221" t="str">
        <f>IFERROR(VLOOKUP($A190,メルマガ読み込み用!$A$2:$K$250,7,FALSE),"")</f>
        <v/>
      </c>
      <c r="I190" s="222" t="str">
        <f>IFERROR(VLOOKUP($A190,メルマガ読み込み用!$A$2:$K$250,8,FALSE),"")</f>
        <v/>
      </c>
      <c r="J190" s="223" t="str">
        <f>IFERROR(VLOOKUP($A190,メルマガ読み込み用!$A$2:$K$250,11,FALSE),"")</f>
        <v/>
      </c>
    </row>
    <row r="191" spans="1:10">
      <c r="A191" s="113">
        <v>189</v>
      </c>
      <c r="B191" s="222" t="str">
        <f>IFERROR(VLOOKUP($A191,メルマガ読み込み用!$A$2:$K$250,2,FALSE),"")</f>
        <v/>
      </c>
      <c r="C191" s="222" t="str">
        <f>IFERROR(VLOOKUP($A191,メルマガ読み込み用!$A$2:$K$250,3,FALSE),"")</f>
        <v/>
      </c>
      <c r="D191" s="222" t="str">
        <f>IFERROR(VLOOKUP($A191,メルマガ読み込み用!$A$2:$K$250,4,FALSE),"")</f>
        <v/>
      </c>
      <c r="E191" s="222" t="str">
        <f>IFERROR(VLOOKUP($A191,メルマガ読み込み用!$A$2:$K$250,5,FALSE),"")</f>
        <v/>
      </c>
      <c r="F191" s="222" t="str">
        <f>IFERROR(VLOOKUP($A191,メルマガ読み込み用!$A$2:$K$250,6,FALSE),"")</f>
        <v/>
      </c>
      <c r="G191" s="222" t="str">
        <f>IFERROR(VLOOKUP($A191,メルマガ読み込み用!$A$2:$L$250,12,FALSE),"")</f>
        <v/>
      </c>
      <c r="H191" s="221" t="str">
        <f>IFERROR(VLOOKUP($A191,メルマガ読み込み用!$A$2:$K$250,7,FALSE),"")</f>
        <v/>
      </c>
      <c r="I191" s="222" t="str">
        <f>IFERROR(VLOOKUP($A191,メルマガ読み込み用!$A$2:$K$250,8,FALSE),"")</f>
        <v/>
      </c>
      <c r="J191" s="223" t="str">
        <f>IFERROR(VLOOKUP($A191,メルマガ読み込み用!$A$2:$K$250,11,FALSE),"")</f>
        <v/>
      </c>
    </row>
    <row r="192" spans="1:10">
      <c r="A192" s="113">
        <v>190</v>
      </c>
      <c r="B192" s="222" t="str">
        <f>IFERROR(VLOOKUP($A192,メルマガ読み込み用!$A$2:$K$250,2,FALSE),"")</f>
        <v/>
      </c>
      <c r="C192" s="222" t="str">
        <f>IFERROR(VLOOKUP($A192,メルマガ読み込み用!$A$2:$K$250,3,FALSE),"")</f>
        <v/>
      </c>
      <c r="D192" s="222" t="str">
        <f>IFERROR(VLOOKUP($A192,メルマガ読み込み用!$A$2:$K$250,4,FALSE),"")</f>
        <v/>
      </c>
      <c r="E192" s="222" t="str">
        <f>IFERROR(VLOOKUP($A192,メルマガ読み込み用!$A$2:$K$250,5,FALSE),"")</f>
        <v/>
      </c>
      <c r="F192" s="222" t="str">
        <f>IFERROR(VLOOKUP($A192,メルマガ読み込み用!$A$2:$K$250,6,FALSE),"")</f>
        <v/>
      </c>
      <c r="G192" s="222" t="str">
        <f>IFERROR(VLOOKUP($A192,メルマガ読み込み用!$A$2:$L$250,12,FALSE),"")</f>
        <v/>
      </c>
      <c r="H192" s="221" t="str">
        <f>IFERROR(VLOOKUP($A192,メルマガ読み込み用!$A$2:$K$250,7,FALSE),"")</f>
        <v/>
      </c>
      <c r="I192" s="222" t="str">
        <f>IFERROR(VLOOKUP($A192,メルマガ読み込み用!$A$2:$K$250,8,FALSE),"")</f>
        <v/>
      </c>
      <c r="J192" s="223" t="str">
        <f>IFERROR(VLOOKUP($A192,メルマガ読み込み用!$A$2:$K$250,11,FALSE),"")</f>
        <v/>
      </c>
    </row>
    <row r="193" spans="1:10">
      <c r="A193" s="113">
        <v>191</v>
      </c>
      <c r="B193" s="222" t="str">
        <f>IFERROR(VLOOKUP($A193,メルマガ読み込み用!$A$2:$K$250,2,FALSE),"")</f>
        <v/>
      </c>
      <c r="C193" s="222" t="str">
        <f>IFERROR(VLOOKUP($A193,メルマガ読み込み用!$A$2:$K$250,3,FALSE),"")</f>
        <v/>
      </c>
      <c r="D193" s="222" t="str">
        <f>IFERROR(VLOOKUP($A193,メルマガ読み込み用!$A$2:$K$250,4,FALSE),"")</f>
        <v/>
      </c>
      <c r="E193" s="222" t="str">
        <f>IFERROR(VLOOKUP($A193,メルマガ読み込み用!$A$2:$K$250,5,FALSE),"")</f>
        <v/>
      </c>
      <c r="F193" s="222" t="str">
        <f>IFERROR(VLOOKUP($A193,メルマガ読み込み用!$A$2:$K$250,6,FALSE),"")</f>
        <v/>
      </c>
      <c r="G193" s="222" t="str">
        <f>IFERROR(VLOOKUP($A193,メルマガ読み込み用!$A$2:$L$250,12,FALSE),"")</f>
        <v/>
      </c>
      <c r="H193" s="221" t="str">
        <f>IFERROR(VLOOKUP($A193,メルマガ読み込み用!$A$2:$K$250,7,FALSE),"")</f>
        <v/>
      </c>
      <c r="I193" s="222" t="str">
        <f>IFERROR(VLOOKUP($A193,メルマガ読み込み用!$A$2:$K$250,8,FALSE),"")</f>
        <v/>
      </c>
      <c r="J193" s="223" t="str">
        <f>IFERROR(VLOOKUP($A193,メルマガ読み込み用!$A$2:$K$250,11,FALSE),"")</f>
        <v/>
      </c>
    </row>
    <row r="194" spans="1:10">
      <c r="A194" s="113">
        <v>192</v>
      </c>
      <c r="B194" s="222" t="str">
        <f>IFERROR(VLOOKUP($A194,メルマガ読み込み用!$A$2:$K$250,2,FALSE),"")</f>
        <v/>
      </c>
      <c r="C194" s="222" t="str">
        <f>IFERROR(VLOOKUP($A194,メルマガ読み込み用!$A$2:$K$250,3,FALSE),"")</f>
        <v/>
      </c>
      <c r="D194" s="222" t="str">
        <f>IFERROR(VLOOKUP($A194,メルマガ読み込み用!$A$2:$K$250,4,FALSE),"")</f>
        <v/>
      </c>
      <c r="E194" s="222" t="str">
        <f>IFERROR(VLOOKUP($A194,メルマガ読み込み用!$A$2:$K$250,5,FALSE),"")</f>
        <v/>
      </c>
      <c r="F194" s="222" t="str">
        <f>IFERROR(VLOOKUP($A194,メルマガ読み込み用!$A$2:$K$250,6,FALSE),"")</f>
        <v/>
      </c>
      <c r="G194" s="222" t="str">
        <f>IFERROR(VLOOKUP($A194,メルマガ読み込み用!$A$2:$L$250,12,FALSE),"")</f>
        <v/>
      </c>
      <c r="H194" s="221" t="str">
        <f>IFERROR(VLOOKUP($A194,メルマガ読み込み用!$A$2:$K$250,7,FALSE),"")</f>
        <v/>
      </c>
      <c r="I194" s="222" t="str">
        <f>IFERROR(VLOOKUP($A194,メルマガ読み込み用!$A$2:$K$250,8,FALSE),"")</f>
        <v/>
      </c>
      <c r="J194" s="223" t="str">
        <f>IFERROR(VLOOKUP($A194,メルマガ読み込み用!$A$2:$K$250,11,FALSE),"")</f>
        <v/>
      </c>
    </row>
    <row r="195" spans="1:10">
      <c r="A195" s="113">
        <v>193</v>
      </c>
      <c r="B195" s="222" t="str">
        <f>IFERROR(VLOOKUP($A195,メルマガ読み込み用!$A$2:$K$250,2,FALSE),"")</f>
        <v/>
      </c>
      <c r="C195" s="222" t="str">
        <f>IFERROR(VLOOKUP($A195,メルマガ読み込み用!$A$2:$K$250,3,FALSE),"")</f>
        <v/>
      </c>
      <c r="D195" s="222" t="str">
        <f>IFERROR(VLOOKUP($A195,メルマガ読み込み用!$A$2:$K$250,4,FALSE),"")</f>
        <v/>
      </c>
      <c r="E195" s="222" t="str">
        <f>IFERROR(VLOOKUP($A195,メルマガ読み込み用!$A$2:$K$250,5,FALSE),"")</f>
        <v/>
      </c>
      <c r="F195" s="222" t="str">
        <f>IFERROR(VLOOKUP($A195,メルマガ読み込み用!$A$2:$K$250,6,FALSE),"")</f>
        <v/>
      </c>
      <c r="G195" s="222" t="str">
        <f>IFERROR(VLOOKUP($A195,メルマガ読み込み用!$A$2:$L$250,12,FALSE),"")</f>
        <v/>
      </c>
      <c r="H195" s="221" t="str">
        <f>IFERROR(VLOOKUP($A195,メルマガ読み込み用!$A$2:$K$250,7,FALSE),"")</f>
        <v/>
      </c>
      <c r="I195" s="222" t="str">
        <f>IFERROR(VLOOKUP($A195,メルマガ読み込み用!$A$2:$K$250,8,FALSE),"")</f>
        <v/>
      </c>
      <c r="J195" s="223" t="str">
        <f>IFERROR(VLOOKUP($A195,メルマガ読み込み用!$A$2:$K$250,11,FALSE),"")</f>
        <v/>
      </c>
    </row>
    <row r="196" spans="1:10">
      <c r="A196" s="113">
        <v>194</v>
      </c>
      <c r="B196" s="222" t="str">
        <f>IFERROR(VLOOKUP($A196,メルマガ読み込み用!$A$2:$K$250,2,FALSE),"")</f>
        <v/>
      </c>
      <c r="C196" s="222" t="str">
        <f>IFERROR(VLOOKUP($A196,メルマガ読み込み用!$A$2:$K$250,3,FALSE),"")</f>
        <v/>
      </c>
      <c r="D196" s="222" t="str">
        <f>IFERROR(VLOOKUP($A196,メルマガ読み込み用!$A$2:$K$250,4,FALSE),"")</f>
        <v/>
      </c>
      <c r="E196" s="222" t="str">
        <f>IFERROR(VLOOKUP($A196,メルマガ読み込み用!$A$2:$K$250,5,FALSE),"")</f>
        <v/>
      </c>
      <c r="F196" s="222" t="str">
        <f>IFERROR(VLOOKUP($A196,メルマガ読み込み用!$A$2:$K$250,6,FALSE),"")</f>
        <v/>
      </c>
      <c r="G196" s="222" t="str">
        <f>IFERROR(VLOOKUP($A196,メルマガ読み込み用!$A$2:$L$250,12,FALSE),"")</f>
        <v/>
      </c>
      <c r="H196" s="221" t="str">
        <f>IFERROR(VLOOKUP($A196,メルマガ読み込み用!$A$2:$K$250,7,FALSE),"")</f>
        <v/>
      </c>
      <c r="I196" s="222" t="str">
        <f>IFERROR(VLOOKUP($A196,メルマガ読み込み用!$A$2:$K$250,8,FALSE),"")</f>
        <v/>
      </c>
      <c r="J196" s="223" t="str">
        <f>IFERROR(VLOOKUP($A196,メルマガ読み込み用!$A$2:$K$250,11,FALSE),"")</f>
        <v/>
      </c>
    </row>
    <row r="197" spans="1:10">
      <c r="A197" s="113">
        <v>195</v>
      </c>
      <c r="B197" s="222" t="str">
        <f>IFERROR(VLOOKUP($A197,メルマガ読み込み用!$A$2:$K$250,2,FALSE),"")</f>
        <v/>
      </c>
      <c r="C197" s="222" t="str">
        <f>IFERROR(VLOOKUP($A197,メルマガ読み込み用!$A$2:$K$250,3,FALSE),"")</f>
        <v/>
      </c>
      <c r="D197" s="222" t="str">
        <f>IFERROR(VLOOKUP($A197,メルマガ読み込み用!$A$2:$K$250,4,FALSE),"")</f>
        <v/>
      </c>
      <c r="E197" s="222" t="str">
        <f>IFERROR(VLOOKUP($A197,メルマガ読み込み用!$A$2:$K$250,5,FALSE),"")</f>
        <v/>
      </c>
      <c r="F197" s="222" t="str">
        <f>IFERROR(VLOOKUP($A197,メルマガ読み込み用!$A$2:$K$250,6,FALSE),"")</f>
        <v/>
      </c>
      <c r="G197" s="222" t="str">
        <f>IFERROR(VLOOKUP($A197,メルマガ読み込み用!$A$2:$L$250,12,FALSE),"")</f>
        <v/>
      </c>
      <c r="H197" s="221" t="str">
        <f>IFERROR(VLOOKUP($A197,メルマガ読み込み用!$A$2:$K$250,7,FALSE),"")</f>
        <v/>
      </c>
      <c r="I197" s="222" t="str">
        <f>IFERROR(VLOOKUP($A197,メルマガ読み込み用!$A$2:$K$250,8,FALSE),"")</f>
        <v/>
      </c>
      <c r="J197" s="223" t="str">
        <f>IFERROR(VLOOKUP($A197,メルマガ読み込み用!$A$2:$K$250,11,FALSE),"")</f>
        <v/>
      </c>
    </row>
    <row r="198" spans="1:10">
      <c r="A198" s="113">
        <v>196</v>
      </c>
      <c r="B198" s="222" t="str">
        <f>IFERROR(VLOOKUP($A198,メルマガ読み込み用!$A$2:$K$250,2,FALSE),"")</f>
        <v/>
      </c>
      <c r="C198" s="222" t="str">
        <f>IFERROR(VLOOKUP($A198,メルマガ読み込み用!$A$2:$K$250,3,FALSE),"")</f>
        <v/>
      </c>
      <c r="D198" s="222" t="str">
        <f>IFERROR(VLOOKUP($A198,メルマガ読み込み用!$A$2:$K$250,4,FALSE),"")</f>
        <v/>
      </c>
      <c r="E198" s="222" t="str">
        <f>IFERROR(VLOOKUP($A198,メルマガ読み込み用!$A$2:$K$250,5,FALSE),"")</f>
        <v/>
      </c>
      <c r="F198" s="222" t="str">
        <f>IFERROR(VLOOKUP($A198,メルマガ読み込み用!$A$2:$K$250,6,FALSE),"")</f>
        <v/>
      </c>
      <c r="G198" s="222" t="str">
        <f>IFERROR(VLOOKUP($A198,メルマガ読み込み用!$A$2:$L$250,12,FALSE),"")</f>
        <v/>
      </c>
      <c r="H198" s="221" t="str">
        <f>IFERROR(VLOOKUP($A198,メルマガ読み込み用!$A$2:$K$250,7,FALSE),"")</f>
        <v/>
      </c>
      <c r="I198" s="222" t="str">
        <f>IFERROR(VLOOKUP($A198,メルマガ読み込み用!$A$2:$K$250,8,FALSE),"")</f>
        <v/>
      </c>
      <c r="J198" s="223" t="str">
        <f>IFERROR(VLOOKUP($A198,メルマガ読み込み用!$A$2:$K$250,11,FALSE),"")</f>
        <v/>
      </c>
    </row>
    <row r="199" spans="1:10">
      <c r="A199" s="113">
        <v>197</v>
      </c>
      <c r="B199" s="222" t="str">
        <f>IFERROR(VLOOKUP($A199,メルマガ読み込み用!$A$2:$K$250,2,FALSE),"")</f>
        <v/>
      </c>
      <c r="C199" s="222" t="str">
        <f>IFERROR(VLOOKUP($A199,メルマガ読み込み用!$A$2:$K$250,3,FALSE),"")</f>
        <v/>
      </c>
      <c r="D199" s="222" t="str">
        <f>IFERROR(VLOOKUP($A199,メルマガ読み込み用!$A$2:$K$250,4,FALSE),"")</f>
        <v/>
      </c>
      <c r="E199" s="222" t="str">
        <f>IFERROR(VLOOKUP($A199,メルマガ読み込み用!$A$2:$K$250,5,FALSE),"")</f>
        <v/>
      </c>
      <c r="F199" s="222" t="str">
        <f>IFERROR(VLOOKUP($A199,メルマガ読み込み用!$A$2:$K$250,6,FALSE),"")</f>
        <v/>
      </c>
      <c r="G199" s="222" t="str">
        <f>IFERROR(VLOOKUP($A199,メルマガ読み込み用!$A$2:$L$250,12,FALSE),"")</f>
        <v/>
      </c>
      <c r="H199" s="221" t="str">
        <f>IFERROR(VLOOKUP($A199,メルマガ読み込み用!$A$2:$K$250,7,FALSE),"")</f>
        <v/>
      </c>
      <c r="I199" s="222" t="str">
        <f>IFERROR(VLOOKUP($A199,メルマガ読み込み用!$A$2:$K$250,8,FALSE),"")</f>
        <v/>
      </c>
      <c r="J199" s="223" t="str">
        <f>IFERROR(VLOOKUP($A199,メルマガ読み込み用!$A$2:$K$250,11,FALSE),"")</f>
        <v/>
      </c>
    </row>
    <row r="200" spans="1:10">
      <c r="A200" s="113">
        <v>198</v>
      </c>
      <c r="B200" s="222" t="str">
        <f>IFERROR(VLOOKUP($A200,メルマガ読み込み用!$A$2:$K$250,2,FALSE),"")</f>
        <v/>
      </c>
      <c r="C200" s="222" t="str">
        <f>IFERROR(VLOOKUP($A200,メルマガ読み込み用!$A$2:$K$250,3,FALSE),"")</f>
        <v/>
      </c>
      <c r="D200" s="222" t="str">
        <f>IFERROR(VLOOKUP($A200,メルマガ読み込み用!$A$2:$K$250,4,FALSE),"")</f>
        <v/>
      </c>
      <c r="E200" s="222" t="str">
        <f>IFERROR(VLOOKUP($A200,メルマガ読み込み用!$A$2:$K$250,5,FALSE),"")</f>
        <v/>
      </c>
      <c r="F200" s="222" t="str">
        <f>IFERROR(VLOOKUP($A200,メルマガ読み込み用!$A$2:$K$250,6,FALSE),"")</f>
        <v/>
      </c>
      <c r="G200" s="222" t="str">
        <f>IFERROR(VLOOKUP($A200,メルマガ読み込み用!$A$2:$L$250,12,FALSE),"")</f>
        <v/>
      </c>
      <c r="H200" s="221" t="str">
        <f>IFERROR(VLOOKUP($A200,メルマガ読み込み用!$A$2:$K$250,7,FALSE),"")</f>
        <v/>
      </c>
      <c r="I200" s="222" t="str">
        <f>IFERROR(VLOOKUP($A200,メルマガ読み込み用!$A$2:$K$250,8,FALSE),"")</f>
        <v/>
      </c>
      <c r="J200" s="223" t="str">
        <f>IFERROR(VLOOKUP($A200,メルマガ読み込み用!$A$2:$K$250,11,FALSE),"")</f>
        <v/>
      </c>
    </row>
    <row r="201" spans="1:10">
      <c r="A201" s="113">
        <v>199</v>
      </c>
      <c r="B201" s="222" t="str">
        <f>IFERROR(VLOOKUP($A201,メルマガ読み込み用!$A$2:$K$250,2,FALSE),"")</f>
        <v/>
      </c>
      <c r="C201" s="222" t="str">
        <f>IFERROR(VLOOKUP($A201,メルマガ読み込み用!$A$2:$K$250,3,FALSE),"")</f>
        <v/>
      </c>
      <c r="D201" s="222" t="str">
        <f>IFERROR(VLOOKUP($A201,メルマガ読み込み用!$A$2:$K$250,4,FALSE),"")</f>
        <v/>
      </c>
      <c r="E201" s="222" t="str">
        <f>IFERROR(VLOOKUP($A201,メルマガ読み込み用!$A$2:$K$250,5,FALSE),"")</f>
        <v/>
      </c>
      <c r="F201" s="222" t="str">
        <f>IFERROR(VLOOKUP($A201,メルマガ読み込み用!$A$2:$K$250,6,FALSE),"")</f>
        <v/>
      </c>
      <c r="G201" s="222" t="str">
        <f>IFERROR(VLOOKUP($A201,メルマガ読み込み用!$A$2:$L$250,12,FALSE),"")</f>
        <v/>
      </c>
      <c r="H201" s="221" t="str">
        <f>IFERROR(VLOOKUP($A201,メルマガ読み込み用!$A$2:$K$250,7,FALSE),"")</f>
        <v/>
      </c>
      <c r="I201" s="222" t="str">
        <f>IFERROR(VLOOKUP($A201,メルマガ読み込み用!$A$2:$K$250,8,FALSE),"")</f>
        <v/>
      </c>
      <c r="J201" s="223" t="str">
        <f>IFERROR(VLOOKUP($A201,メルマガ読み込み用!$A$2:$K$250,11,FALSE),"")</f>
        <v/>
      </c>
    </row>
    <row r="202" spans="1:10">
      <c r="A202" s="113">
        <v>200</v>
      </c>
      <c r="B202" s="222" t="str">
        <f>IFERROR(VLOOKUP($A202,メルマガ読み込み用!$A$2:$K$250,2,FALSE),"")</f>
        <v/>
      </c>
      <c r="C202" s="222" t="str">
        <f>IFERROR(VLOOKUP($A202,メルマガ読み込み用!$A$2:$K$250,3,FALSE),"")</f>
        <v/>
      </c>
      <c r="D202" s="222" t="str">
        <f>IFERROR(VLOOKUP($A202,メルマガ読み込み用!$A$2:$K$250,4,FALSE),"")</f>
        <v/>
      </c>
      <c r="E202" s="222" t="str">
        <f>IFERROR(VLOOKUP($A202,メルマガ読み込み用!$A$2:$K$250,5,FALSE),"")</f>
        <v/>
      </c>
      <c r="F202" s="222" t="str">
        <f>IFERROR(VLOOKUP($A202,メルマガ読み込み用!$A$2:$K$250,6,FALSE),"")</f>
        <v/>
      </c>
      <c r="G202" s="222" t="str">
        <f>IFERROR(VLOOKUP($A202,メルマガ読み込み用!$A$2:$L$250,12,FALSE),"")</f>
        <v/>
      </c>
      <c r="H202" s="221" t="str">
        <f>IFERROR(VLOOKUP($A202,メルマガ読み込み用!$A$2:$K$250,7,FALSE),"")</f>
        <v/>
      </c>
      <c r="I202" s="222" t="str">
        <f>IFERROR(VLOOKUP($A202,メルマガ読み込み用!$A$2:$K$250,8,FALSE),"")</f>
        <v/>
      </c>
      <c r="J202" s="223" t="str">
        <f>IFERROR(VLOOKUP($A202,メルマガ読み込み用!$A$2:$K$250,11,FALSE),"")</f>
        <v/>
      </c>
    </row>
    <row r="203" spans="1:10">
      <c r="A203" s="113">
        <v>201</v>
      </c>
      <c r="B203" s="222" t="str">
        <f>IFERROR(VLOOKUP($A203,メルマガ読み込み用!$A$2:$K$250,2,FALSE),"")</f>
        <v/>
      </c>
      <c r="C203" s="222" t="str">
        <f>IFERROR(VLOOKUP($A203,メルマガ読み込み用!$A$2:$K$250,3,FALSE),"")</f>
        <v/>
      </c>
      <c r="D203" s="222" t="str">
        <f>IFERROR(VLOOKUP($A203,メルマガ読み込み用!$A$2:$K$250,4,FALSE),"")</f>
        <v/>
      </c>
      <c r="E203" s="222" t="str">
        <f>IFERROR(VLOOKUP($A203,メルマガ読み込み用!$A$2:$K$250,5,FALSE),"")</f>
        <v/>
      </c>
      <c r="F203" s="222" t="str">
        <f>IFERROR(VLOOKUP($A203,メルマガ読み込み用!$A$2:$K$250,6,FALSE),"")</f>
        <v/>
      </c>
      <c r="G203" s="222" t="str">
        <f>IFERROR(VLOOKUP($A203,メルマガ読み込み用!$A$2:$L$250,12,FALSE),"")</f>
        <v/>
      </c>
      <c r="H203" s="221" t="str">
        <f>IFERROR(VLOOKUP($A203,メルマガ読み込み用!$A$2:$K$250,7,FALSE),"")</f>
        <v/>
      </c>
      <c r="I203" s="222" t="str">
        <f>IFERROR(VLOOKUP($A203,メルマガ読み込み用!$A$2:$K$250,8,FALSE),"")</f>
        <v/>
      </c>
      <c r="J203" s="223" t="str">
        <f>IFERROR(VLOOKUP($A203,メルマガ読み込み用!$A$2:$K$250,11,FALSE),"")</f>
        <v/>
      </c>
    </row>
    <row r="204" spans="1:10">
      <c r="A204" s="113">
        <v>202</v>
      </c>
      <c r="B204" s="222" t="str">
        <f>IFERROR(VLOOKUP($A204,メルマガ読み込み用!$A$2:$K$250,2,FALSE),"")</f>
        <v/>
      </c>
      <c r="C204" s="222" t="str">
        <f>IFERROR(VLOOKUP($A204,メルマガ読み込み用!$A$2:$K$250,3,FALSE),"")</f>
        <v/>
      </c>
      <c r="D204" s="222" t="str">
        <f>IFERROR(VLOOKUP($A204,メルマガ読み込み用!$A$2:$K$250,4,FALSE),"")</f>
        <v/>
      </c>
      <c r="E204" s="222" t="str">
        <f>IFERROR(VLOOKUP($A204,メルマガ読み込み用!$A$2:$K$250,5,FALSE),"")</f>
        <v/>
      </c>
      <c r="F204" s="222" t="str">
        <f>IFERROR(VLOOKUP($A204,メルマガ読み込み用!$A$2:$K$250,6,FALSE),"")</f>
        <v/>
      </c>
      <c r="G204" s="222" t="str">
        <f>IFERROR(VLOOKUP($A204,メルマガ読み込み用!$A$2:$L$250,12,FALSE),"")</f>
        <v/>
      </c>
      <c r="H204" s="221" t="str">
        <f>IFERROR(VLOOKUP($A204,メルマガ読み込み用!$A$2:$K$250,7,FALSE),"")</f>
        <v/>
      </c>
      <c r="I204" s="222" t="str">
        <f>IFERROR(VLOOKUP($A204,メルマガ読み込み用!$A$2:$K$250,8,FALSE),"")</f>
        <v/>
      </c>
      <c r="J204" s="223" t="str">
        <f>IFERROR(VLOOKUP($A204,メルマガ読み込み用!$A$2:$K$250,11,FALSE),"")</f>
        <v/>
      </c>
    </row>
    <row r="205" spans="1:10">
      <c r="A205" s="113">
        <v>203</v>
      </c>
      <c r="B205" s="222" t="str">
        <f>IFERROR(VLOOKUP($A205,メルマガ読み込み用!$A$2:$K$250,2,FALSE),"")</f>
        <v/>
      </c>
      <c r="C205" s="222" t="str">
        <f>IFERROR(VLOOKUP($A205,メルマガ読み込み用!$A$2:$K$250,3,FALSE),"")</f>
        <v/>
      </c>
      <c r="D205" s="222" t="str">
        <f>IFERROR(VLOOKUP($A205,メルマガ読み込み用!$A$2:$K$250,4,FALSE),"")</f>
        <v/>
      </c>
      <c r="E205" s="222" t="str">
        <f>IFERROR(VLOOKUP($A205,メルマガ読み込み用!$A$2:$K$250,5,FALSE),"")</f>
        <v/>
      </c>
      <c r="F205" s="222" t="str">
        <f>IFERROR(VLOOKUP($A205,メルマガ読み込み用!$A$2:$K$250,6,FALSE),"")</f>
        <v/>
      </c>
      <c r="G205" s="222" t="str">
        <f>IFERROR(VLOOKUP($A205,メルマガ読み込み用!$A$2:$L$250,12,FALSE),"")</f>
        <v/>
      </c>
      <c r="H205" s="221" t="str">
        <f>IFERROR(VLOOKUP($A205,メルマガ読み込み用!$A$2:$K$250,7,FALSE),"")</f>
        <v/>
      </c>
      <c r="I205" s="222" t="str">
        <f>IFERROR(VLOOKUP($A205,メルマガ読み込み用!$A$2:$K$250,8,FALSE),"")</f>
        <v/>
      </c>
      <c r="J205" s="223" t="str">
        <f>IFERROR(VLOOKUP($A205,メルマガ読み込み用!$A$2:$K$250,11,FALSE),"")</f>
        <v/>
      </c>
    </row>
    <row r="206" spans="1:10">
      <c r="A206" s="113">
        <v>204</v>
      </c>
      <c r="B206" s="222" t="str">
        <f>IFERROR(VLOOKUP($A206,メルマガ読み込み用!$A$2:$K$250,2,FALSE),"")</f>
        <v/>
      </c>
      <c r="C206" s="222" t="str">
        <f>IFERROR(VLOOKUP($A206,メルマガ読み込み用!$A$2:$K$250,3,FALSE),"")</f>
        <v/>
      </c>
      <c r="D206" s="222" t="str">
        <f>IFERROR(VLOOKUP($A206,メルマガ読み込み用!$A$2:$K$250,4,FALSE),"")</f>
        <v/>
      </c>
      <c r="E206" s="222" t="str">
        <f>IFERROR(VLOOKUP($A206,メルマガ読み込み用!$A$2:$K$250,5,FALSE),"")</f>
        <v/>
      </c>
      <c r="F206" s="222" t="str">
        <f>IFERROR(VLOOKUP($A206,メルマガ読み込み用!$A$2:$K$250,6,FALSE),"")</f>
        <v/>
      </c>
      <c r="G206" s="222" t="str">
        <f>IFERROR(VLOOKUP($A206,メルマガ読み込み用!$A$2:$L$250,12,FALSE),"")</f>
        <v/>
      </c>
      <c r="H206" s="221" t="str">
        <f>IFERROR(VLOOKUP($A206,メルマガ読み込み用!$A$2:$K$250,7,FALSE),"")</f>
        <v/>
      </c>
      <c r="I206" s="222" t="str">
        <f>IFERROR(VLOOKUP($A206,メルマガ読み込み用!$A$2:$K$250,8,FALSE),"")</f>
        <v/>
      </c>
      <c r="J206" s="223" t="str">
        <f>IFERROR(VLOOKUP($A206,メルマガ読み込み用!$A$2:$K$250,11,FALSE),"")</f>
        <v/>
      </c>
    </row>
    <row r="207" spans="1:10">
      <c r="A207" s="113">
        <v>205</v>
      </c>
      <c r="B207" s="222" t="str">
        <f>IFERROR(VLOOKUP($A207,メルマガ読み込み用!$A$2:$K$250,2,FALSE),"")</f>
        <v/>
      </c>
      <c r="C207" s="222" t="str">
        <f>IFERROR(VLOOKUP($A207,メルマガ読み込み用!$A$2:$K$250,3,FALSE),"")</f>
        <v/>
      </c>
      <c r="D207" s="222" t="str">
        <f>IFERROR(VLOOKUP($A207,メルマガ読み込み用!$A$2:$K$250,4,FALSE),"")</f>
        <v/>
      </c>
      <c r="E207" s="222" t="str">
        <f>IFERROR(VLOOKUP($A207,メルマガ読み込み用!$A$2:$K$250,5,FALSE),"")</f>
        <v/>
      </c>
      <c r="F207" s="222" t="str">
        <f>IFERROR(VLOOKUP($A207,メルマガ読み込み用!$A$2:$K$250,6,FALSE),"")</f>
        <v/>
      </c>
      <c r="G207" s="222" t="str">
        <f>IFERROR(VLOOKUP($A207,メルマガ読み込み用!$A$2:$L$250,12,FALSE),"")</f>
        <v/>
      </c>
      <c r="H207" s="221" t="str">
        <f>IFERROR(VLOOKUP($A207,メルマガ読み込み用!$A$2:$K$250,7,FALSE),"")</f>
        <v/>
      </c>
      <c r="I207" s="222" t="str">
        <f>IFERROR(VLOOKUP($A207,メルマガ読み込み用!$A$2:$K$250,8,FALSE),"")</f>
        <v/>
      </c>
      <c r="J207" s="223" t="str">
        <f>IFERROR(VLOOKUP($A207,メルマガ読み込み用!$A$2:$K$250,11,FALSE),"")</f>
        <v/>
      </c>
    </row>
    <row r="208" spans="1:10">
      <c r="A208" s="113">
        <v>206</v>
      </c>
      <c r="B208" s="222" t="str">
        <f>IFERROR(VLOOKUP($A208,メルマガ読み込み用!$A$2:$K$250,2,FALSE),"")</f>
        <v/>
      </c>
      <c r="C208" s="222" t="str">
        <f>IFERROR(VLOOKUP($A208,メルマガ読み込み用!$A$2:$K$250,3,FALSE),"")</f>
        <v/>
      </c>
      <c r="D208" s="222" t="str">
        <f>IFERROR(VLOOKUP($A208,メルマガ読み込み用!$A$2:$K$250,4,FALSE),"")</f>
        <v/>
      </c>
      <c r="E208" s="222" t="str">
        <f>IFERROR(VLOOKUP($A208,メルマガ読み込み用!$A$2:$K$250,5,FALSE),"")</f>
        <v/>
      </c>
      <c r="F208" s="222" t="str">
        <f>IFERROR(VLOOKUP($A208,メルマガ読み込み用!$A$2:$K$250,6,FALSE),"")</f>
        <v/>
      </c>
      <c r="G208" s="222" t="str">
        <f>IFERROR(VLOOKUP($A208,メルマガ読み込み用!$A$2:$L$250,12,FALSE),"")</f>
        <v/>
      </c>
      <c r="H208" s="221" t="str">
        <f>IFERROR(VLOOKUP($A208,メルマガ読み込み用!$A$2:$K$250,7,FALSE),"")</f>
        <v/>
      </c>
      <c r="I208" s="222" t="str">
        <f>IFERROR(VLOOKUP($A208,メルマガ読み込み用!$A$2:$K$250,8,FALSE),"")</f>
        <v/>
      </c>
      <c r="J208" s="223" t="str">
        <f>IFERROR(VLOOKUP($A208,メルマガ読み込み用!$A$2:$K$250,11,FALSE),"")</f>
        <v/>
      </c>
    </row>
    <row r="209" spans="1:10">
      <c r="A209" s="113">
        <v>207</v>
      </c>
      <c r="B209" s="222" t="str">
        <f>IFERROR(VLOOKUP($A209,メルマガ読み込み用!$A$2:$K$250,2,FALSE),"")</f>
        <v/>
      </c>
      <c r="C209" s="222" t="str">
        <f>IFERROR(VLOOKUP($A209,メルマガ読み込み用!$A$2:$K$250,3,FALSE),"")</f>
        <v/>
      </c>
      <c r="D209" s="222" t="str">
        <f>IFERROR(VLOOKUP($A209,メルマガ読み込み用!$A$2:$K$250,4,FALSE),"")</f>
        <v/>
      </c>
      <c r="E209" s="222" t="str">
        <f>IFERROR(VLOOKUP($A209,メルマガ読み込み用!$A$2:$K$250,5,FALSE),"")</f>
        <v/>
      </c>
      <c r="F209" s="222" t="str">
        <f>IFERROR(VLOOKUP($A209,メルマガ読み込み用!$A$2:$K$250,6,FALSE),"")</f>
        <v/>
      </c>
      <c r="G209" s="222" t="str">
        <f>IFERROR(VLOOKUP($A209,メルマガ読み込み用!$A$2:$L$250,12,FALSE),"")</f>
        <v/>
      </c>
      <c r="H209" s="221" t="str">
        <f>IFERROR(VLOOKUP($A209,メルマガ読み込み用!$A$2:$K$250,7,FALSE),"")</f>
        <v/>
      </c>
      <c r="I209" s="222" t="str">
        <f>IFERROR(VLOOKUP($A209,メルマガ読み込み用!$A$2:$K$250,8,FALSE),"")</f>
        <v/>
      </c>
      <c r="J209" s="223" t="str">
        <f>IFERROR(VLOOKUP($A209,メルマガ読み込み用!$A$2:$K$250,11,FALSE),"")</f>
        <v/>
      </c>
    </row>
    <row r="210" spans="1:10">
      <c r="A210" s="113">
        <v>208</v>
      </c>
      <c r="B210" s="222" t="str">
        <f>IFERROR(VLOOKUP($A210,メルマガ読み込み用!$A$2:$K$250,2,FALSE),"")</f>
        <v/>
      </c>
      <c r="C210" s="222" t="str">
        <f>IFERROR(VLOOKUP($A210,メルマガ読み込み用!$A$2:$K$250,3,FALSE),"")</f>
        <v/>
      </c>
      <c r="D210" s="222" t="str">
        <f>IFERROR(VLOOKUP($A210,メルマガ読み込み用!$A$2:$K$250,4,FALSE),"")</f>
        <v/>
      </c>
      <c r="E210" s="222" t="str">
        <f>IFERROR(VLOOKUP($A210,メルマガ読み込み用!$A$2:$K$250,5,FALSE),"")</f>
        <v/>
      </c>
      <c r="F210" s="222" t="str">
        <f>IFERROR(VLOOKUP($A210,メルマガ読み込み用!$A$2:$K$250,6,FALSE),"")</f>
        <v/>
      </c>
      <c r="G210" s="222" t="str">
        <f>IFERROR(VLOOKUP($A210,メルマガ読み込み用!$A$2:$L$250,12,FALSE),"")</f>
        <v/>
      </c>
      <c r="H210" s="221" t="str">
        <f>IFERROR(VLOOKUP($A210,メルマガ読み込み用!$A$2:$K$250,7,FALSE),"")</f>
        <v/>
      </c>
      <c r="I210" s="222" t="str">
        <f>IFERROR(VLOOKUP($A210,メルマガ読み込み用!$A$2:$K$250,8,FALSE),"")</f>
        <v/>
      </c>
      <c r="J210" s="223" t="str">
        <f>IFERROR(VLOOKUP($A210,メルマガ読み込み用!$A$2:$K$250,11,FALSE),"")</f>
        <v/>
      </c>
    </row>
    <row r="211" spans="1:10">
      <c r="A211" s="113">
        <v>209</v>
      </c>
      <c r="B211" s="222" t="str">
        <f>IFERROR(VLOOKUP($A211,メルマガ読み込み用!$A$2:$K$250,2,FALSE),"")</f>
        <v/>
      </c>
      <c r="C211" s="222" t="str">
        <f>IFERROR(VLOOKUP($A211,メルマガ読み込み用!$A$2:$K$250,3,FALSE),"")</f>
        <v/>
      </c>
      <c r="D211" s="222" t="str">
        <f>IFERROR(VLOOKUP($A211,メルマガ読み込み用!$A$2:$K$250,4,FALSE),"")</f>
        <v/>
      </c>
      <c r="E211" s="222" t="str">
        <f>IFERROR(VLOOKUP($A211,メルマガ読み込み用!$A$2:$K$250,5,FALSE),"")</f>
        <v/>
      </c>
      <c r="F211" s="222" t="str">
        <f>IFERROR(VLOOKUP($A211,メルマガ読み込み用!$A$2:$K$250,6,FALSE),"")</f>
        <v/>
      </c>
      <c r="G211" s="222" t="str">
        <f>IFERROR(VLOOKUP($A211,メルマガ読み込み用!$A$2:$L$250,12,FALSE),"")</f>
        <v/>
      </c>
      <c r="H211" s="221" t="str">
        <f>IFERROR(VLOOKUP($A211,メルマガ読み込み用!$A$2:$K$250,7,FALSE),"")</f>
        <v/>
      </c>
      <c r="I211" s="222" t="str">
        <f>IFERROR(VLOOKUP($A211,メルマガ読み込み用!$A$2:$K$250,8,FALSE),"")</f>
        <v/>
      </c>
      <c r="J211" s="223" t="str">
        <f>IFERROR(VLOOKUP($A211,メルマガ読み込み用!$A$2:$K$250,11,FALSE),"")</f>
        <v/>
      </c>
    </row>
    <row r="212" spans="1:10">
      <c r="A212" s="113">
        <v>210</v>
      </c>
      <c r="B212" s="222" t="str">
        <f>IFERROR(VLOOKUP($A212,メルマガ読み込み用!$A$2:$K$250,2,FALSE),"")</f>
        <v/>
      </c>
      <c r="C212" s="222" t="str">
        <f>IFERROR(VLOOKUP($A212,メルマガ読み込み用!$A$2:$K$250,3,FALSE),"")</f>
        <v/>
      </c>
      <c r="D212" s="222" t="str">
        <f>IFERROR(VLOOKUP($A212,メルマガ読み込み用!$A$2:$K$250,4,FALSE),"")</f>
        <v/>
      </c>
      <c r="E212" s="222" t="str">
        <f>IFERROR(VLOOKUP($A212,メルマガ読み込み用!$A$2:$K$250,5,FALSE),"")</f>
        <v/>
      </c>
      <c r="F212" s="222" t="str">
        <f>IFERROR(VLOOKUP($A212,メルマガ読み込み用!$A$2:$K$250,6,FALSE),"")</f>
        <v/>
      </c>
      <c r="G212" s="222" t="str">
        <f>IFERROR(VLOOKUP($A212,メルマガ読み込み用!$A$2:$L$250,12,FALSE),"")</f>
        <v/>
      </c>
      <c r="H212" s="221" t="str">
        <f>IFERROR(VLOOKUP($A212,メルマガ読み込み用!$A$2:$K$250,7,FALSE),"")</f>
        <v/>
      </c>
      <c r="I212" s="222" t="str">
        <f>IFERROR(VLOOKUP($A212,メルマガ読み込み用!$A$2:$K$250,8,FALSE),"")</f>
        <v/>
      </c>
      <c r="J212" s="223" t="str">
        <f>IFERROR(VLOOKUP($A212,メルマガ読み込み用!$A$2:$K$250,11,FALSE),"")</f>
        <v/>
      </c>
    </row>
    <row r="213" spans="1:10">
      <c r="A213" s="113">
        <v>211</v>
      </c>
      <c r="B213" s="222" t="str">
        <f>IFERROR(VLOOKUP($A213,メルマガ読み込み用!$A$2:$K$250,2,FALSE),"")</f>
        <v/>
      </c>
      <c r="C213" s="222" t="str">
        <f>IFERROR(VLOOKUP($A213,メルマガ読み込み用!$A$2:$K$250,3,FALSE),"")</f>
        <v/>
      </c>
      <c r="D213" s="222" t="str">
        <f>IFERROR(VLOOKUP($A213,メルマガ読み込み用!$A$2:$K$250,4,FALSE),"")</f>
        <v/>
      </c>
      <c r="E213" s="222" t="str">
        <f>IFERROR(VLOOKUP($A213,メルマガ読み込み用!$A$2:$K$250,5,FALSE),"")</f>
        <v/>
      </c>
      <c r="F213" s="222" t="str">
        <f>IFERROR(VLOOKUP($A213,メルマガ読み込み用!$A$2:$K$250,6,FALSE),"")</f>
        <v/>
      </c>
      <c r="G213" s="222" t="str">
        <f>IFERROR(VLOOKUP($A213,メルマガ読み込み用!$A$2:$L$250,12,FALSE),"")</f>
        <v/>
      </c>
      <c r="H213" s="221" t="str">
        <f>IFERROR(VLOOKUP($A213,メルマガ読み込み用!$A$2:$K$250,7,FALSE),"")</f>
        <v/>
      </c>
      <c r="I213" s="222" t="str">
        <f>IFERROR(VLOOKUP($A213,メルマガ読み込み用!$A$2:$K$250,8,FALSE),"")</f>
        <v/>
      </c>
      <c r="J213" s="223" t="str">
        <f>IFERROR(VLOOKUP($A213,メルマガ読み込み用!$A$2:$K$250,11,FALSE),"")</f>
        <v/>
      </c>
    </row>
    <row r="214" spans="1:10">
      <c r="A214" s="113">
        <v>212</v>
      </c>
      <c r="B214" s="222" t="str">
        <f>IFERROR(VLOOKUP($A214,メルマガ読み込み用!$A$2:$K$250,2,FALSE),"")</f>
        <v/>
      </c>
      <c r="C214" s="222" t="str">
        <f>IFERROR(VLOOKUP($A214,メルマガ読み込み用!$A$2:$K$250,3,FALSE),"")</f>
        <v/>
      </c>
      <c r="D214" s="222" t="str">
        <f>IFERROR(VLOOKUP($A214,メルマガ読み込み用!$A$2:$K$250,4,FALSE),"")</f>
        <v/>
      </c>
      <c r="E214" s="222" t="str">
        <f>IFERROR(VLOOKUP($A214,メルマガ読み込み用!$A$2:$K$250,5,FALSE),"")</f>
        <v/>
      </c>
      <c r="F214" s="222" t="str">
        <f>IFERROR(VLOOKUP($A214,メルマガ読み込み用!$A$2:$K$250,6,FALSE),"")</f>
        <v/>
      </c>
      <c r="G214" s="222" t="str">
        <f>IFERROR(VLOOKUP($A214,メルマガ読み込み用!$A$2:$L$250,12,FALSE),"")</f>
        <v/>
      </c>
      <c r="H214" s="221" t="str">
        <f>IFERROR(VLOOKUP($A214,メルマガ読み込み用!$A$2:$K$250,7,FALSE),"")</f>
        <v/>
      </c>
      <c r="I214" s="222" t="str">
        <f>IFERROR(VLOOKUP($A214,メルマガ読み込み用!$A$2:$K$250,8,FALSE),"")</f>
        <v/>
      </c>
      <c r="J214" s="223" t="str">
        <f>IFERROR(VLOOKUP($A214,メルマガ読み込み用!$A$2:$K$250,11,FALSE),"")</f>
        <v/>
      </c>
    </row>
    <row r="215" spans="1:10">
      <c r="A215" s="113">
        <v>213</v>
      </c>
      <c r="B215" s="222" t="str">
        <f>IFERROR(VLOOKUP($A215,メルマガ読み込み用!$A$2:$K$250,2,FALSE),"")</f>
        <v/>
      </c>
      <c r="C215" s="222" t="str">
        <f>IFERROR(VLOOKUP($A215,メルマガ読み込み用!$A$2:$K$250,3,FALSE),"")</f>
        <v/>
      </c>
      <c r="D215" s="222" t="str">
        <f>IFERROR(VLOOKUP($A215,メルマガ読み込み用!$A$2:$K$250,4,FALSE),"")</f>
        <v/>
      </c>
      <c r="E215" s="222" t="str">
        <f>IFERROR(VLOOKUP($A215,メルマガ読み込み用!$A$2:$K$250,5,FALSE),"")</f>
        <v/>
      </c>
      <c r="F215" s="222" t="str">
        <f>IFERROR(VLOOKUP($A215,メルマガ読み込み用!$A$2:$K$250,6,FALSE),"")</f>
        <v/>
      </c>
      <c r="G215" s="222" t="str">
        <f>IFERROR(VLOOKUP($A215,メルマガ読み込み用!$A$2:$L$250,12,FALSE),"")</f>
        <v/>
      </c>
      <c r="H215" s="221" t="str">
        <f>IFERROR(VLOOKUP($A215,メルマガ読み込み用!$A$2:$K$250,7,FALSE),"")</f>
        <v/>
      </c>
      <c r="I215" s="222" t="str">
        <f>IFERROR(VLOOKUP($A215,メルマガ読み込み用!$A$2:$K$250,8,FALSE),"")</f>
        <v/>
      </c>
      <c r="J215" s="223" t="str">
        <f>IFERROR(VLOOKUP($A215,メルマガ読み込み用!$A$2:$K$250,11,FALSE),"")</f>
        <v/>
      </c>
    </row>
    <row r="216" spans="1:10">
      <c r="A216" s="113">
        <v>214</v>
      </c>
      <c r="B216" s="222" t="str">
        <f>IFERROR(VLOOKUP($A216,メルマガ読み込み用!$A$2:$K$250,2,FALSE),"")</f>
        <v/>
      </c>
      <c r="C216" s="222" t="str">
        <f>IFERROR(VLOOKUP($A216,メルマガ読み込み用!$A$2:$K$250,3,FALSE),"")</f>
        <v/>
      </c>
      <c r="D216" s="222" t="str">
        <f>IFERROR(VLOOKUP($A216,メルマガ読み込み用!$A$2:$K$250,4,FALSE),"")</f>
        <v/>
      </c>
      <c r="E216" s="222" t="str">
        <f>IFERROR(VLOOKUP($A216,メルマガ読み込み用!$A$2:$K$250,5,FALSE),"")</f>
        <v/>
      </c>
      <c r="F216" s="222" t="str">
        <f>IFERROR(VLOOKUP($A216,メルマガ読み込み用!$A$2:$K$250,6,FALSE),"")</f>
        <v/>
      </c>
      <c r="G216" s="222" t="str">
        <f>IFERROR(VLOOKUP($A216,メルマガ読み込み用!$A$2:$L$250,12,FALSE),"")</f>
        <v/>
      </c>
      <c r="H216" s="221" t="str">
        <f>IFERROR(VLOOKUP($A216,メルマガ読み込み用!$A$2:$K$250,7,FALSE),"")</f>
        <v/>
      </c>
      <c r="I216" s="222" t="str">
        <f>IFERROR(VLOOKUP($A216,メルマガ読み込み用!$A$2:$K$250,8,FALSE),"")</f>
        <v/>
      </c>
      <c r="J216" s="223" t="str">
        <f>IFERROR(VLOOKUP($A216,メルマガ読み込み用!$A$2:$K$250,11,FALSE),"")</f>
        <v/>
      </c>
    </row>
    <row r="217" spans="1:10">
      <c r="A217" s="113">
        <v>215</v>
      </c>
      <c r="B217" s="222" t="str">
        <f>IFERROR(VLOOKUP($A217,メルマガ読み込み用!$A$2:$K$250,2,FALSE),"")</f>
        <v/>
      </c>
      <c r="C217" s="222" t="str">
        <f>IFERROR(VLOOKUP($A217,メルマガ読み込み用!$A$2:$K$250,3,FALSE),"")</f>
        <v/>
      </c>
      <c r="D217" s="222" t="str">
        <f>IFERROR(VLOOKUP($A217,メルマガ読み込み用!$A$2:$K$250,4,FALSE),"")</f>
        <v/>
      </c>
      <c r="E217" s="222" t="str">
        <f>IFERROR(VLOOKUP($A217,メルマガ読み込み用!$A$2:$K$250,5,FALSE),"")</f>
        <v/>
      </c>
      <c r="F217" s="222" t="str">
        <f>IFERROR(VLOOKUP($A217,メルマガ読み込み用!$A$2:$K$250,6,FALSE),"")</f>
        <v/>
      </c>
      <c r="G217" s="222" t="str">
        <f>IFERROR(VLOOKUP($A217,メルマガ読み込み用!$A$2:$L$250,12,FALSE),"")</f>
        <v/>
      </c>
      <c r="H217" s="221" t="str">
        <f>IFERROR(VLOOKUP($A217,メルマガ読み込み用!$A$2:$K$250,7,FALSE),"")</f>
        <v/>
      </c>
      <c r="I217" s="222" t="str">
        <f>IFERROR(VLOOKUP($A217,メルマガ読み込み用!$A$2:$K$250,8,FALSE),"")</f>
        <v/>
      </c>
      <c r="J217" s="223" t="str">
        <f>IFERROR(VLOOKUP($A217,メルマガ読み込み用!$A$2:$K$250,11,FALSE),"")</f>
        <v/>
      </c>
    </row>
    <row r="218" spans="1:10">
      <c r="A218" s="113">
        <v>216</v>
      </c>
      <c r="B218" s="222" t="str">
        <f>IFERROR(VLOOKUP($A218,メルマガ読み込み用!$A$2:$K$250,2,FALSE),"")</f>
        <v/>
      </c>
      <c r="C218" s="222" t="str">
        <f>IFERROR(VLOOKUP($A218,メルマガ読み込み用!$A$2:$K$250,3,FALSE),"")</f>
        <v/>
      </c>
      <c r="D218" s="222" t="str">
        <f>IFERROR(VLOOKUP($A218,メルマガ読み込み用!$A$2:$K$250,4,FALSE),"")</f>
        <v/>
      </c>
      <c r="E218" s="222" t="str">
        <f>IFERROR(VLOOKUP($A218,メルマガ読み込み用!$A$2:$K$250,5,FALSE),"")</f>
        <v/>
      </c>
      <c r="F218" s="222" t="str">
        <f>IFERROR(VLOOKUP($A218,メルマガ読み込み用!$A$2:$K$250,6,FALSE),"")</f>
        <v/>
      </c>
      <c r="G218" s="222" t="str">
        <f>IFERROR(VLOOKUP($A218,メルマガ読み込み用!$A$2:$L$250,12,FALSE),"")</f>
        <v/>
      </c>
      <c r="H218" s="221" t="str">
        <f>IFERROR(VLOOKUP($A218,メルマガ読み込み用!$A$2:$K$250,7,FALSE),"")</f>
        <v/>
      </c>
      <c r="I218" s="222" t="str">
        <f>IFERROR(VLOOKUP($A218,メルマガ読み込み用!$A$2:$K$250,8,FALSE),"")</f>
        <v/>
      </c>
      <c r="J218" s="223" t="str">
        <f>IFERROR(VLOOKUP($A218,メルマガ読み込み用!$A$2:$K$250,11,FALSE),"")</f>
        <v/>
      </c>
    </row>
    <row r="219" spans="1:10">
      <c r="A219" s="113">
        <v>217</v>
      </c>
      <c r="B219" s="222" t="str">
        <f>IFERROR(VLOOKUP($A219,メルマガ読み込み用!$A$2:$K$250,2,FALSE),"")</f>
        <v/>
      </c>
      <c r="C219" s="222" t="str">
        <f>IFERROR(VLOOKUP($A219,メルマガ読み込み用!$A$2:$K$250,3,FALSE),"")</f>
        <v/>
      </c>
      <c r="D219" s="222" t="str">
        <f>IFERROR(VLOOKUP($A219,メルマガ読み込み用!$A$2:$K$250,4,FALSE),"")</f>
        <v/>
      </c>
      <c r="E219" s="222" t="str">
        <f>IFERROR(VLOOKUP($A219,メルマガ読み込み用!$A$2:$K$250,5,FALSE),"")</f>
        <v/>
      </c>
      <c r="F219" s="222" t="str">
        <f>IFERROR(VLOOKUP($A219,メルマガ読み込み用!$A$2:$K$250,6,FALSE),"")</f>
        <v/>
      </c>
      <c r="G219" s="222" t="str">
        <f>IFERROR(VLOOKUP($A219,メルマガ読み込み用!$A$2:$L$250,12,FALSE),"")</f>
        <v/>
      </c>
      <c r="H219" s="221" t="str">
        <f>IFERROR(VLOOKUP($A219,メルマガ読み込み用!$A$2:$K$250,7,FALSE),"")</f>
        <v/>
      </c>
      <c r="I219" s="222" t="str">
        <f>IFERROR(VLOOKUP($A219,メルマガ読み込み用!$A$2:$K$250,8,FALSE),"")</f>
        <v/>
      </c>
      <c r="J219" s="223" t="str">
        <f>IFERROR(VLOOKUP($A219,メルマガ読み込み用!$A$2:$K$250,11,FALSE),"")</f>
        <v/>
      </c>
    </row>
    <row r="220" spans="1:10">
      <c r="A220" s="113">
        <v>218</v>
      </c>
      <c r="B220" s="222" t="str">
        <f>IFERROR(VLOOKUP($A220,メルマガ読み込み用!$A$2:$K$250,2,FALSE),"")</f>
        <v/>
      </c>
      <c r="C220" s="222" t="str">
        <f>IFERROR(VLOOKUP($A220,メルマガ読み込み用!$A$2:$K$250,3,FALSE),"")</f>
        <v/>
      </c>
      <c r="D220" s="222" t="str">
        <f>IFERROR(VLOOKUP($A220,メルマガ読み込み用!$A$2:$K$250,4,FALSE),"")</f>
        <v/>
      </c>
      <c r="E220" s="222" t="str">
        <f>IFERROR(VLOOKUP($A220,メルマガ読み込み用!$A$2:$K$250,5,FALSE),"")</f>
        <v/>
      </c>
      <c r="F220" s="222" t="str">
        <f>IFERROR(VLOOKUP($A220,メルマガ読み込み用!$A$2:$K$250,6,FALSE),"")</f>
        <v/>
      </c>
      <c r="G220" s="222" t="str">
        <f>IFERROR(VLOOKUP($A220,メルマガ読み込み用!$A$2:$L$250,12,FALSE),"")</f>
        <v/>
      </c>
      <c r="H220" s="221" t="str">
        <f>IFERROR(VLOOKUP($A220,メルマガ読み込み用!$A$2:$K$250,7,FALSE),"")</f>
        <v/>
      </c>
      <c r="I220" s="222" t="str">
        <f>IFERROR(VLOOKUP($A220,メルマガ読み込み用!$A$2:$K$250,8,FALSE),"")</f>
        <v/>
      </c>
      <c r="J220" s="223" t="str">
        <f>IFERROR(VLOOKUP($A220,メルマガ読み込み用!$A$2:$K$250,11,FALSE),"")</f>
        <v/>
      </c>
    </row>
    <row r="221" spans="1:10">
      <c r="A221" s="113">
        <v>219</v>
      </c>
      <c r="B221" s="222" t="str">
        <f>IFERROR(VLOOKUP($A221,メルマガ読み込み用!$A$2:$K$250,2,FALSE),"")</f>
        <v/>
      </c>
      <c r="C221" s="222" t="str">
        <f>IFERROR(VLOOKUP($A221,メルマガ読み込み用!$A$2:$K$250,3,FALSE),"")</f>
        <v/>
      </c>
      <c r="D221" s="222" t="str">
        <f>IFERROR(VLOOKUP($A221,メルマガ読み込み用!$A$2:$K$250,4,FALSE),"")</f>
        <v/>
      </c>
      <c r="E221" s="222" t="str">
        <f>IFERROR(VLOOKUP($A221,メルマガ読み込み用!$A$2:$K$250,5,FALSE),"")</f>
        <v/>
      </c>
      <c r="F221" s="222" t="str">
        <f>IFERROR(VLOOKUP($A221,メルマガ読み込み用!$A$2:$K$250,6,FALSE),"")</f>
        <v/>
      </c>
      <c r="G221" s="222" t="str">
        <f>IFERROR(VLOOKUP($A221,メルマガ読み込み用!$A$2:$L$250,12,FALSE),"")</f>
        <v/>
      </c>
      <c r="H221" s="221" t="str">
        <f>IFERROR(VLOOKUP($A221,メルマガ読み込み用!$A$2:$K$250,7,FALSE),"")</f>
        <v/>
      </c>
      <c r="I221" s="222" t="str">
        <f>IFERROR(VLOOKUP($A221,メルマガ読み込み用!$A$2:$K$250,8,FALSE),"")</f>
        <v/>
      </c>
      <c r="J221" s="223" t="str">
        <f>IFERROR(VLOOKUP($A221,メルマガ読み込み用!$A$2:$K$250,11,FALSE),"")</f>
        <v/>
      </c>
    </row>
    <row r="222" spans="1:10">
      <c r="A222" s="113">
        <v>220</v>
      </c>
      <c r="B222" s="222" t="str">
        <f>IFERROR(VLOOKUP($A222,メルマガ読み込み用!$A$2:$K$250,2,FALSE),"")</f>
        <v/>
      </c>
      <c r="C222" s="222" t="str">
        <f>IFERROR(VLOOKUP($A222,メルマガ読み込み用!$A$2:$K$250,3,FALSE),"")</f>
        <v/>
      </c>
      <c r="D222" s="222" t="str">
        <f>IFERROR(VLOOKUP($A222,メルマガ読み込み用!$A$2:$K$250,4,FALSE),"")</f>
        <v/>
      </c>
      <c r="E222" s="222" t="str">
        <f>IFERROR(VLOOKUP($A222,メルマガ読み込み用!$A$2:$K$250,5,FALSE),"")</f>
        <v/>
      </c>
      <c r="F222" s="222" t="str">
        <f>IFERROR(VLOOKUP($A222,メルマガ読み込み用!$A$2:$K$250,6,FALSE),"")</f>
        <v/>
      </c>
      <c r="G222" s="222" t="str">
        <f>IFERROR(VLOOKUP($A222,メルマガ読み込み用!$A$2:$L$250,12,FALSE),"")</f>
        <v/>
      </c>
      <c r="H222" s="221" t="str">
        <f>IFERROR(VLOOKUP($A222,メルマガ読み込み用!$A$2:$K$250,7,FALSE),"")</f>
        <v/>
      </c>
      <c r="I222" s="222" t="str">
        <f>IFERROR(VLOOKUP($A222,メルマガ読み込み用!$A$2:$K$250,8,FALSE),"")</f>
        <v/>
      </c>
      <c r="J222" s="223" t="str">
        <f>IFERROR(VLOOKUP($A222,メルマガ読み込み用!$A$2:$K$250,11,FALSE),"")</f>
        <v/>
      </c>
    </row>
    <row r="223" spans="1:10">
      <c r="A223" s="113">
        <v>221</v>
      </c>
      <c r="B223" s="222" t="str">
        <f>IFERROR(VLOOKUP($A223,メルマガ読み込み用!$A$2:$K$250,2,FALSE),"")</f>
        <v/>
      </c>
      <c r="C223" s="222" t="str">
        <f>IFERROR(VLOOKUP($A223,メルマガ読み込み用!$A$2:$K$250,3,FALSE),"")</f>
        <v/>
      </c>
      <c r="D223" s="222" t="str">
        <f>IFERROR(VLOOKUP($A223,メルマガ読み込み用!$A$2:$K$250,4,FALSE),"")</f>
        <v/>
      </c>
      <c r="E223" s="222" t="str">
        <f>IFERROR(VLOOKUP($A223,メルマガ読み込み用!$A$2:$K$250,5,FALSE),"")</f>
        <v/>
      </c>
      <c r="F223" s="222" t="str">
        <f>IFERROR(VLOOKUP($A223,メルマガ読み込み用!$A$2:$K$250,6,FALSE),"")</f>
        <v/>
      </c>
      <c r="G223" s="222" t="str">
        <f>IFERROR(VLOOKUP($A223,メルマガ読み込み用!$A$2:$L$250,12,FALSE),"")</f>
        <v/>
      </c>
      <c r="H223" s="221" t="str">
        <f>IFERROR(VLOOKUP($A223,メルマガ読み込み用!$A$2:$K$250,7,FALSE),"")</f>
        <v/>
      </c>
      <c r="I223" s="222" t="str">
        <f>IFERROR(VLOOKUP($A223,メルマガ読み込み用!$A$2:$K$250,8,FALSE),"")</f>
        <v/>
      </c>
      <c r="J223" s="223" t="str">
        <f>IFERROR(VLOOKUP($A223,メルマガ読み込み用!$A$2:$K$250,11,FALSE),"")</f>
        <v/>
      </c>
    </row>
    <row r="224" spans="1:10">
      <c r="A224" s="113">
        <v>222</v>
      </c>
      <c r="B224" s="222" t="str">
        <f>IFERROR(VLOOKUP($A224,メルマガ読み込み用!$A$2:$K$250,2,FALSE),"")</f>
        <v/>
      </c>
      <c r="C224" s="222" t="str">
        <f>IFERROR(VLOOKUP($A224,メルマガ読み込み用!$A$2:$K$250,3,FALSE),"")</f>
        <v/>
      </c>
      <c r="D224" s="222" t="str">
        <f>IFERROR(VLOOKUP($A224,メルマガ読み込み用!$A$2:$K$250,4,FALSE),"")</f>
        <v/>
      </c>
      <c r="E224" s="222" t="str">
        <f>IFERROR(VLOOKUP($A224,メルマガ読み込み用!$A$2:$K$250,5,FALSE),"")</f>
        <v/>
      </c>
      <c r="F224" s="222" t="str">
        <f>IFERROR(VLOOKUP($A224,メルマガ読み込み用!$A$2:$K$250,6,FALSE),"")</f>
        <v/>
      </c>
      <c r="G224" s="222" t="str">
        <f>IFERROR(VLOOKUP($A224,メルマガ読み込み用!$A$2:$L$250,12,FALSE),"")</f>
        <v/>
      </c>
      <c r="H224" s="221" t="str">
        <f>IFERROR(VLOOKUP($A224,メルマガ読み込み用!$A$2:$K$250,7,FALSE),"")</f>
        <v/>
      </c>
      <c r="I224" s="222" t="str">
        <f>IFERROR(VLOOKUP($A224,メルマガ読み込み用!$A$2:$K$250,8,FALSE),"")</f>
        <v/>
      </c>
      <c r="J224" s="223" t="str">
        <f>IFERROR(VLOOKUP($A224,メルマガ読み込み用!$A$2:$K$250,11,FALSE),"")</f>
        <v/>
      </c>
    </row>
    <row r="225" spans="1:10">
      <c r="A225" s="113">
        <v>223</v>
      </c>
      <c r="B225" s="222" t="str">
        <f>IFERROR(VLOOKUP($A225,メルマガ読み込み用!$A$2:$K$250,2,FALSE),"")</f>
        <v/>
      </c>
      <c r="C225" s="222" t="str">
        <f>IFERROR(VLOOKUP($A225,メルマガ読み込み用!$A$2:$K$250,3,FALSE),"")</f>
        <v/>
      </c>
      <c r="D225" s="222" t="str">
        <f>IFERROR(VLOOKUP($A225,メルマガ読み込み用!$A$2:$K$250,4,FALSE),"")</f>
        <v/>
      </c>
      <c r="E225" s="222" t="str">
        <f>IFERROR(VLOOKUP($A225,メルマガ読み込み用!$A$2:$K$250,5,FALSE),"")</f>
        <v/>
      </c>
      <c r="F225" s="222" t="str">
        <f>IFERROR(VLOOKUP($A225,メルマガ読み込み用!$A$2:$K$250,6,FALSE),"")</f>
        <v/>
      </c>
      <c r="G225" s="222" t="str">
        <f>IFERROR(VLOOKUP($A225,メルマガ読み込み用!$A$2:$L$250,12,FALSE),"")</f>
        <v/>
      </c>
      <c r="H225" s="221" t="str">
        <f>IFERROR(VLOOKUP($A225,メルマガ読み込み用!$A$2:$K$250,7,FALSE),"")</f>
        <v/>
      </c>
      <c r="I225" s="222" t="str">
        <f>IFERROR(VLOOKUP($A225,メルマガ読み込み用!$A$2:$K$250,8,FALSE),"")</f>
        <v/>
      </c>
      <c r="J225" s="223" t="str">
        <f>IFERROR(VLOOKUP($A225,メルマガ読み込み用!$A$2:$K$250,11,FALSE),"")</f>
        <v/>
      </c>
    </row>
    <row r="226" spans="1:10">
      <c r="A226" s="113">
        <v>224</v>
      </c>
      <c r="B226" s="222" t="str">
        <f>IFERROR(VLOOKUP($A226,メルマガ読み込み用!$A$2:$K$250,2,FALSE),"")</f>
        <v/>
      </c>
      <c r="C226" s="222" t="str">
        <f>IFERROR(VLOOKUP($A226,メルマガ読み込み用!$A$2:$K$250,3,FALSE),"")</f>
        <v/>
      </c>
      <c r="D226" s="222" t="str">
        <f>IFERROR(VLOOKUP($A226,メルマガ読み込み用!$A$2:$K$250,4,FALSE),"")</f>
        <v/>
      </c>
      <c r="E226" s="222" t="str">
        <f>IFERROR(VLOOKUP($A226,メルマガ読み込み用!$A$2:$K$250,5,FALSE),"")</f>
        <v/>
      </c>
      <c r="F226" s="222" t="str">
        <f>IFERROR(VLOOKUP($A226,メルマガ読み込み用!$A$2:$K$250,6,FALSE),"")</f>
        <v/>
      </c>
      <c r="G226" s="222" t="str">
        <f>IFERROR(VLOOKUP($A226,メルマガ読み込み用!$A$2:$L$250,12,FALSE),"")</f>
        <v/>
      </c>
      <c r="H226" s="221" t="str">
        <f>IFERROR(VLOOKUP($A226,メルマガ読み込み用!$A$2:$K$250,7,FALSE),"")</f>
        <v/>
      </c>
      <c r="I226" s="222" t="str">
        <f>IFERROR(VLOOKUP($A226,メルマガ読み込み用!$A$2:$K$250,8,FALSE),"")</f>
        <v/>
      </c>
      <c r="J226" s="223" t="str">
        <f>IFERROR(VLOOKUP($A226,メルマガ読み込み用!$A$2:$K$250,11,FALSE),"")</f>
        <v/>
      </c>
    </row>
    <row r="227" spans="1:10">
      <c r="A227" s="113">
        <v>225</v>
      </c>
      <c r="B227" s="222" t="str">
        <f>IFERROR(VLOOKUP($A227,メルマガ読み込み用!$A$2:$K$250,2,FALSE),"")</f>
        <v/>
      </c>
      <c r="C227" s="222" t="str">
        <f>IFERROR(VLOOKUP($A227,メルマガ読み込み用!$A$2:$K$250,3,FALSE),"")</f>
        <v/>
      </c>
      <c r="D227" s="222" t="str">
        <f>IFERROR(VLOOKUP($A227,メルマガ読み込み用!$A$2:$K$250,4,FALSE),"")</f>
        <v/>
      </c>
      <c r="E227" s="222" t="str">
        <f>IFERROR(VLOOKUP($A227,メルマガ読み込み用!$A$2:$K$250,5,FALSE),"")</f>
        <v/>
      </c>
      <c r="F227" s="222" t="str">
        <f>IFERROR(VLOOKUP($A227,メルマガ読み込み用!$A$2:$K$250,6,FALSE),"")</f>
        <v/>
      </c>
      <c r="G227" s="222" t="str">
        <f>IFERROR(VLOOKUP($A227,メルマガ読み込み用!$A$2:$L$250,12,FALSE),"")</f>
        <v/>
      </c>
      <c r="H227" s="221" t="str">
        <f>IFERROR(VLOOKUP($A227,メルマガ読み込み用!$A$2:$K$250,7,FALSE),"")</f>
        <v/>
      </c>
      <c r="I227" s="222" t="str">
        <f>IFERROR(VLOOKUP($A227,メルマガ読み込み用!$A$2:$K$250,8,FALSE),"")</f>
        <v/>
      </c>
      <c r="J227" s="223" t="str">
        <f>IFERROR(VLOOKUP($A227,メルマガ読み込み用!$A$2:$K$250,11,FALSE),"")</f>
        <v/>
      </c>
    </row>
    <row r="228" spans="1:10">
      <c r="A228" s="113">
        <v>226</v>
      </c>
      <c r="B228" s="222" t="str">
        <f>IFERROR(VLOOKUP($A228,メルマガ読み込み用!$A$2:$K$250,2,FALSE),"")</f>
        <v/>
      </c>
      <c r="C228" s="222" t="str">
        <f>IFERROR(VLOOKUP($A228,メルマガ読み込み用!$A$2:$K$250,3,FALSE),"")</f>
        <v/>
      </c>
      <c r="D228" s="222" t="str">
        <f>IFERROR(VLOOKUP($A228,メルマガ読み込み用!$A$2:$K$250,4,FALSE),"")</f>
        <v/>
      </c>
      <c r="E228" s="222" t="str">
        <f>IFERROR(VLOOKUP($A228,メルマガ読み込み用!$A$2:$K$250,5,FALSE),"")</f>
        <v/>
      </c>
      <c r="F228" s="222" t="str">
        <f>IFERROR(VLOOKUP($A228,メルマガ読み込み用!$A$2:$K$250,6,FALSE),"")</f>
        <v/>
      </c>
      <c r="G228" s="222" t="str">
        <f>IFERROR(VLOOKUP($A228,メルマガ読み込み用!$A$2:$L$250,12,FALSE),"")</f>
        <v/>
      </c>
      <c r="H228" s="221" t="str">
        <f>IFERROR(VLOOKUP($A228,メルマガ読み込み用!$A$2:$K$250,7,FALSE),"")</f>
        <v/>
      </c>
      <c r="I228" s="222" t="str">
        <f>IFERROR(VLOOKUP($A228,メルマガ読み込み用!$A$2:$K$250,8,FALSE),"")</f>
        <v/>
      </c>
      <c r="J228" s="223" t="str">
        <f>IFERROR(VLOOKUP($A228,メルマガ読み込み用!$A$2:$K$250,11,FALSE),"")</f>
        <v/>
      </c>
    </row>
    <row r="229" spans="1:10">
      <c r="A229" s="113">
        <v>227</v>
      </c>
      <c r="B229" s="222" t="str">
        <f>IFERROR(VLOOKUP($A229,メルマガ読み込み用!$A$2:$K$250,2,FALSE),"")</f>
        <v/>
      </c>
      <c r="C229" s="222" t="str">
        <f>IFERROR(VLOOKUP($A229,メルマガ読み込み用!$A$2:$K$250,3,FALSE),"")</f>
        <v/>
      </c>
      <c r="D229" s="222" t="str">
        <f>IFERROR(VLOOKUP($A229,メルマガ読み込み用!$A$2:$K$250,4,FALSE),"")</f>
        <v/>
      </c>
      <c r="E229" s="222" t="str">
        <f>IFERROR(VLOOKUP($A229,メルマガ読み込み用!$A$2:$K$250,5,FALSE),"")</f>
        <v/>
      </c>
      <c r="F229" s="222" t="str">
        <f>IFERROR(VLOOKUP($A229,メルマガ読み込み用!$A$2:$K$250,6,FALSE),"")</f>
        <v/>
      </c>
      <c r="G229" s="222" t="str">
        <f>IFERROR(VLOOKUP($A229,メルマガ読み込み用!$A$2:$L$250,12,FALSE),"")</f>
        <v/>
      </c>
      <c r="H229" s="221" t="str">
        <f>IFERROR(VLOOKUP($A229,メルマガ読み込み用!$A$2:$K$250,7,FALSE),"")</f>
        <v/>
      </c>
      <c r="I229" s="222" t="str">
        <f>IFERROR(VLOOKUP($A229,メルマガ読み込み用!$A$2:$K$250,8,FALSE),"")</f>
        <v/>
      </c>
      <c r="J229" s="223" t="str">
        <f>IFERROR(VLOOKUP($A229,メルマガ読み込み用!$A$2:$K$250,11,FALSE),"")</f>
        <v/>
      </c>
    </row>
    <row r="230" spans="1:10">
      <c r="A230" s="113">
        <v>228</v>
      </c>
      <c r="B230" s="222" t="str">
        <f>IFERROR(VLOOKUP($A230,メルマガ読み込み用!$A$2:$K$250,2,FALSE),"")</f>
        <v/>
      </c>
      <c r="C230" s="222" t="str">
        <f>IFERROR(VLOOKUP($A230,メルマガ読み込み用!$A$2:$K$250,3,FALSE),"")</f>
        <v/>
      </c>
      <c r="D230" s="222" t="str">
        <f>IFERROR(VLOOKUP($A230,メルマガ読み込み用!$A$2:$K$250,4,FALSE),"")</f>
        <v/>
      </c>
      <c r="E230" s="222" t="str">
        <f>IFERROR(VLOOKUP($A230,メルマガ読み込み用!$A$2:$K$250,5,FALSE),"")</f>
        <v/>
      </c>
      <c r="F230" s="222" t="str">
        <f>IFERROR(VLOOKUP($A230,メルマガ読み込み用!$A$2:$K$250,6,FALSE),"")</f>
        <v/>
      </c>
      <c r="G230" s="222" t="str">
        <f>IFERROR(VLOOKUP($A230,メルマガ読み込み用!$A$2:$L$250,12,FALSE),"")</f>
        <v/>
      </c>
      <c r="H230" s="221" t="str">
        <f>IFERROR(VLOOKUP($A230,メルマガ読み込み用!$A$2:$K$250,7,FALSE),"")</f>
        <v/>
      </c>
      <c r="I230" s="222" t="str">
        <f>IFERROR(VLOOKUP($A230,メルマガ読み込み用!$A$2:$K$250,8,FALSE),"")</f>
        <v/>
      </c>
      <c r="J230" s="223" t="str">
        <f>IFERROR(VLOOKUP($A230,メルマガ読み込み用!$A$2:$K$250,11,FALSE),"")</f>
        <v/>
      </c>
    </row>
    <row r="231" spans="1:10">
      <c r="A231" s="113">
        <v>229</v>
      </c>
      <c r="B231" s="222" t="str">
        <f>IFERROR(VLOOKUP($A231,メルマガ読み込み用!$A$2:$K$250,2,FALSE),"")</f>
        <v/>
      </c>
      <c r="C231" s="222" t="str">
        <f>IFERROR(VLOOKUP($A231,メルマガ読み込み用!$A$2:$K$250,3,FALSE),"")</f>
        <v/>
      </c>
      <c r="D231" s="222" t="str">
        <f>IFERROR(VLOOKUP($A231,メルマガ読み込み用!$A$2:$K$250,4,FALSE),"")</f>
        <v/>
      </c>
      <c r="E231" s="222" t="str">
        <f>IFERROR(VLOOKUP($A231,メルマガ読み込み用!$A$2:$K$250,5,FALSE),"")</f>
        <v/>
      </c>
      <c r="F231" s="222" t="str">
        <f>IFERROR(VLOOKUP($A231,メルマガ読み込み用!$A$2:$K$250,6,FALSE),"")</f>
        <v/>
      </c>
      <c r="G231" s="222" t="str">
        <f>IFERROR(VLOOKUP($A231,メルマガ読み込み用!$A$2:$L$250,12,FALSE),"")</f>
        <v/>
      </c>
      <c r="H231" s="221" t="str">
        <f>IFERROR(VLOOKUP($A231,メルマガ読み込み用!$A$2:$K$250,7,FALSE),"")</f>
        <v/>
      </c>
      <c r="I231" s="222" t="str">
        <f>IFERROR(VLOOKUP($A231,メルマガ読み込み用!$A$2:$K$250,8,FALSE),"")</f>
        <v/>
      </c>
      <c r="J231" s="223" t="str">
        <f>IFERROR(VLOOKUP($A231,メルマガ読み込み用!$A$2:$K$250,11,FALSE),"")</f>
        <v/>
      </c>
    </row>
    <row r="232" spans="1:10">
      <c r="A232" s="113">
        <v>230</v>
      </c>
      <c r="B232" s="222" t="str">
        <f>IFERROR(VLOOKUP($A232,メルマガ読み込み用!$A$2:$K$250,2,FALSE),"")</f>
        <v/>
      </c>
      <c r="C232" s="222" t="str">
        <f>IFERROR(VLOOKUP($A232,メルマガ読み込み用!$A$2:$K$250,3,FALSE),"")</f>
        <v/>
      </c>
      <c r="D232" s="222" t="str">
        <f>IFERROR(VLOOKUP($A232,メルマガ読み込み用!$A$2:$K$250,4,FALSE),"")</f>
        <v/>
      </c>
      <c r="E232" s="222" t="str">
        <f>IFERROR(VLOOKUP($A232,メルマガ読み込み用!$A$2:$K$250,5,FALSE),"")</f>
        <v/>
      </c>
      <c r="F232" s="222" t="str">
        <f>IFERROR(VLOOKUP($A232,メルマガ読み込み用!$A$2:$K$250,6,FALSE),"")</f>
        <v/>
      </c>
      <c r="G232" s="222" t="str">
        <f>IFERROR(VLOOKUP($A232,メルマガ読み込み用!$A$2:$L$250,12,FALSE),"")</f>
        <v/>
      </c>
      <c r="H232" s="221" t="str">
        <f>IFERROR(VLOOKUP($A232,メルマガ読み込み用!$A$2:$K$250,7,FALSE),"")</f>
        <v/>
      </c>
      <c r="I232" s="222" t="str">
        <f>IFERROR(VLOOKUP($A232,メルマガ読み込み用!$A$2:$K$250,8,FALSE),"")</f>
        <v/>
      </c>
      <c r="J232" s="223" t="str">
        <f>IFERROR(VLOOKUP($A232,メルマガ読み込み用!$A$2:$K$250,11,FALSE),"")</f>
        <v/>
      </c>
    </row>
    <row r="233" spans="1:10">
      <c r="A233" s="113">
        <v>231</v>
      </c>
      <c r="B233" s="222" t="str">
        <f>IFERROR(VLOOKUP($A233,メルマガ読み込み用!$A$2:$K$250,2,FALSE),"")</f>
        <v/>
      </c>
      <c r="C233" s="222" t="str">
        <f>IFERROR(VLOOKUP($A233,メルマガ読み込み用!$A$2:$K$250,3,FALSE),"")</f>
        <v/>
      </c>
      <c r="D233" s="222" t="str">
        <f>IFERROR(VLOOKUP($A233,メルマガ読み込み用!$A$2:$K$250,4,FALSE),"")</f>
        <v/>
      </c>
      <c r="E233" s="222" t="str">
        <f>IFERROR(VLOOKUP($A233,メルマガ読み込み用!$A$2:$K$250,5,FALSE),"")</f>
        <v/>
      </c>
      <c r="F233" s="222" t="str">
        <f>IFERROR(VLOOKUP($A233,メルマガ読み込み用!$A$2:$K$250,6,FALSE),"")</f>
        <v/>
      </c>
      <c r="G233" s="222" t="str">
        <f>IFERROR(VLOOKUP($A233,メルマガ読み込み用!$A$2:$L$250,12,FALSE),"")</f>
        <v/>
      </c>
      <c r="H233" s="221" t="str">
        <f>IFERROR(VLOOKUP($A233,メルマガ読み込み用!$A$2:$K$250,7,FALSE),"")</f>
        <v/>
      </c>
      <c r="I233" s="222" t="str">
        <f>IFERROR(VLOOKUP($A233,メルマガ読み込み用!$A$2:$K$250,8,FALSE),"")</f>
        <v/>
      </c>
      <c r="J233" s="223" t="str">
        <f>IFERROR(VLOOKUP($A233,メルマガ読み込み用!$A$2:$K$250,11,FALSE),"")</f>
        <v/>
      </c>
    </row>
    <row r="234" spans="1:10">
      <c r="A234" s="113">
        <v>232</v>
      </c>
      <c r="B234" s="222" t="str">
        <f>IFERROR(VLOOKUP($A234,メルマガ読み込み用!$A$2:$K$250,2,FALSE),"")</f>
        <v/>
      </c>
      <c r="C234" s="222" t="str">
        <f>IFERROR(VLOOKUP($A234,メルマガ読み込み用!$A$2:$K$250,3,FALSE),"")</f>
        <v/>
      </c>
      <c r="D234" s="222" t="str">
        <f>IFERROR(VLOOKUP($A234,メルマガ読み込み用!$A$2:$K$250,4,FALSE),"")</f>
        <v/>
      </c>
      <c r="E234" s="222" t="str">
        <f>IFERROR(VLOOKUP($A234,メルマガ読み込み用!$A$2:$K$250,5,FALSE),"")</f>
        <v/>
      </c>
      <c r="F234" s="222" t="str">
        <f>IFERROR(VLOOKUP($A234,メルマガ読み込み用!$A$2:$K$250,6,FALSE),"")</f>
        <v/>
      </c>
      <c r="G234" s="222" t="str">
        <f>IFERROR(VLOOKUP($A234,メルマガ読み込み用!$A$2:$L$250,12,FALSE),"")</f>
        <v/>
      </c>
      <c r="H234" s="221" t="str">
        <f>IFERROR(VLOOKUP($A234,メルマガ読み込み用!$A$2:$K$250,7,FALSE),"")</f>
        <v/>
      </c>
      <c r="I234" s="222" t="str">
        <f>IFERROR(VLOOKUP($A234,メルマガ読み込み用!$A$2:$K$250,8,FALSE),"")</f>
        <v/>
      </c>
      <c r="J234" s="223" t="str">
        <f>IFERROR(VLOOKUP($A234,メルマガ読み込み用!$A$2:$K$250,11,FALSE),"")</f>
        <v/>
      </c>
    </row>
    <row r="235" spans="1:10">
      <c r="A235" s="113">
        <v>233</v>
      </c>
      <c r="B235" s="222" t="str">
        <f>IFERROR(VLOOKUP($A235,メルマガ読み込み用!$A$2:$K$250,2,FALSE),"")</f>
        <v/>
      </c>
      <c r="C235" s="222" t="str">
        <f>IFERROR(VLOOKUP($A235,メルマガ読み込み用!$A$2:$K$250,3,FALSE),"")</f>
        <v/>
      </c>
      <c r="D235" s="222" t="str">
        <f>IFERROR(VLOOKUP($A235,メルマガ読み込み用!$A$2:$K$250,4,FALSE),"")</f>
        <v/>
      </c>
      <c r="E235" s="222" t="str">
        <f>IFERROR(VLOOKUP($A235,メルマガ読み込み用!$A$2:$K$250,5,FALSE),"")</f>
        <v/>
      </c>
      <c r="F235" s="222" t="str">
        <f>IFERROR(VLOOKUP($A235,メルマガ読み込み用!$A$2:$K$250,6,FALSE),"")</f>
        <v/>
      </c>
      <c r="G235" s="222" t="str">
        <f>IFERROR(VLOOKUP($A235,メルマガ読み込み用!$A$2:$L$250,12,FALSE),"")</f>
        <v/>
      </c>
      <c r="H235" s="221" t="str">
        <f>IFERROR(VLOOKUP($A235,メルマガ読み込み用!$A$2:$K$250,7,FALSE),"")</f>
        <v/>
      </c>
      <c r="I235" s="222" t="str">
        <f>IFERROR(VLOOKUP($A235,メルマガ読み込み用!$A$2:$K$250,8,FALSE),"")</f>
        <v/>
      </c>
      <c r="J235" s="223" t="str">
        <f>IFERROR(VLOOKUP($A235,メルマガ読み込み用!$A$2:$K$250,11,FALSE),"")</f>
        <v/>
      </c>
    </row>
    <row r="236" spans="1:10">
      <c r="A236" s="113">
        <v>234</v>
      </c>
      <c r="B236" s="222" t="str">
        <f>IFERROR(VLOOKUP($A236,メルマガ読み込み用!$A$2:$K$250,2,FALSE),"")</f>
        <v/>
      </c>
      <c r="C236" s="222" t="str">
        <f>IFERROR(VLOOKUP($A236,メルマガ読み込み用!$A$2:$K$250,3,FALSE),"")</f>
        <v/>
      </c>
      <c r="D236" s="222" t="str">
        <f>IFERROR(VLOOKUP($A236,メルマガ読み込み用!$A$2:$K$250,4,FALSE),"")</f>
        <v/>
      </c>
      <c r="E236" s="222" t="str">
        <f>IFERROR(VLOOKUP($A236,メルマガ読み込み用!$A$2:$K$250,5,FALSE),"")</f>
        <v/>
      </c>
      <c r="F236" s="222" t="str">
        <f>IFERROR(VLOOKUP($A236,メルマガ読み込み用!$A$2:$K$250,6,FALSE),"")</f>
        <v/>
      </c>
      <c r="G236" s="222" t="str">
        <f>IFERROR(VLOOKUP($A236,メルマガ読み込み用!$A$2:$L$250,12,FALSE),"")</f>
        <v/>
      </c>
      <c r="H236" s="221" t="str">
        <f>IFERROR(VLOOKUP($A236,メルマガ読み込み用!$A$2:$K$250,7,FALSE),"")</f>
        <v/>
      </c>
      <c r="I236" s="222" t="str">
        <f>IFERROR(VLOOKUP($A236,メルマガ読み込み用!$A$2:$K$250,8,FALSE),"")</f>
        <v/>
      </c>
      <c r="J236" s="223" t="str">
        <f>IFERROR(VLOOKUP($A236,メルマガ読み込み用!$A$2:$K$250,11,FALSE),"")</f>
        <v/>
      </c>
    </row>
    <row r="237" spans="1:10">
      <c r="A237" s="113">
        <v>235</v>
      </c>
      <c r="B237" s="222" t="str">
        <f>IFERROR(VLOOKUP($A237,メルマガ読み込み用!$A$2:$K$250,2,FALSE),"")</f>
        <v/>
      </c>
      <c r="C237" s="222" t="str">
        <f>IFERROR(VLOOKUP($A237,メルマガ読み込み用!$A$2:$K$250,3,FALSE),"")</f>
        <v/>
      </c>
      <c r="D237" s="222" t="str">
        <f>IFERROR(VLOOKUP($A237,メルマガ読み込み用!$A$2:$K$250,4,FALSE),"")</f>
        <v/>
      </c>
      <c r="E237" s="222" t="str">
        <f>IFERROR(VLOOKUP($A237,メルマガ読み込み用!$A$2:$K$250,5,FALSE),"")</f>
        <v/>
      </c>
      <c r="F237" s="222" t="str">
        <f>IFERROR(VLOOKUP($A237,メルマガ読み込み用!$A$2:$K$250,6,FALSE),"")</f>
        <v/>
      </c>
      <c r="G237" s="222" t="str">
        <f>IFERROR(VLOOKUP($A237,メルマガ読み込み用!$A$2:$L$250,12,FALSE),"")</f>
        <v/>
      </c>
      <c r="H237" s="221" t="str">
        <f>IFERROR(VLOOKUP($A237,メルマガ読み込み用!$A$2:$K$250,7,FALSE),"")</f>
        <v/>
      </c>
      <c r="I237" s="222" t="str">
        <f>IFERROR(VLOOKUP($A237,メルマガ読み込み用!$A$2:$K$250,8,FALSE),"")</f>
        <v/>
      </c>
      <c r="J237" s="223" t="str">
        <f>IFERROR(VLOOKUP($A237,メルマガ読み込み用!$A$2:$K$250,11,FALSE),"")</f>
        <v/>
      </c>
    </row>
    <row r="238" spans="1:10">
      <c r="A238" s="113">
        <v>236</v>
      </c>
      <c r="B238" s="222" t="str">
        <f>IFERROR(VLOOKUP($A238,メルマガ読み込み用!$A$2:$K$250,2,FALSE),"")</f>
        <v/>
      </c>
      <c r="C238" s="222" t="str">
        <f>IFERROR(VLOOKUP($A238,メルマガ読み込み用!$A$2:$K$250,3,FALSE),"")</f>
        <v/>
      </c>
      <c r="D238" s="222" t="str">
        <f>IFERROR(VLOOKUP($A238,メルマガ読み込み用!$A$2:$K$250,4,FALSE),"")</f>
        <v/>
      </c>
      <c r="E238" s="222" t="str">
        <f>IFERROR(VLOOKUP($A238,メルマガ読み込み用!$A$2:$K$250,5,FALSE),"")</f>
        <v/>
      </c>
      <c r="F238" s="222" t="str">
        <f>IFERROR(VLOOKUP($A238,メルマガ読み込み用!$A$2:$K$250,6,FALSE),"")</f>
        <v/>
      </c>
      <c r="G238" s="222" t="str">
        <f>IFERROR(VLOOKUP($A238,メルマガ読み込み用!$A$2:$L$250,12,FALSE),"")</f>
        <v/>
      </c>
      <c r="H238" s="221" t="str">
        <f>IFERROR(VLOOKUP($A238,メルマガ読み込み用!$A$2:$K$250,7,FALSE),"")</f>
        <v/>
      </c>
      <c r="I238" s="222" t="str">
        <f>IFERROR(VLOOKUP($A238,メルマガ読み込み用!$A$2:$K$250,8,FALSE),"")</f>
        <v/>
      </c>
      <c r="J238" s="223" t="str">
        <f>IFERROR(VLOOKUP($A238,メルマガ読み込み用!$A$2:$K$250,11,FALSE),"")</f>
        <v/>
      </c>
    </row>
    <row r="239" spans="1:10">
      <c r="A239" s="113">
        <v>237</v>
      </c>
      <c r="B239" s="222" t="str">
        <f>IFERROR(VLOOKUP($A239,メルマガ読み込み用!$A$2:$K$250,2,FALSE),"")</f>
        <v/>
      </c>
      <c r="C239" s="222" t="str">
        <f>IFERROR(VLOOKUP($A239,メルマガ読み込み用!$A$2:$K$250,3,FALSE),"")</f>
        <v/>
      </c>
      <c r="D239" s="222" t="str">
        <f>IFERROR(VLOOKUP($A239,メルマガ読み込み用!$A$2:$K$250,4,FALSE),"")</f>
        <v/>
      </c>
      <c r="E239" s="222" t="str">
        <f>IFERROR(VLOOKUP($A239,メルマガ読み込み用!$A$2:$K$250,5,FALSE),"")</f>
        <v/>
      </c>
      <c r="F239" s="222" t="str">
        <f>IFERROR(VLOOKUP($A239,メルマガ読み込み用!$A$2:$K$250,6,FALSE),"")</f>
        <v/>
      </c>
      <c r="G239" s="222" t="str">
        <f>IFERROR(VLOOKUP($A239,メルマガ読み込み用!$A$2:$L$250,12,FALSE),"")</f>
        <v/>
      </c>
      <c r="H239" s="221" t="str">
        <f>IFERROR(VLOOKUP($A239,メルマガ読み込み用!$A$2:$K$250,7,FALSE),"")</f>
        <v/>
      </c>
      <c r="I239" s="222" t="str">
        <f>IFERROR(VLOOKUP($A239,メルマガ読み込み用!$A$2:$K$250,8,FALSE),"")</f>
        <v/>
      </c>
      <c r="J239" s="223" t="str">
        <f>IFERROR(VLOOKUP($A239,メルマガ読み込み用!$A$2:$K$250,11,FALSE),"")</f>
        <v/>
      </c>
    </row>
    <row r="240" spans="1:10">
      <c r="A240" s="113">
        <v>238</v>
      </c>
      <c r="B240" s="222" t="str">
        <f>IFERROR(VLOOKUP($A240,メルマガ読み込み用!$A$2:$K$250,2,FALSE),"")</f>
        <v/>
      </c>
      <c r="C240" s="222" t="str">
        <f>IFERROR(VLOOKUP($A240,メルマガ読み込み用!$A$2:$K$250,3,FALSE),"")</f>
        <v/>
      </c>
      <c r="D240" s="222" t="str">
        <f>IFERROR(VLOOKUP($A240,メルマガ読み込み用!$A$2:$K$250,4,FALSE),"")</f>
        <v/>
      </c>
      <c r="E240" s="222" t="str">
        <f>IFERROR(VLOOKUP($A240,メルマガ読み込み用!$A$2:$K$250,5,FALSE),"")</f>
        <v/>
      </c>
      <c r="F240" s="222" t="str">
        <f>IFERROR(VLOOKUP($A240,メルマガ読み込み用!$A$2:$K$250,6,FALSE),"")</f>
        <v/>
      </c>
      <c r="G240" s="222" t="str">
        <f>IFERROR(VLOOKUP($A240,メルマガ読み込み用!$A$2:$L$250,12,FALSE),"")</f>
        <v/>
      </c>
      <c r="H240" s="221" t="str">
        <f>IFERROR(VLOOKUP($A240,メルマガ読み込み用!$A$2:$K$250,7,FALSE),"")</f>
        <v/>
      </c>
      <c r="I240" s="222" t="str">
        <f>IFERROR(VLOOKUP($A240,メルマガ読み込み用!$A$2:$K$250,8,FALSE),"")</f>
        <v/>
      </c>
      <c r="J240" s="223" t="str">
        <f>IFERROR(VLOOKUP($A240,メルマガ読み込み用!$A$2:$K$250,11,FALSE),"")</f>
        <v/>
      </c>
    </row>
    <row r="241" spans="1:10">
      <c r="A241" s="113">
        <v>239</v>
      </c>
      <c r="B241" s="222" t="str">
        <f>IFERROR(VLOOKUP($A241,メルマガ読み込み用!$A$2:$K$250,2,FALSE),"")</f>
        <v/>
      </c>
      <c r="C241" s="222" t="str">
        <f>IFERROR(VLOOKUP($A241,メルマガ読み込み用!$A$2:$K$250,3,FALSE),"")</f>
        <v/>
      </c>
      <c r="D241" s="222" t="str">
        <f>IFERROR(VLOOKUP($A241,メルマガ読み込み用!$A$2:$K$250,4,FALSE),"")</f>
        <v/>
      </c>
      <c r="E241" s="222" t="str">
        <f>IFERROR(VLOOKUP($A241,メルマガ読み込み用!$A$2:$K$250,5,FALSE),"")</f>
        <v/>
      </c>
      <c r="F241" s="222" t="str">
        <f>IFERROR(VLOOKUP($A241,メルマガ読み込み用!$A$2:$K$250,6,FALSE),"")</f>
        <v/>
      </c>
      <c r="G241" s="222" t="str">
        <f>IFERROR(VLOOKUP($A241,メルマガ読み込み用!$A$2:$L$250,12,FALSE),"")</f>
        <v/>
      </c>
      <c r="H241" s="221" t="str">
        <f>IFERROR(VLOOKUP($A241,メルマガ読み込み用!$A$2:$K$250,7,FALSE),"")</f>
        <v/>
      </c>
      <c r="I241" s="222" t="str">
        <f>IFERROR(VLOOKUP($A241,メルマガ読み込み用!$A$2:$K$250,8,FALSE),"")</f>
        <v/>
      </c>
      <c r="J241" s="223" t="str">
        <f>IFERROR(VLOOKUP($A241,メルマガ読み込み用!$A$2:$K$250,11,FALSE),"")</f>
        <v/>
      </c>
    </row>
    <row r="242" spans="1:10">
      <c r="A242" s="113">
        <v>240</v>
      </c>
      <c r="B242" s="222" t="str">
        <f>IFERROR(VLOOKUP($A242,メルマガ読み込み用!$A$2:$K$250,2,FALSE),"")</f>
        <v/>
      </c>
      <c r="C242" s="222" t="str">
        <f>IFERROR(VLOOKUP($A242,メルマガ読み込み用!$A$2:$K$250,3,FALSE),"")</f>
        <v/>
      </c>
      <c r="D242" s="222" t="str">
        <f>IFERROR(VLOOKUP($A242,メルマガ読み込み用!$A$2:$K$250,4,FALSE),"")</f>
        <v/>
      </c>
      <c r="E242" s="222" t="str">
        <f>IFERROR(VLOOKUP($A242,メルマガ読み込み用!$A$2:$K$250,5,FALSE),"")</f>
        <v/>
      </c>
      <c r="F242" s="222" t="str">
        <f>IFERROR(VLOOKUP($A242,メルマガ読み込み用!$A$2:$K$250,6,FALSE),"")</f>
        <v/>
      </c>
      <c r="G242" s="222" t="str">
        <f>IFERROR(VLOOKUP($A242,メルマガ読み込み用!$A$2:$L$250,12,FALSE),"")</f>
        <v/>
      </c>
      <c r="H242" s="221" t="str">
        <f>IFERROR(VLOOKUP($A242,メルマガ読み込み用!$A$2:$K$250,7,FALSE),"")</f>
        <v/>
      </c>
      <c r="I242" s="222" t="str">
        <f>IFERROR(VLOOKUP($A242,メルマガ読み込み用!$A$2:$K$250,8,FALSE),"")</f>
        <v/>
      </c>
      <c r="J242" s="223" t="str">
        <f>IFERROR(VLOOKUP($A242,メルマガ読み込み用!$A$2:$K$250,11,FALSE),"")</f>
        <v/>
      </c>
    </row>
    <row r="243" spans="1:10">
      <c r="A243" s="113">
        <v>241</v>
      </c>
      <c r="B243" s="222" t="str">
        <f>IFERROR(VLOOKUP($A243,メルマガ読み込み用!$A$2:$K$250,2,FALSE),"")</f>
        <v/>
      </c>
      <c r="C243" s="222" t="str">
        <f>IFERROR(VLOOKUP($A243,メルマガ読み込み用!$A$2:$K$250,3,FALSE),"")</f>
        <v/>
      </c>
      <c r="D243" s="222" t="str">
        <f>IFERROR(VLOOKUP($A243,メルマガ読み込み用!$A$2:$K$250,4,FALSE),"")</f>
        <v/>
      </c>
      <c r="E243" s="222" t="str">
        <f>IFERROR(VLOOKUP($A243,メルマガ読み込み用!$A$2:$K$250,5,FALSE),"")</f>
        <v/>
      </c>
      <c r="F243" s="222" t="str">
        <f>IFERROR(VLOOKUP($A243,メルマガ読み込み用!$A$2:$K$250,6,FALSE),"")</f>
        <v/>
      </c>
      <c r="G243" s="222" t="str">
        <f>IFERROR(VLOOKUP($A243,メルマガ読み込み用!$A$2:$L$250,12,FALSE),"")</f>
        <v/>
      </c>
      <c r="H243" s="221" t="str">
        <f>IFERROR(VLOOKUP($A243,メルマガ読み込み用!$A$2:$K$250,7,FALSE),"")</f>
        <v/>
      </c>
      <c r="I243" s="222" t="str">
        <f>IFERROR(VLOOKUP($A243,メルマガ読み込み用!$A$2:$K$250,8,FALSE),"")</f>
        <v/>
      </c>
      <c r="J243" s="223" t="str">
        <f>IFERROR(VLOOKUP($A243,メルマガ読み込み用!$A$2:$K$250,11,FALSE),"")</f>
        <v/>
      </c>
    </row>
    <row r="244" spans="1:10">
      <c r="A244" s="113">
        <v>242</v>
      </c>
      <c r="B244" s="222" t="str">
        <f>IFERROR(VLOOKUP($A244,メルマガ読み込み用!$A$2:$K$250,2,FALSE),"")</f>
        <v/>
      </c>
      <c r="C244" s="222" t="str">
        <f>IFERROR(VLOOKUP($A244,メルマガ読み込み用!$A$2:$K$250,3,FALSE),"")</f>
        <v/>
      </c>
      <c r="D244" s="222" t="str">
        <f>IFERROR(VLOOKUP($A244,メルマガ読み込み用!$A$2:$K$250,4,FALSE),"")</f>
        <v/>
      </c>
      <c r="E244" s="222" t="str">
        <f>IFERROR(VLOOKUP($A244,メルマガ読み込み用!$A$2:$K$250,5,FALSE),"")</f>
        <v/>
      </c>
      <c r="F244" s="222" t="str">
        <f>IFERROR(VLOOKUP($A244,メルマガ読み込み用!$A$2:$K$250,6,FALSE),"")</f>
        <v/>
      </c>
      <c r="G244" s="222" t="str">
        <f>IFERROR(VLOOKUP($A244,メルマガ読み込み用!$A$2:$L$250,12,FALSE),"")</f>
        <v/>
      </c>
      <c r="H244" s="221" t="str">
        <f>IFERROR(VLOOKUP($A244,メルマガ読み込み用!$A$2:$K$250,7,FALSE),"")</f>
        <v/>
      </c>
      <c r="I244" s="222" t="str">
        <f>IFERROR(VLOOKUP($A244,メルマガ読み込み用!$A$2:$K$250,8,FALSE),"")</f>
        <v/>
      </c>
      <c r="J244" s="223" t="str">
        <f>IFERROR(VLOOKUP($A244,メルマガ読み込み用!$A$2:$K$250,11,FALSE),"")</f>
        <v/>
      </c>
    </row>
    <row r="245" spans="1:10">
      <c r="A245" s="113">
        <v>243</v>
      </c>
      <c r="B245" s="222" t="str">
        <f>IFERROR(VLOOKUP($A245,メルマガ読み込み用!$A$2:$K$250,2,FALSE),"")</f>
        <v/>
      </c>
      <c r="C245" s="222" t="str">
        <f>IFERROR(VLOOKUP($A245,メルマガ読み込み用!$A$2:$K$250,3,FALSE),"")</f>
        <v/>
      </c>
      <c r="D245" s="222" t="str">
        <f>IFERROR(VLOOKUP($A245,メルマガ読み込み用!$A$2:$K$250,4,FALSE),"")</f>
        <v/>
      </c>
      <c r="E245" s="222" t="str">
        <f>IFERROR(VLOOKUP($A245,メルマガ読み込み用!$A$2:$K$250,5,FALSE),"")</f>
        <v/>
      </c>
      <c r="F245" s="222" t="str">
        <f>IFERROR(VLOOKUP($A245,メルマガ読み込み用!$A$2:$K$250,6,FALSE),"")</f>
        <v/>
      </c>
      <c r="G245" s="222" t="str">
        <f>IFERROR(VLOOKUP($A245,メルマガ読み込み用!$A$2:$L$250,12,FALSE),"")</f>
        <v/>
      </c>
      <c r="H245" s="221" t="str">
        <f>IFERROR(VLOOKUP($A245,メルマガ読み込み用!$A$2:$K$250,7,FALSE),"")</f>
        <v/>
      </c>
      <c r="I245" s="222" t="str">
        <f>IFERROR(VLOOKUP($A245,メルマガ読み込み用!$A$2:$K$250,8,FALSE),"")</f>
        <v/>
      </c>
      <c r="J245" s="223" t="str">
        <f>IFERROR(VLOOKUP($A245,メルマガ読み込み用!$A$2:$K$250,11,FALSE),"")</f>
        <v/>
      </c>
    </row>
    <row r="246" spans="1:10">
      <c r="A246" s="113">
        <v>244</v>
      </c>
      <c r="B246" s="222" t="str">
        <f>IFERROR(VLOOKUP($A246,メルマガ読み込み用!$A$2:$K$250,2,FALSE),"")</f>
        <v/>
      </c>
      <c r="C246" s="222" t="str">
        <f>IFERROR(VLOOKUP($A246,メルマガ読み込み用!$A$2:$K$250,3,FALSE),"")</f>
        <v/>
      </c>
      <c r="D246" s="222" t="str">
        <f>IFERROR(VLOOKUP($A246,メルマガ読み込み用!$A$2:$K$250,4,FALSE),"")</f>
        <v/>
      </c>
      <c r="E246" s="222" t="str">
        <f>IFERROR(VLOOKUP($A246,メルマガ読み込み用!$A$2:$K$250,5,FALSE),"")</f>
        <v/>
      </c>
      <c r="F246" s="222" t="str">
        <f>IFERROR(VLOOKUP($A246,メルマガ読み込み用!$A$2:$K$250,6,FALSE),"")</f>
        <v/>
      </c>
      <c r="G246" s="222" t="str">
        <f>IFERROR(VLOOKUP($A246,メルマガ読み込み用!$A$2:$L$250,12,FALSE),"")</f>
        <v/>
      </c>
      <c r="H246" s="221" t="str">
        <f>IFERROR(VLOOKUP($A246,メルマガ読み込み用!$A$2:$K$250,7,FALSE),"")</f>
        <v/>
      </c>
      <c r="I246" s="222" t="str">
        <f>IFERROR(VLOOKUP($A246,メルマガ読み込み用!$A$2:$K$250,8,FALSE),"")</f>
        <v/>
      </c>
      <c r="J246" s="223" t="str">
        <f>IFERROR(VLOOKUP($A246,メルマガ読み込み用!$A$2:$K$250,11,FALSE),"")</f>
        <v/>
      </c>
    </row>
    <row r="247" spans="1:10">
      <c r="A247" s="113">
        <v>245</v>
      </c>
      <c r="B247" s="222" t="str">
        <f>IFERROR(VLOOKUP($A247,メルマガ読み込み用!$A$2:$K$250,2,FALSE),"")</f>
        <v/>
      </c>
      <c r="C247" s="222" t="str">
        <f>IFERROR(VLOOKUP($A247,メルマガ読み込み用!$A$2:$K$250,3,FALSE),"")</f>
        <v/>
      </c>
      <c r="D247" s="222" t="str">
        <f>IFERROR(VLOOKUP($A247,メルマガ読み込み用!$A$2:$K$250,4,FALSE),"")</f>
        <v/>
      </c>
      <c r="E247" s="222" t="str">
        <f>IFERROR(VLOOKUP($A247,メルマガ読み込み用!$A$2:$K$250,5,FALSE),"")</f>
        <v/>
      </c>
      <c r="F247" s="222" t="str">
        <f>IFERROR(VLOOKUP($A247,メルマガ読み込み用!$A$2:$K$250,6,FALSE),"")</f>
        <v/>
      </c>
      <c r="G247" s="222" t="str">
        <f>IFERROR(VLOOKUP($A247,メルマガ読み込み用!$A$2:$L$250,12,FALSE),"")</f>
        <v/>
      </c>
      <c r="H247" s="221" t="str">
        <f>IFERROR(VLOOKUP($A247,メルマガ読み込み用!$A$2:$K$250,7,FALSE),"")</f>
        <v/>
      </c>
      <c r="I247" s="222" t="str">
        <f>IFERROR(VLOOKUP($A247,メルマガ読み込み用!$A$2:$K$250,8,FALSE),"")</f>
        <v/>
      </c>
      <c r="J247" s="223" t="str">
        <f>IFERROR(VLOOKUP($A247,メルマガ読み込み用!$A$2:$K$250,11,FALSE),"")</f>
        <v/>
      </c>
    </row>
    <row r="248" spans="1:10">
      <c r="A248" s="113">
        <v>246</v>
      </c>
      <c r="B248" s="222" t="str">
        <f>IFERROR(VLOOKUP($A248,メルマガ読み込み用!$A$2:$K$250,2,FALSE),"")</f>
        <v/>
      </c>
      <c r="C248" s="222" t="str">
        <f>IFERROR(VLOOKUP($A248,メルマガ読み込み用!$A$2:$K$250,3,FALSE),"")</f>
        <v/>
      </c>
      <c r="D248" s="222" t="str">
        <f>IFERROR(VLOOKUP($A248,メルマガ読み込み用!$A$2:$K$250,4,FALSE),"")</f>
        <v/>
      </c>
      <c r="E248" s="222" t="str">
        <f>IFERROR(VLOOKUP($A248,メルマガ読み込み用!$A$2:$K$250,5,FALSE),"")</f>
        <v/>
      </c>
      <c r="F248" s="222" t="str">
        <f>IFERROR(VLOOKUP($A248,メルマガ読み込み用!$A$2:$K$250,6,FALSE),"")</f>
        <v/>
      </c>
      <c r="G248" s="222" t="str">
        <f>IFERROR(VLOOKUP($A248,メルマガ読み込み用!$A$2:$L$250,12,FALSE),"")</f>
        <v/>
      </c>
      <c r="H248" s="221" t="str">
        <f>IFERROR(VLOOKUP($A248,メルマガ読み込み用!$A$2:$K$250,7,FALSE),"")</f>
        <v/>
      </c>
      <c r="I248" s="222" t="str">
        <f>IFERROR(VLOOKUP($A248,メルマガ読み込み用!$A$2:$K$250,8,FALSE),"")</f>
        <v/>
      </c>
      <c r="J248" s="223" t="str">
        <f>IFERROR(VLOOKUP($A248,メルマガ読み込み用!$A$2:$K$250,11,FALSE),"")</f>
        <v/>
      </c>
    </row>
    <row r="249" spans="1:10">
      <c r="A249" s="113">
        <v>247</v>
      </c>
      <c r="B249" s="222" t="str">
        <f>IFERROR(VLOOKUP($A249,メルマガ読み込み用!$A$2:$K$250,2,FALSE),"")</f>
        <v/>
      </c>
      <c r="C249" s="222" t="str">
        <f>IFERROR(VLOOKUP($A249,メルマガ読み込み用!$A$2:$K$250,3,FALSE),"")</f>
        <v/>
      </c>
      <c r="D249" s="222" t="str">
        <f>IFERROR(VLOOKUP($A249,メルマガ読み込み用!$A$2:$K$250,4,FALSE),"")</f>
        <v/>
      </c>
      <c r="E249" s="222" t="str">
        <f>IFERROR(VLOOKUP($A249,メルマガ読み込み用!$A$2:$K$250,5,FALSE),"")</f>
        <v/>
      </c>
      <c r="F249" s="222" t="str">
        <f>IFERROR(VLOOKUP($A249,メルマガ読み込み用!$A$2:$K$250,6,FALSE),"")</f>
        <v/>
      </c>
      <c r="G249" s="222" t="str">
        <f>IFERROR(VLOOKUP($A249,メルマガ読み込み用!$A$2:$L$250,12,FALSE),"")</f>
        <v/>
      </c>
      <c r="H249" s="221" t="str">
        <f>IFERROR(VLOOKUP($A249,メルマガ読み込み用!$A$2:$K$250,7,FALSE),"")</f>
        <v/>
      </c>
      <c r="I249" s="222" t="str">
        <f>IFERROR(VLOOKUP($A249,メルマガ読み込み用!$A$2:$K$250,8,FALSE),"")</f>
        <v/>
      </c>
      <c r="J249" s="223" t="str">
        <f>IFERROR(VLOOKUP($A249,メルマガ読み込み用!$A$2:$K$250,11,FALSE),"")</f>
        <v/>
      </c>
    </row>
    <row r="250" spans="1:10">
      <c r="A250" s="113">
        <v>248</v>
      </c>
      <c r="B250" s="222" t="str">
        <f>IFERROR(VLOOKUP($A250,メルマガ読み込み用!$A$2:$K$250,2,FALSE),"")</f>
        <v/>
      </c>
      <c r="C250" s="222" t="str">
        <f>IFERROR(VLOOKUP($A250,メルマガ読み込み用!$A$2:$K$250,3,FALSE),"")</f>
        <v/>
      </c>
      <c r="D250" s="222" t="str">
        <f>IFERROR(VLOOKUP($A250,メルマガ読み込み用!$A$2:$K$250,4,FALSE),"")</f>
        <v/>
      </c>
      <c r="E250" s="222" t="str">
        <f>IFERROR(VLOOKUP($A250,メルマガ読み込み用!$A$2:$K$250,5,FALSE),"")</f>
        <v/>
      </c>
      <c r="F250" s="222" t="str">
        <f>IFERROR(VLOOKUP($A250,メルマガ読み込み用!$A$2:$K$250,6,FALSE),"")</f>
        <v/>
      </c>
      <c r="G250" s="222" t="str">
        <f>IFERROR(VLOOKUP($A250,メルマガ読み込み用!$A$2:$L$250,12,FALSE),"")</f>
        <v/>
      </c>
      <c r="H250" s="221" t="str">
        <f>IFERROR(VLOOKUP($A250,メルマガ読み込み用!$A$2:$K$250,7,FALSE),"")</f>
        <v/>
      </c>
      <c r="I250" s="222" t="str">
        <f>IFERROR(VLOOKUP($A250,メルマガ読み込み用!$A$2:$K$250,8,FALSE),"")</f>
        <v/>
      </c>
      <c r="J250" s="223" t="str">
        <f>IFERROR(VLOOKUP($A250,メルマガ読み込み用!$A$2:$K$250,11,FALSE),"")</f>
        <v/>
      </c>
    </row>
    <row r="251" spans="1:10">
      <c r="A251" s="113">
        <v>249</v>
      </c>
      <c r="B251" s="222" t="str">
        <f>IFERROR(VLOOKUP($A251,メルマガ読み込み用!$A$2:$K$250,2,FALSE),"")</f>
        <v/>
      </c>
      <c r="C251" s="222" t="str">
        <f>IFERROR(VLOOKUP($A251,メルマガ読み込み用!$A$2:$K$250,3,FALSE),"")</f>
        <v/>
      </c>
      <c r="D251" s="222" t="str">
        <f>IFERROR(VLOOKUP($A251,メルマガ読み込み用!$A$2:$K$250,4,FALSE),"")</f>
        <v/>
      </c>
      <c r="E251" s="222" t="str">
        <f>IFERROR(VLOOKUP($A251,メルマガ読み込み用!$A$2:$K$250,5,FALSE),"")</f>
        <v/>
      </c>
      <c r="F251" s="222" t="str">
        <f>IFERROR(VLOOKUP($A251,メルマガ読み込み用!$A$2:$K$250,6,FALSE),"")</f>
        <v/>
      </c>
      <c r="G251" s="222" t="str">
        <f>IFERROR(VLOOKUP($A251,メルマガ読み込み用!$A$2:$L$250,12,FALSE),"")</f>
        <v/>
      </c>
      <c r="H251" s="221" t="str">
        <f>IFERROR(VLOOKUP($A251,メルマガ読み込み用!$A$2:$K$250,7,FALSE),"")</f>
        <v/>
      </c>
      <c r="I251" s="222" t="str">
        <f>IFERROR(VLOOKUP($A251,メルマガ読み込み用!$A$2:$K$250,8,FALSE),"")</f>
        <v/>
      </c>
      <c r="J251" s="223" t="str">
        <f>IFERROR(VLOOKUP($A251,メルマガ読み込み用!$A$2:$K$250,11,FALSE),"")</f>
        <v/>
      </c>
    </row>
  </sheetData>
  <sheetProtection sheet="1" objects="1" scenarios="1"/>
  <mergeCells count="1">
    <mergeCell ref="I1:J1"/>
  </mergeCells>
  <phoneticPr fontId="4"/>
  <pageMargins left="0.19685039370078741" right="0.15748031496062992" top="0.74803149606299213" bottom="0.74803149606299213" header="0.31496062992125984" footer="0.31496062992125984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</vt:i4>
      </vt:variant>
    </vt:vector>
  </HeadingPairs>
  <TitlesOfParts>
    <vt:vector size="17" baseType="lpstr">
      <vt:lpstr>来店帰客表</vt:lpstr>
      <vt:lpstr>精算表</vt:lpstr>
      <vt:lpstr>足元帳</vt:lpstr>
      <vt:lpstr>MEMO</vt:lpstr>
      <vt:lpstr>MENU</vt:lpstr>
      <vt:lpstr>日報</vt:lpstr>
      <vt:lpstr>管理シート</vt:lpstr>
      <vt:lpstr>日報貼り付け用</vt:lpstr>
      <vt:lpstr>日報印刷用</vt:lpstr>
      <vt:lpstr>名前＆小計</vt:lpstr>
      <vt:lpstr>Sheet1</vt:lpstr>
      <vt:lpstr>Sheet2</vt:lpstr>
      <vt:lpstr>メルマガ読み込み用</vt:lpstr>
      <vt:lpstr>メルマガ印刷用</vt:lpstr>
      <vt:lpstr>精算表!Print_Area</vt:lpstr>
      <vt:lpstr>日報!Print_Area</vt:lpstr>
      <vt:lpstr>日報貼り付け用!Print_Area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gest</cp:lastModifiedBy>
  <cp:lastPrinted>2019-10-03T00:34:13Z</cp:lastPrinted>
  <dcterms:created xsi:type="dcterms:W3CDTF">2010-02-20T07:35:13Z</dcterms:created>
  <dcterms:modified xsi:type="dcterms:W3CDTF">2019-11-20T05:44:23Z</dcterms:modified>
</cp:coreProperties>
</file>